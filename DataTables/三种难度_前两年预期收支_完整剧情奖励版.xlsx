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08b9ac267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口径" sheetId="1" r:id="R2a2db48c6d8f4984"/>
    <x:sheet xmlns:r="http://schemas.openxmlformats.org/officeDocument/2006/relationships" name="剧情奖励核对" sheetId="2" r:id="Rdd57b4a3b55b41cb"/>
    <x:sheet xmlns:r="http://schemas.openxmlformats.org/officeDocument/2006/relationships" name="简单" sheetId="3" r:id="R07c504be18bc417a"/>
    <x:sheet xmlns:r="http://schemas.openxmlformats.org/officeDocument/2006/relationships" name="普通" sheetId="4" r:id="R35a51712936c4e55"/>
    <x:sheet xmlns:r="http://schemas.openxmlformats.org/officeDocument/2006/relationships" name="困难" sheetId="5" r:id="Rd49b43b682174882"/>
    <x:sheet xmlns:r="http://schemas.openxmlformats.org/officeDocument/2006/relationships" name="汇总" sheetId="6" r:id="Rdbafcbd6bf3d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"/>
    <x:numFmt numFmtId="202" formatCode="#,##0.0;[Red](#,##0.0);-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404040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1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202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/>
    <x:xf numFmtId="0" fontId="0" fillId="3" borderId="4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202" fontId="0" fillId="3" borderId="0" xfId="0" applyNumberFormat="1" applyFont="1" applyFill="1" applyBorder="1"/>
    <x:xf numFmtId="0" fontId="0" fillId="3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202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0" fillId="3" borderId="1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202" fontId="0" fillId="3" borderId="1" xfId="0" applyNumberFormat="1" applyFont="1" applyFill="1" applyBorder="1"/>
    <x:xf numFmtId="0" fontId="0" fillId="3" borderId="11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2" fontId="2" fillId="3" borderId="1" xfId="0" applyNumberFormat="1" applyFont="1" applyFill="1" applyBorder="1"/>
    <x:xf numFmtId="0" fontId="2" fillId="3" borderId="11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202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/>
    <x:xf numFmtId="202" fontId="0" fillId="4" borderId="15" xfId="0" applyNumberFormat="1" applyFont="1" applyFill="1" applyBorder="1"/>
    <x:xf numFmtId="0" fontId="0" fillId="4" borderId="15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/>
    <x:xf numFmtId="202" fontId="0" fillId="4" borderId="17" xfId="0" applyNumberFormat="1" applyFont="1" applyFill="1" applyBorder="1"/>
    <x:xf numFmtId="0" fontId="0" fillId="4" borderId="17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/>
    <x:xf numFmtId="202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/>
    <x:xf numFmtId="202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1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14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8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9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8b9b0fa1c4348" /><Relationship Type="http://schemas.openxmlformats.org/officeDocument/2006/relationships/theme" Target="/xl/theme/theme1.xml" Id="R87b9928da1404a13" /><Relationship Type="http://schemas.openxmlformats.org/officeDocument/2006/relationships/sharedStrings" Target="/xl/sharedStrings.xml" Id="Rabe10d805eb94d38" /><Relationship Type="http://schemas.openxmlformats.org/officeDocument/2006/relationships/worksheet" Target="/xl/worksheets/sheet1.xml" Id="R2a2db48c6d8f4984" /><Relationship Type="http://schemas.openxmlformats.org/officeDocument/2006/relationships/worksheet" Target="/xl/worksheets/sheet2.xml" Id="Rdd57b4a3b55b41cb" /><Relationship Type="http://schemas.openxmlformats.org/officeDocument/2006/relationships/worksheet" Target="/xl/worksheets/sheet3.xml" Id="R07c504be18bc417a" /><Relationship Type="http://schemas.openxmlformats.org/officeDocument/2006/relationships/worksheet" Target="/xl/worksheets/sheet4.xml" Id="R35a51712936c4e55" /><Relationship Type="http://schemas.openxmlformats.org/officeDocument/2006/relationships/worksheet" Target="/xl/worksheets/sheet5.xml" Id="Rd49b43b682174882" /><Relationship Type="http://schemas.openxmlformats.org/officeDocument/2006/relationships/worksheet" Target="/xl/worksheets/sheet6.xml" Id="Rdbafcbd6bf3d4e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>
      <x:c r="A1" s="12" t="str">
        <x:v>项目</x:v>
      </x:c>
      <x:c r="B1" s="13" t="str">
        <x:v>当前口径</x:v>
      </x:c>
    </x:row>
    <x:row r="2">
      <x:c r="A2" s="14" t="str">
        <x:v>初始资金</x:v>
      </x:c>
      <x:c r="B2" s="28" t="n">
        <x:v>20000</x:v>
      </x:c>
    </x:row>
    <x:row r="3">
      <x:c r="A3" s="14" t="str">
        <x:v>简单难度</x:v>
      </x:c>
      <x:c r="B3" s="24" t="str">
        <x:v>李言闻1000文/节气；每天2次妙手回春</x:v>
      </x:c>
    </x:row>
    <x:row r="4">
      <x:c r="A4" s="14" t="str">
        <x:v>普通难度</x:v>
      </x:c>
      <x:c r="B4" s="24" t="str">
        <x:v>李言闻500文/节气；每天3次妙手回春</x:v>
      </x:c>
    </x:row>
    <x:row r="5">
      <x:c r="A5" s="14" t="str">
        <x:v>困难难度</x:v>
      </x:c>
      <x:c r="B5" s="24" t="str">
        <x:v>李言闻0文/节气；每天4次妙手回春</x:v>
      </x:c>
    </x:row>
    <x:row r="6">
      <x:c r="A6" s="14" t="str">
        <x:v>第一年立春</x:v>
      </x:c>
      <x:c r="B6" s="24" t="str">
        <x:v>剧情跳过，无普通随机NPC诊疗</x:v>
      </x:c>
    </x:row>
    <x:row r="7">
      <x:c r="A7" s="14" t="str">
        <x:v>妙手回春</x:v>
      </x:c>
      <x:c r="B7" s="24" t="str">
        <x:v>每人名望+10、心得+1</x:v>
      </x:c>
    </x:row>
    <x:row r="8">
      <x:c r="A8" s="14" t="str">
        <x:v>平均药材净收入</x:v>
      </x:c>
      <x:c r="B8" s="30" t="n">
        <x:v>106.90625</x:v>
      </x:c>
    </x:row>
    <x:row r="9">
      <x:c r="A9" s="14" t="str">
        <x:v>病家谢仪期望</x:v>
      </x:c>
      <x:c r="B9" s="30" t="n">
        <x:v>57.6</x:v>
      </x:c>
    </x:row>
    <x:row r="10">
      <x:c r="A10" s="14" t="str">
        <x:v>田租</x:v>
      </x:c>
      <x:c r="B10" s="24" t="str">
        <x:v>大暑+5000文；霜降+15000文</x:v>
      </x:c>
    </x:row>
    <x:row r="11">
      <x:c r="A11" s="14" t="str">
        <x:v>李建中俸禄</x:v>
      </x:c>
      <x:c r="B11" s="24" t="str">
        <x:v>按用户要求不触发</x:v>
      </x:c>
    </x:row>
    <x:row r="12">
      <x:c r="A12" s="14" t="str">
        <x:v>004_02 老师</x:v>
      </x:c>
      <x:c r="B12" s="24" t="str">
        <x:v>银钱0、名望0、心得0</x:v>
      </x:c>
    </x:row>
    <x:row r="13">
      <x:c r="A13" s="14" t="str">
        <x:v>005_02 世子</x:v>
      </x:c>
      <x:c r="B13" s="24" t="str">
        <x:v>银钱+1000、名望+1000、心得0；night_end结算</x:v>
      </x:c>
    </x:row>
    <x:row r="14">
      <x:c r="A14" s="14" t="str">
        <x:v>谢飞燕两次治疗</x:v>
      </x:c>
      <x:c r="B14" s="24" t="str">
        <x:v>023_02 +1000文；024_02 +1000文；合计+2000文</x:v>
      </x:c>
    </x:row>
    <x:row r="15">
      <x:c r="A15" s="16" t="str">
        <x:v>024_04 王百堂</x:v>
      </x:c>
      <x:c r="B15" s="25" t="str">
        <x:v>心得+7，影响后续条目/剧情解锁时间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0" hidden="0" customWidth="1"/>
    <x:col min="4" max="4" width="10" hidden="0" customWidth="1"/>
    <x:col min="5" max="5" width="10" hidden="0" customWidth="1"/>
    <x:col min="6" max="6" width="70" hidden="0" customWidth="1"/>
    <x:col min="7" max="7" width="45" hidden="0" customWidth="1"/>
  </x:cols>
  <x:sheetData>
    <x:row r="1">
      <x:c r="A1" s="12" t="str">
        <x:v>剧情ID</x:v>
      </x:c>
      <x:c r="B1" s="32" t="str">
        <x:v>剧情</x:v>
      </x:c>
      <x:c r="C1" s="32" t="str">
        <x:v>银钱</x:v>
      </x:c>
      <x:c r="D1" s="32" t="str">
        <x:v>名望</x:v>
      </x:c>
      <x:c r="E1" s="32" t="str">
        <x:v>心得</x:v>
      </x:c>
      <x:c r="F1" s="32" t="str">
        <x:v>GitHub current main</x:v>
      </x:c>
      <x:c r="G1" s="13" t="str">
        <x:v>说明</x:v>
      </x:c>
    </x:row>
    <x:row r="2">
      <x:c r="A2" s="14" t="str">
        <x:v>005_02</x:v>
      </x:c>
      <x:c r="B2" s="33" t="str">
        <x:v>治愈世子</x:v>
      </x:c>
      <x:c r="C2" s="37" t="n">
        <x:v>1000</x:v>
      </x:c>
      <x:c r="D2" s="37" t="n">
        <x:v>1000</x:v>
      </x:c>
      <x:c r="E2" s="37" t="n">
        <x:v>0</x:v>
      </x:c>
      <x:c r="F2" s="33" t="str">
        <x:v>https://github.com/lqc19891229/Doctor/blob/main/Data/Story/005_02.tres</x:v>
      </x:c>
      <x:c r="G2" s="15" t="str">
        <x:v>night_end；+1000名望从下一节气普通诊费开始产生完整影响</x:v>
      </x:c>
    </x:row>
    <x:row r="3">
      <x:c r="A3" s="14" t="str">
        <x:v>014_02</x:v>
      </x:c>
      <x:c r="B3" s="33" t="str">
        <x:v>沈修文治疗成功</x:v>
      </x:c>
      <x:c r="C3" s="37" t="n">
        <x:v>1000</x:v>
      </x:c>
      <x:c r="D3" s="37" t="n">
        <x:v>0</x:v>
      </x:c>
      <x:c r="E3" s="37" t="n">
        <x:v>0</x:v>
      </x:c>
      <x:c r="F3" s="33" t="str">
        <x:v>https://github.com/lqc19891229/Doctor/blob/main/Data/Story/014_02.tres</x:v>
      </x:c>
      <x:c r="G3" s="15" t="str">
        <x:v>前置剧情链满足且心脾两虚已解锁后触发</x:v>
      </x:c>
    </x:row>
    <x:row r="4">
      <x:c r="A4" s="14" t="str">
        <x:v>017_02</x:v>
      </x:c>
      <x:c r="B4" s="33" t="str">
        <x:v>杨善泉治疗成功</x:v>
      </x:c>
      <x:c r="C4" s="37" t="n">
        <x:v>1000</x:v>
      </x:c>
      <x:c r="D4" s="37" t="n">
        <x:v>0</x:v>
      </x:c>
      <x:c r="E4" s="37" t="n">
        <x:v>0</x:v>
      </x:c>
      <x:c r="F4" s="33" t="str">
        <x:v>https://github.com/lqc19891229/Doctor/blob/main/Data/Story/017_02.tres</x:v>
      </x:c>
      <x:c r="G4" s="15" t="str">
        <x:v>前置剧情链满足且肾气不固已解锁后触发</x:v>
      </x:c>
    </x:row>
    <x:row r="5">
      <x:c r="A5" s="14" t="str">
        <x:v>023_02</x:v>
      </x:c>
      <x:c r="B5" s="33" t="str">
        <x:v>谢飞燕肺气虚治疗成功</x:v>
      </x:c>
      <x:c r="C5" s="37" t="n">
        <x:v>1000</x:v>
      </x:c>
      <x:c r="D5" s="37" t="n">
        <x:v>0</x:v>
      </x:c>
      <x:c r="E5" s="37" t="n">
        <x:v>0</x:v>
      </x:c>
      <x:c r="F5" s="33" t="str">
        <x:v>https://github.com/lqc19891229/Doctor/blob/main/Data/Story/023_02.tres</x:v>
      </x:c>
      <x:c r="G5" s="15" t="str">
        <x:v>你指出的谢飞燕第一笔1000文</x:v>
      </x:c>
    </x:row>
    <x:row r="6">
      <x:c r="A6" s="14" t="str">
        <x:v>024_02</x:v>
      </x:c>
      <x:c r="B6" s="33" t="str">
        <x:v>谢飞燕肺阴虚治疗成功</x:v>
      </x:c>
      <x:c r="C6" s="37" t="n">
        <x:v>1000</x:v>
      </x:c>
      <x:c r="D6" s="37" t="n">
        <x:v>0</x:v>
      </x:c>
      <x:c r="E6" s="37" t="n">
        <x:v>0</x:v>
      </x:c>
      <x:c r="F6" s="33" t="str">
        <x:v>https://github.com/lqc19891229/Doctor/blob/main/Data/Story/024_02.tres</x:v>
      </x:c>
      <x:c r="G6" s="15" t="str">
        <x:v>你指出的谢飞燕第二笔1000文</x:v>
      </x:c>
    </x:row>
    <x:row r="7">
      <x:c r="A7" s="14" t="str">
        <x:v>024_04</x:v>
      </x:c>
      <x:c r="B7" s="33" t="str">
        <x:v>王百堂来访</x:v>
      </x:c>
      <x:c r="C7" s="37" t="n">
        <x:v>0</x:v>
      </x:c>
      <x:c r="D7" s="37" t="n">
        <x:v>0</x:v>
      </x:c>
      <x:c r="E7" s="37" t="n">
        <x:v>7</x:v>
      </x:c>
      <x:c r="F7" s="33" t="str">
        <x:v>https://github.com/lqc19891229/Doctor/blob/main/Data/Story/024_04.tres</x:v>
      </x:c>
      <x:c r="G7" s="15" t="str">
        <x:v>无银钱，但+7心得会提前后续剧情</x:v>
      </x:c>
    </x:row>
    <x:row r="8">
      <x:c r="A8" s="16" t="str">
        <x:v>025_02</x:v>
      </x:c>
      <x:c r="B8" s="34" t="str">
        <x:v>和尚肾精不足治疗成功</x:v>
      </x:c>
      <x:c r="C8" s="38" t="n">
        <x:v>2000</x:v>
      </x:c>
      <x:c r="D8" s="38" t="n">
        <x:v>0</x:v>
      </x:c>
      <x:c r="E8" s="38" t="n">
        <x:v>0</x:v>
      </x:c>
      <x:c r="F8" s="34" t="str">
        <x:v>https://github.com/lqc19891229/Doctor/blob/main/Data/Story/025_02.tres</x:v>
      </x:c>
      <x:c r="G8" s="17" t="str">
        <x:v>前两年内部分难度可触发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10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16" hidden="0" customWidth="1"/>
    <x:col min="14" max="14" width="16" hidden="0" customWidth="1"/>
    <x:col min="15" max="15" width="14" hidden="0" customWidth="1"/>
    <x:col min="16" max="16" width="17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12" t="str">
        <x:v>年份</x:v>
      </x:c>
      <x:c r="B1" s="32" t="str">
        <x:v>节气</x:v>
      </x:c>
      <x:c r="C1" s="32" t="str">
        <x:v>妙手回春次数</x:v>
      </x:c>
      <x:c r="D1" s="32" t="str">
        <x:v>李言闻收入</x:v>
      </x:c>
      <x:c r="E1" s="32" t="str">
        <x:v>诊费预期</x:v>
      </x:c>
      <x:c r="F1" s="32" t="str">
        <x:v>药材净收入预期</x:v>
      </x:c>
      <x:c r="G1" s="32" t="str">
        <x:v>谢仪预期</x:v>
      </x:c>
      <x:c r="H1" s="32" t="str">
        <x:v>田租</x:v>
      </x:c>
      <x:c r="I1" s="32" t="str">
        <x:v>剧情银钱奖励</x:v>
      </x:c>
      <x:c r="J1" s="32" t="str">
        <x:v>预期收入</x:v>
      </x:c>
      <x:c r="K1" s="32" t="str">
        <x:v>累计预期收入</x:v>
      </x:c>
      <x:c r="L1" s="32" t="str">
        <x:v>预期支出</x:v>
      </x:c>
      <x:c r="M1" s="32" t="str">
        <x:v>累计预期支出</x:v>
      </x:c>
      <x:c r="N1" s="32" t="str">
        <x:v>本节气收支差</x:v>
      </x:c>
      <x:c r="O1" s="32" t="str">
        <x:v>累计收支差</x:v>
      </x:c>
      <x:c r="P1" s="32" t="str">
        <x:v>含初始资金余额</x:v>
      </x:c>
      <x:c r="Q1" s="32" t="str">
        <x:v>节气末名望</x:v>
      </x:c>
      <x:c r="R1" s="32" t="str">
        <x:v>节气末心得</x:v>
      </x:c>
      <x:c r="S1" s="13" t="str">
        <x:v>剧情备注</x:v>
      </x:c>
    </x:row>
    <x:row r="2">
      <x:c r="A2" s="45" t="n">
        <x:v>1</x:v>
      </x:c>
      <x:c r="B2" s="43" t="str">
        <x:v>立春</x:v>
      </x:c>
      <x:c r="C2" s="43" t="n">
        <x:v>0</x:v>
      </x:c>
      <x:c r="D2" s="41" t="n">
        <x:v>1000</x:v>
      </x:c>
      <x:c r="E2" s="41" t="n">
        <x:v>0</x:v>
      </x:c>
      <x:c r="F2" s="41" t="n">
        <x:v>0</x:v>
      </x:c>
      <x:c r="G2" s="41" t="n">
        <x:v>0</x:v>
      </x:c>
      <x:c r="H2" s="41" t="n">
        <x:v>0</x:v>
      </x:c>
      <x:c r="I2" s="41" t="n">
        <x:v>0</x:v>
      </x:c>
      <x:c r="J2" s="41" t="n">
        <x:f>SUM(D2:I2)</x:f>
        <x:v>1000</x:v>
      </x:c>
      <x:c r="K2" s="41" t="n">
        <x:f>J2</x:f>
        <x:v>1000</x:v>
      </x:c>
      <x:c r="L2" s="41" t="n">
        <x:v>2650</x:v>
      </x:c>
      <x:c r="M2" s="41" t="n">
        <x:f>L2</x:f>
        <x:v>2650</x:v>
      </x:c>
      <x:c r="N2" s="41" t="n">
        <x:f>J2-L2</x:f>
        <x:v>-1650</x:v>
      </x:c>
      <x:c r="O2" s="41" t="n">
        <x:f>K2-M2</x:f>
        <x:v>-1650</x:v>
      </x:c>
      <x:c r="P2" s="41" t="n">
        <x:f>20000+O2</x:f>
        <x:v>18350</x:v>
      </x:c>
      <x:c r="Q2" s="43" t="n">
        <x:v>0</x:v>
      </x:c>
      <x:c r="R2" s="43" t="n">
        <x:v>0</x:v>
      </x:c>
      <x:c r="S2" s="15" t="str"/>
    </x:row>
    <x:row r="3">
      <x:c r="A3" s="45" t="n">
        <x:v>1</x:v>
      </x:c>
      <x:c r="B3" s="43" t="str">
        <x:v>雨水</x:v>
      </x:c>
      <x:c r="C3" s="43" t="n">
        <x:v>2</x:v>
      </x:c>
      <x:c r="D3" s="41" t="n">
        <x:v>1000</x:v>
      </x:c>
      <x:c r="E3" s="41" t="n">
        <x:v>40</x:v>
      </x:c>
      <x:c r="F3" s="41" t="n">
        <x:v>213.8125</x:v>
      </x:c>
      <x:c r="G3" s="41" t="n">
        <x:v>115.2</x:v>
      </x:c>
      <x:c r="H3" s="41" t="n">
        <x:v>0</x:v>
      </x:c>
      <x:c r="I3" s="41" t="n">
        <x:v>0</x:v>
      </x:c>
      <x:c r="J3" s="41" t="n">
        <x:f>SUM(D3:I3)</x:f>
        <x:v>1369.0125</x:v>
      </x:c>
      <x:c r="K3" s="41" t="n">
        <x:f>K2+J3</x:f>
        <x:v>2369.0125</x:v>
      </x:c>
      <x:c r="L3" s="41" t="n">
        <x:v>2776.4</x:v>
      </x:c>
      <x:c r="M3" s="41" t="n">
        <x:f>M2+L3</x:f>
        <x:v>5426.4</x:v>
      </x:c>
      <x:c r="N3" s="41" t="n">
        <x:f>J3-L3</x:f>
        <x:v>-1407.3875</x:v>
      </x:c>
      <x:c r="O3" s="41" t="n">
        <x:f>K3-M3</x:f>
        <x:v>-3057.3875</x:v>
      </x:c>
      <x:c r="P3" s="41" t="n">
        <x:f>20000+O3</x:f>
        <x:v>16942.6125</x:v>
      </x:c>
      <x:c r="Q3" s="43" t="n">
        <x:v>20</x:v>
      </x:c>
      <x:c r="R3" s="43" t="n">
        <x:v>2</x:v>
      </x:c>
      <x:c r="S3" s="15" t="str"/>
    </x:row>
    <x:row r="4">
      <x:c r="A4" s="45" t="n">
        <x:v>1</x:v>
      </x:c>
      <x:c r="B4" s="43" t="str">
        <x:v>惊蛰</x:v>
      </x:c>
      <x:c r="C4" s="43" t="n">
        <x:v>2</x:v>
      </x:c>
      <x:c r="D4" s="41" t="n">
        <x:v>1000</x:v>
      </x:c>
      <x:c r="E4" s="41" t="n">
        <x:v>40</x:v>
      </x:c>
      <x:c r="F4" s="41" t="n">
        <x:v>213.8125</x:v>
      </x:c>
      <x:c r="G4" s="41" t="n">
        <x:v>115.2</x:v>
      </x:c>
      <x:c r="H4" s="41" t="n">
        <x:v>0</x:v>
      </x:c>
      <x:c r="I4" s="41" t="n">
        <x:v>0</x:v>
      </x:c>
      <x:c r="J4" s="41" t="n">
        <x:f>SUM(D4:I4)</x:f>
        <x:v>1369.0125</x:v>
      </x:c>
      <x:c r="K4" s="41" t="n">
        <x:f>K3+J4</x:f>
        <x:v>3738.0249999999996</x:v>
      </x:c>
      <x:c r="L4" s="41" t="n">
        <x:v>1550</x:v>
      </x:c>
      <x:c r="M4" s="41" t="n">
        <x:f>M3+L4</x:f>
        <x:v>6976.4</x:v>
      </x:c>
      <x:c r="N4" s="41" t="n">
        <x:f>J4-L4</x:f>
        <x:v>-180.98749999999995</x:v>
      </x:c>
      <x:c r="O4" s="41" t="n">
        <x:f>K4-M4</x:f>
        <x:v>-3238.375</x:v>
      </x:c>
      <x:c r="P4" s="41" t="n">
        <x:f>20000+O4</x:f>
        <x:v>16761.625</x:v>
      </x:c>
      <x:c r="Q4" s="43" t="n">
        <x:v>40</x:v>
      </x:c>
      <x:c r="R4" s="43" t="n">
        <x:v>4</x:v>
      </x:c>
      <x:c r="S4" s="15" t="str"/>
    </x:row>
    <x:row r="5">
      <x:c r="A5" s="45" t="n">
        <x:v>1</x:v>
      </x:c>
      <x:c r="B5" s="43" t="str">
        <x:v>春分</x:v>
      </x:c>
      <x:c r="C5" s="43" t="n">
        <x:v>2</x:v>
      </x:c>
      <x:c r="D5" s="41" t="n">
        <x:v>1000</x:v>
      </x:c>
      <x:c r="E5" s="41" t="n">
        <x:v>40</x:v>
      </x:c>
      <x:c r="F5" s="41" t="n">
        <x:v>213.8125</x:v>
      </x:c>
      <x:c r="G5" s="41" t="n">
        <x:v>115.2</x:v>
      </x:c>
      <x:c r="H5" s="41" t="n">
        <x:v>0</x:v>
      </x:c>
      <x:c r="I5" s="41" t="n">
        <x:v>0</x:v>
      </x:c>
      <x:c r="J5" s="41" t="n">
        <x:f>SUM(D5:I5)</x:f>
        <x:v>1369.0125</x:v>
      </x:c>
      <x:c r="K5" s="41" t="n">
        <x:f>K4+J5</x:f>
        <x:v>5107.037499999999</x:v>
      </x:c>
      <x:c r="L5" s="41" t="n">
        <x:v>3376.4</x:v>
      </x:c>
      <x:c r="M5" s="41" t="n">
        <x:f>M4+L5</x:f>
        <x:v>10352.8</x:v>
      </x:c>
      <x:c r="N5" s="41" t="n">
        <x:f>J5-L5</x:f>
        <x:v>-2007.3875</x:v>
      </x:c>
      <x:c r="O5" s="41" t="n">
        <x:f>K5-M5</x:f>
        <x:v>-5245.7625</x:v>
      </x:c>
      <x:c r="P5" s="41" t="n">
        <x:f>20000+O5</x:f>
        <x:v>14754.2375</x:v>
      </x:c>
      <x:c r="Q5" s="43" t="n">
        <x:v>60</x:v>
      </x:c>
      <x:c r="R5" s="43" t="n">
        <x:v>6</x:v>
      </x:c>
      <x:c r="S5" s="15" t="str"/>
    </x:row>
    <x:row r="6">
      <x:c r="A6" s="45" t="n">
        <x:v>1</x:v>
      </x:c>
      <x:c r="B6" s="43" t="str">
        <x:v>清明</x:v>
      </x:c>
      <x:c r="C6" s="43" t="n">
        <x:v>2</x:v>
      </x:c>
      <x:c r="D6" s="41" t="n">
        <x:v>1000</x:v>
      </x:c>
      <x:c r="E6" s="41" t="n">
        <x:v>40</x:v>
      </x:c>
      <x:c r="F6" s="41" t="n">
        <x:v>213.8125</x:v>
      </x:c>
      <x:c r="G6" s="41" t="n">
        <x:v>115.2</x:v>
      </x:c>
      <x:c r="H6" s="41" t="n">
        <x:v>0</x:v>
      </x:c>
      <x:c r="I6" s="41" t="n">
        <x:v>0</x:v>
      </x:c>
      <x:c r="J6" s="41" t="n">
        <x:f>SUM(D6:I6)</x:f>
        <x:v>1369.0125</x:v>
      </x:c>
      <x:c r="K6" s="41" t="n">
        <x:f>K5+J6</x:f>
        <x:v>6476.049999999999</x:v>
      </x:c>
      <x:c r="L6" s="41" t="n">
        <x:v>3550</x:v>
      </x:c>
      <x:c r="M6" s="41" t="n">
        <x:f>M5+L6</x:f>
        <x:v>13902.8</x:v>
      </x:c>
      <x:c r="N6" s="41" t="n">
        <x:f>J6-L6</x:f>
        <x:v>-2180.9875</x:v>
      </x:c>
      <x:c r="O6" s="41" t="n">
        <x:f>K6-M6</x:f>
        <x:v>-7426.75</x:v>
      </x:c>
      <x:c r="P6" s="41" t="n">
        <x:f>20000+O6</x:f>
        <x:v>12573.25</x:v>
      </x:c>
      <x:c r="Q6" s="43" t="n">
        <x:v>80</x:v>
      </x:c>
      <x:c r="R6" s="43" t="n">
        <x:v>8</x:v>
      </x:c>
      <x:c r="S6" s="15" t="str"/>
    </x:row>
    <x:row r="7">
      <x:c r="A7" s="45" t="n">
        <x:v>1</x:v>
      </x:c>
      <x:c r="B7" s="43" t="str">
        <x:v>谷雨</x:v>
      </x:c>
      <x:c r="C7" s="43" t="n">
        <x:v>2</x:v>
      </x:c>
      <x:c r="D7" s="41" t="n">
        <x:v>1000</x:v>
      </x:c>
      <x:c r="E7" s="41" t="n">
        <x:v>40</x:v>
      </x:c>
      <x:c r="F7" s="41" t="n">
        <x:v>213.8125</x:v>
      </x:c>
      <x:c r="G7" s="41" t="n">
        <x:v>115.2</x:v>
      </x:c>
      <x:c r="H7" s="41" t="n">
        <x:v>0</x:v>
      </x:c>
      <x:c r="I7" s="41" t="n">
        <x:v>0</x:v>
      </x:c>
      <x:c r="J7" s="41" t="n">
        <x:f>SUM(D7:I7)</x:f>
        <x:v>1369.0125</x:v>
      </x:c>
      <x:c r="K7" s="41" t="n">
        <x:f>K6+J7</x:f>
        <x:v>7845.062499999999</x:v>
      </x:c>
      <x:c r="L7" s="41" t="n">
        <x:v>2776.4</x:v>
      </x:c>
      <x:c r="M7" s="41" t="n">
        <x:f>M6+L7</x:f>
        <x:v>16679.2</x:v>
      </x:c>
      <x:c r="N7" s="41" t="n">
        <x:f>J7-L7</x:f>
        <x:v>-1407.3875</x:v>
      </x:c>
      <x:c r="O7" s="41" t="n">
        <x:f>K7-M7</x:f>
        <x:v>-8834.1375</x:v>
      </x:c>
      <x:c r="P7" s="41" t="n">
        <x:f>20000+O7</x:f>
        <x:v>11165.8625</x:v>
      </x:c>
      <x:c r="Q7" s="43" t="n">
        <x:v>100</x:v>
      </x:c>
      <x:c r="R7" s="43" t="n">
        <x:v>10</x:v>
      </x:c>
      <x:c r="S7" s="15" t="str"/>
    </x:row>
    <x:row r="8">
      <x:c r="A8" s="45" t="n">
        <x:v>1</x:v>
      </x:c>
      <x:c r="B8" s="43" t="str">
        <x:v>立夏</x:v>
      </x:c>
      <x:c r="C8" s="43" t="n">
        <x:v>2</x:v>
      </x:c>
      <x:c r="D8" s="41" t="n">
        <x:v>1000</x:v>
      </x:c>
      <x:c r="E8" s="41" t="n">
        <x:v>70</x:v>
      </x:c>
      <x:c r="F8" s="41" t="n">
        <x:v>213.8125</x:v>
      </x:c>
      <x:c r="G8" s="41" t="n">
        <x:v>115.2</x:v>
      </x:c>
      <x:c r="H8" s="41" t="n">
        <x:v>0</x:v>
      </x:c>
      <x:c r="I8" s="41" t="n">
        <x:v>0</x:v>
      </x:c>
      <x:c r="J8" s="41" t="n">
        <x:f>SUM(D8:I8)</x:f>
        <x:v>1399.0125</x:v>
      </x:c>
      <x:c r="K8" s="41" t="n">
        <x:f>K7+J8</x:f>
        <x:v>9244.074999999999</x:v>
      </x:c>
      <x:c r="L8" s="41" t="n">
        <x:v>2650</x:v>
      </x:c>
      <x:c r="M8" s="41" t="n">
        <x:f>M7+L8</x:f>
        <x:v>19329.2</x:v>
      </x:c>
      <x:c r="N8" s="41" t="n">
        <x:f>J8-L8</x:f>
        <x:v>-1250.9875</x:v>
      </x:c>
      <x:c r="O8" s="41" t="n">
        <x:f>K8-M8</x:f>
        <x:v>-10085.125000000002</x:v>
      </x:c>
      <x:c r="P8" s="41" t="n">
        <x:f>20000+O8</x:f>
        <x:v>9914.874999999998</x:v>
      </x:c>
      <x:c r="Q8" s="43" t="n">
        <x:v>120</x:v>
      </x:c>
      <x:c r="R8" s="43" t="n">
        <x:v>12</x:v>
      </x:c>
      <x:c r="S8" s="15" t="str"/>
    </x:row>
    <x:row r="9">
      <x:c r="A9" s="45" t="n">
        <x:v>1</x:v>
      </x:c>
      <x:c r="B9" s="43" t="str">
        <x:v>小满</x:v>
      </x:c>
      <x:c r="C9" s="43" t="n">
        <x:v>2</x:v>
      </x:c>
      <x:c r="D9" s="41" t="n">
        <x:v>1000</x:v>
      </x:c>
      <x:c r="E9" s="41" t="n">
        <x:v>100</x:v>
      </x:c>
      <x:c r="F9" s="41" t="n">
        <x:v>213.8125</x:v>
      </x:c>
      <x:c r="G9" s="41" t="n">
        <x:v>115.2</x:v>
      </x:c>
      <x:c r="H9" s="41" t="n">
        <x:v>0</x:v>
      </x:c>
      <x:c r="I9" s="41" t="n">
        <x:v>0</x:v>
      </x:c>
      <x:c r="J9" s="41" t="n">
        <x:f>SUM(D9:I9)</x:f>
        <x:v>1429.0125</x:v>
      </x:c>
      <x:c r="K9" s="41" t="n">
        <x:f>K8+J9</x:f>
        <x:v>10673.0875</x:v>
      </x:c>
      <x:c r="L9" s="41" t="n">
        <x:v>3676.4</x:v>
      </x:c>
      <x:c r="M9" s="41" t="n">
        <x:f>M8+L9</x:f>
        <x:v>23005.600000000002</x:v>
      </x:c>
      <x:c r="N9" s="41" t="n">
        <x:f>J9-L9</x:f>
        <x:v>-2247.3875</x:v>
      </x:c>
      <x:c r="O9" s="41" t="n">
        <x:f>K9-M9</x:f>
        <x:v>-12332.512500000003</x:v>
      </x:c>
      <x:c r="P9" s="41" t="n">
        <x:f>20000+O9</x:f>
        <x:v>7667.487499999997</x:v>
      </x:c>
      <x:c r="Q9" s="43" t="n">
        <x:v>140</x:v>
      </x:c>
      <x:c r="R9" s="43" t="n">
        <x:v>14</x:v>
      </x:c>
      <x:c r="S9" s="15" t="str"/>
    </x:row>
    <x:row r="10">
      <x:c r="A10" s="45" t="n">
        <x:v>1</x:v>
      </x:c>
      <x:c r="B10" s="43" t="str">
        <x:v>芒种</x:v>
      </x:c>
      <x:c r="C10" s="43" t="n">
        <x:v>2</x:v>
      </x:c>
      <x:c r="D10" s="41" t="n">
        <x:v>1000</x:v>
      </x:c>
      <x:c r="E10" s="41" t="n">
        <x:v>100</x:v>
      </x:c>
      <x:c r="F10" s="41" t="n">
        <x:v>213.8125</x:v>
      </x:c>
      <x:c r="G10" s="41" t="n">
        <x:v>115.2</x:v>
      </x:c>
      <x:c r="H10" s="41" t="n">
        <x:v>0</x:v>
      </x:c>
      <x:c r="I10" s="41" t="n">
        <x:v>0</x:v>
      </x:c>
      <x:c r="J10" s="41" t="n">
        <x:f>SUM(D10:I10)</x:f>
        <x:v>1429.0125</x:v>
      </x:c>
      <x:c r="K10" s="41" t="n">
        <x:f>K9+J10</x:f>
        <x:v>12102.1</x:v>
      </x:c>
      <x:c r="L10" s="41" t="n">
        <x:v>2450</x:v>
      </x:c>
      <x:c r="M10" s="41" t="n">
        <x:f>M9+L10</x:f>
        <x:v>25455.600000000002</x:v>
      </x:c>
      <x:c r="N10" s="41" t="n">
        <x:f>J10-L10</x:f>
        <x:v>-1020.9875</x:v>
      </x:c>
      <x:c r="O10" s="41" t="n">
        <x:f>K10-M10</x:f>
        <x:v>-13353.500000000002</x:v>
      </x:c>
      <x:c r="P10" s="41" t="n">
        <x:f>20000+O10</x:f>
        <x:v>6646.499999999998</x:v>
      </x:c>
      <x:c r="Q10" s="43" t="n">
        <x:v>160</x:v>
      </x:c>
      <x:c r="R10" s="43" t="n">
        <x:v>16</x:v>
      </x:c>
      <x:c r="S10" s="15" t="str"/>
    </x:row>
    <x:row r="11">
      <x:c r="A11" s="45" t="n">
        <x:v>1</x:v>
      </x:c>
      <x:c r="B11" s="43" t="str">
        <x:v>夏至</x:v>
      </x:c>
      <x:c r="C11" s="43" t="n">
        <x:v>2</x:v>
      </x:c>
      <x:c r="D11" s="41" t="n">
        <x:v>1000</x:v>
      </x:c>
      <x:c r="E11" s="41" t="n">
        <x:v>100</x:v>
      </x:c>
      <x:c r="F11" s="41" t="n">
        <x:v>213.8125</x:v>
      </x:c>
      <x:c r="G11" s="41" t="n">
        <x:v>115.2</x:v>
      </x:c>
      <x:c r="H11" s="41" t="n">
        <x:v>0</x:v>
      </x:c>
      <x:c r="I11" s="41" t="n">
        <x:v>0</x:v>
      </x:c>
      <x:c r="J11" s="41" t="n">
        <x:f>SUM(D11:I11)</x:f>
        <x:v>1429.0125</x:v>
      </x:c>
      <x:c r="K11" s="41" t="n">
        <x:f>K10+J11</x:f>
        <x:v>13531.112500000001</x:v>
      </x:c>
      <x:c r="L11" s="41" t="n">
        <x:v>3676.4</x:v>
      </x:c>
      <x:c r="M11" s="41" t="n">
        <x:f>M10+L11</x:f>
        <x:v>29132.000000000004</x:v>
      </x:c>
      <x:c r="N11" s="41" t="n">
        <x:f>J11-L11</x:f>
        <x:v>-2247.3875</x:v>
      </x:c>
      <x:c r="O11" s="41" t="n">
        <x:f>K11-M11</x:f>
        <x:v>-15600.887500000003</x:v>
      </x:c>
      <x:c r="P11" s="41" t="n">
        <x:f>20000+O11</x:f>
        <x:v>4399.112499999997</x:v>
      </x:c>
      <x:c r="Q11" s="43" t="n">
        <x:v>180</x:v>
      </x:c>
      <x:c r="R11" s="43" t="n">
        <x:v>18</x:v>
      </x:c>
      <x:c r="S11" s="15" t="str"/>
    </x:row>
    <x:row r="12">
      <x:c r="A12" s="45" t="n">
        <x:v>1</x:v>
      </x:c>
      <x:c r="B12" s="43" t="str">
        <x:v>小暑</x:v>
      </x:c>
      <x:c r="C12" s="43" t="n">
        <x:v>2</x:v>
      </x:c>
      <x:c r="D12" s="41" t="n">
        <x:v>1000</x:v>
      </x:c>
      <x:c r="E12" s="41" t="n">
        <x:v>100</x:v>
      </x:c>
      <x:c r="F12" s="41" t="n">
        <x:v>213.8125</x:v>
      </x:c>
      <x:c r="G12" s="41" t="n">
        <x:v>115.2</x:v>
      </x:c>
      <x:c r="H12" s="41" t="n">
        <x:v>0</x:v>
      </x:c>
      <x:c r="I12" s="41" t="n">
        <x:v>0</x:v>
      </x:c>
      <x:c r="J12" s="41" t="n">
        <x:f>SUM(D12:I12)</x:f>
        <x:v>1429.0125</x:v>
      </x:c>
      <x:c r="K12" s="41" t="n">
        <x:f>K11+J12</x:f>
        <x:v>14960.125000000002</x:v>
      </x:c>
      <x:c r="L12" s="41" t="n">
        <x:v>2450</x:v>
      </x:c>
      <x:c r="M12" s="41" t="n">
        <x:f>M11+L12</x:f>
        <x:v>31582.000000000004</x:v>
      </x:c>
      <x:c r="N12" s="41" t="n">
        <x:f>J12-L12</x:f>
        <x:v>-1020.9875</x:v>
      </x:c>
      <x:c r="O12" s="41" t="n">
        <x:f>K12-M12</x:f>
        <x:v>-16621.875</x:v>
      </x:c>
      <x:c r="P12" s="41" t="n">
        <x:f>20000+O12</x:f>
        <x:v>3378.125</x:v>
      </x:c>
      <x:c r="Q12" s="43" t="n">
        <x:v>200</x:v>
      </x:c>
      <x:c r="R12" s="43" t="n">
        <x:v>20</x:v>
      </x:c>
      <x:c r="S12" s="15" t="str"/>
    </x:row>
    <x:row r="13">
      <x:c r="A13" s="45" t="n">
        <x:v>1</x:v>
      </x:c>
      <x:c r="B13" s="43" t="str">
        <x:v>大暑</x:v>
      </x:c>
      <x:c r="C13" s="43" t="n">
        <x:v>2</x:v>
      </x:c>
      <x:c r="D13" s="41" t="n">
        <x:v>1000</x:v>
      </x:c>
      <x:c r="E13" s="41" t="n">
        <x:v>100</x:v>
      </x:c>
      <x:c r="F13" s="41" t="n">
        <x:v>213.8125</x:v>
      </x:c>
      <x:c r="G13" s="41" t="n">
        <x:v>115.2</x:v>
      </x:c>
      <x:c r="H13" s="41" t="n">
        <x:v>5000</x:v>
      </x:c>
      <x:c r="I13" s="41" t="n">
        <x:v>0</x:v>
      </x:c>
      <x:c r="J13" s="41" t="n">
        <x:f>SUM(D13:I13)</x:f>
        <x:v>6429.0125</x:v>
      </x:c>
      <x:c r="K13" s="41" t="n">
        <x:f>K12+J13</x:f>
        <x:v>21389.1375</x:v>
      </x:c>
      <x:c r="L13" s="41" t="n">
        <x:v>3276.4</x:v>
      </x:c>
      <x:c r="M13" s="41" t="n">
        <x:f>M12+L13</x:f>
        <x:v>34858.4</x:v>
      </x:c>
      <x:c r="N13" s="41" t="n">
        <x:f>J13-L13</x:f>
        <x:v>3152.6124999999997</x:v>
      </x:c>
      <x:c r="O13" s="41" t="n">
        <x:f>K13-M13</x:f>
        <x:v>-13469.2625</x:v>
      </x:c>
      <x:c r="P13" s="41" t="n">
        <x:f>20000+O13</x:f>
        <x:v>6530.737499999999</x:v>
      </x:c>
      <x:c r="Q13" s="43" t="n">
        <x:v>220</x:v>
      </x:c>
      <x:c r="R13" s="43" t="n">
        <x:v>22</x:v>
      </x:c>
      <x:c r="S13" s="15" t="str"/>
    </x:row>
    <x:row r="14">
      <x:c r="A14" s="45" t="n">
        <x:v>1</x:v>
      </x:c>
      <x:c r="B14" s="43" t="str">
        <x:v>立秋</x:v>
      </x:c>
      <x:c r="C14" s="43" t="n">
        <x:v>2</x:v>
      </x:c>
      <x:c r="D14" s="41" t="n">
        <x:v>1000</x:v>
      </x:c>
      <x:c r="E14" s="41" t="n">
        <x:v>100</x:v>
      </x:c>
      <x:c r="F14" s="41" t="n">
        <x:v>213.8125</x:v>
      </x:c>
      <x:c r="G14" s="41" t="n">
        <x:v>115.2</x:v>
      </x:c>
      <x:c r="H14" s="41" t="n">
        <x:v>0</x:v>
      </x:c>
      <x:c r="I14" s="41" t="n">
        <x:v>0</x:v>
      </x:c>
      <x:c r="J14" s="41" t="n">
        <x:f>SUM(D14:I14)</x:f>
        <x:v>1429.0125</x:v>
      </x:c>
      <x:c r="K14" s="41" t="n">
        <x:f>K13+J14</x:f>
        <x:v>22818.15</x:v>
      </x:c>
      <x:c r="L14" s="41" t="n">
        <x:v>2650</x:v>
      </x:c>
      <x:c r="M14" s="41" t="n">
        <x:f>M13+L14</x:f>
        <x:v>37508.4</x:v>
      </x:c>
      <x:c r="N14" s="41" t="n">
        <x:f>J14-L14</x:f>
        <x:v>-1220.9875</x:v>
      </x:c>
      <x:c r="O14" s="41" t="n">
        <x:f>K14-M14</x:f>
        <x:v>-14690.25</x:v>
      </x:c>
      <x:c r="P14" s="41" t="n">
        <x:f>20000+O14</x:f>
        <x:v>5309.75</x:v>
      </x:c>
      <x:c r="Q14" s="43" t="n">
        <x:v>240</x:v>
      </x:c>
      <x:c r="R14" s="43" t="n">
        <x:v>24</x:v>
      </x:c>
      <x:c r="S14" s="15" t="str"/>
    </x:row>
    <x:row r="15">
      <x:c r="A15" s="45" t="n">
        <x:v>1</x:v>
      </x:c>
      <x:c r="B15" s="43" t="str">
        <x:v>处暑</x:v>
      </x:c>
      <x:c r="C15" s="43" t="n">
        <x:v>2</x:v>
      </x:c>
      <x:c r="D15" s="41" t="n">
        <x:v>1000</x:v>
      </x:c>
      <x:c r="E15" s="41" t="n">
        <x:v>100</x:v>
      </x:c>
      <x:c r="F15" s="41" t="n">
        <x:v>213.8125</x:v>
      </x:c>
      <x:c r="G15" s="41" t="n">
        <x:v>115.2</x:v>
      </x:c>
      <x:c r="H15" s="41" t="n">
        <x:v>0</x:v>
      </x:c>
      <x:c r="I15" s="41" t="n">
        <x:v>0</x:v>
      </x:c>
      <x:c r="J15" s="41" t="n">
        <x:f>SUM(D15:I15)</x:f>
        <x:v>1429.0125</x:v>
      </x:c>
      <x:c r="K15" s="41" t="n">
        <x:f>K14+J15</x:f>
        <x:v>24247.162500000002</x:v>
      </x:c>
      <x:c r="L15" s="41" t="n">
        <x:v>4776.4</x:v>
      </x:c>
      <x:c r="M15" s="41" t="n">
        <x:f>M14+L15</x:f>
        <x:v>42284.8</x:v>
      </x:c>
      <x:c r="N15" s="41" t="n">
        <x:f>J15-L15</x:f>
        <x:v>-3347.3875</x:v>
      </x:c>
      <x:c r="O15" s="41" t="n">
        <x:f>K15-M15</x:f>
        <x:v>-18037.6375</x:v>
      </x:c>
      <x:c r="P15" s="41" t="n">
        <x:f>20000+O15</x:f>
        <x:v>1962.3624999999993</x:v>
      </x:c>
      <x:c r="Q15" s="43" t="n">
        <x:v>260</x:v>
      </x:c>
      <x:c r="R15" s="43" t="n">
        <x:v>26</x:v>
      </x:c>
      <x:c r="S15" s="15" t="str"/>
    </x:row>
    <x:row r="16">
      <x:c r="A16" s="45" t="n">
        <x:v>1</x:v>
      </x:c>
      <x:c r="B16" s="43" t="str">
        <x:v>白露</x:v>
      </x:c>
      <x:c r="C16" s="43" t="n">
        <x:v>2</x:v>
      </x:c>
      <x:c r="D16" s="41" t="n">
        <x:v>1000</x:v>
      </x:c>
      <x:c r="E16" s="41" t="n">
        <x:v>100</x:v>
      </x:c>
      <x:c r="F16" s="41" t="n">
        <x:v>213.8125</x:v>
      </x:c>
      <x:c r="G16" s="41" t="n">
        <x:v>115.2</x:v>
      </x:c>
      <x:c r="H16" s="41" t="n">
        <x:v>0</x:v>
      </x:c>
      <x:c r="I16" s="41" t="n">
        <x:v>0</x:v>
      </x:c>
      <x:c r="J16" s="41" t="n">
        <x:f>SUM(D16:I16)</x:f>
        <x:v>1429.0125</x:v>
      </x:c>
      <x:c r="K16" s="41" t="n">
        <x:f>K15+J16</x:f>
        <x:v>25676.175000000003</x:v>
      </x:c>
      <x:c r="L16" s="41" t="n">
        <x:v>1550</x:v>
      </x:c>
      <x:c r="M16" s="41" t="n">
        <x:f>M15+L16</x:f>
        <x:v>43834.8</x:v>
      </x:c>
      <x:c r="N16" s="41" t="n">
        <x:f>J16-L16</x:f>
        <x:v>-120.98749999999995</x:v>
      </x:c>
      <x:c r="O16" s="41" t="n">
        <x:f>K16-M16</x:f>
        <x:v>-18158.625</x:v>
      </x:c>
      <x:c r="P16" s="41" t="n">
        <x:f>20000+O16</x:f>
        <x:v>1841.375</x:v>
      </x:c>
      <x:c r="Q16" s="43" t="n">
        <x:v>280</x:v>
      </x:c>
      <x:c r="R16" s="43" t="n">
        <x:v>28</x:v>
      </x:c>
      <x:c r="S16" s="15" t="str"/>
    </x:row>
    <x:row r="17">
      <x:c r="A17" s="45" t="n">
        <x:v>1</x:v>
      </x:c>
      <x:c r="B17" s="43" t="str">
        <x:v>秋分</x:v>
      </x:c>
      <x:c r="C17" s="43" t="n">
        <x:v>2</x:v>
      </x:c>
      <x:c r="D17" s="41" t="n">
        <x:v>1000</x:v>
      </x:c>
      <x:c r="E17" s="41" t="n">
        <x:v>100</x:v>
      </x:c>
      <x:c r="F17" s="41" t="n">
        <x:v>213.8125</x:v>
      </x:c>
      <x:c r="G17" s="41" t="n">
        <x:v>115.2</x:v>
      </x:c>
      <x:c r="H17" s="41" t="n">
        <x:v>0</x:v>
      </x:c>
      <x:c r="I17" s="41" t="n">
        <x:v>0</x:v>
      </x:c>
      <x:c r="J17" s="41" t="n">
        <x:f>SUM(D17:I17)</x:f>
        <x:v>1429.0125</x:v>
      </x:c>
      <x:c r="K17" s="41" t="n">
        <x:f>K16+J17</x:f>
        <x:v>27105.187500000004</x:v>
      </x:c>
      <x:c r="L17" s="41" t="n">
        <x:v>3376.4</x:v>
      </x:c>
      <x:c r="M17" s="41" t="n">
        <x:f>M16+L17</x:f>
        <x:v>47211.200000000004</x:v>
      </x:c>
      <x:c r="N17" s="41" t="n">
        <x:f>J17-L17</x:f>
        <x:v>-1947.3875</x:v>
      </x:c>
      <x:c r="O17" s="41" t="n">
        <x:f>K17-M17</x:f>
        <x:v>-20106.0125</x:v>
      </x:c>
      <x:c r="P17" s="41" t="n">
        <x:f>20000+O17</x:f>
        <x:v>-106.01250000000073</x:v>
      </x:c>
      <x:c r="Q17" s="43" t="n">
        <x:v>300</x:v>
      </x:c>
      <x:c r="R17" s="43" t="n">
        <x:v>30</x:v>
      </x:c>
      <x:c r="S17" s="15" t="str"/>
    </x:row>
    <x:row r="18">
      <x:c r="A18" s="45" t="n">
        <x:v>1</x:v>
      </x:c>
      <x:c r="B18" s="43" t="str">
        <x:v>寒露</x:v>
      </x:c>
      <x:c r="C18" s="43" t="n">
        <x:v>2</x:v>
      </x:c>
      <x:c r="D18" s="41" t="n">
        <x:v>1000</x:v>
      </x:c>
      <x:c r="E18" s="41" t="n">
        <x:v>250</x:v>
      </x:c>
      <x:c r="F18" s="41" t="n">
        <x:v>213.8125</x:v>
      </x:c>
      <x:c r="G18" s="41" t="n">
        <x:v>115.2</x:v>
      </x:c>
      <x:c r="H18" s="41" t="n">
        <x:v>0</x:v>
      </x:c>
      <x:c r="I18" s="41" t="n">
        <x:v>0</x:v>
      </x:c>
      <x:c r="J18" s="41" t="n">
        <x:f>SUM(D18:I18)</x:f>
        <x:v>1579.0125</x:v>
      </x:c>
      <x:c r="K18" s="41" t="n">
        <x:f>K17+J18</x:f>
        <x:v>28684.200000000004</x:v>
      </x:c>
      <x:c r="L18" s="41" t="n">
        <x:v>1550</x:v>
      </x:c>
      <x:c r="M18" s="41" t="n">
        <x:f>M17+L18</x:f>
        <x:v>48761.200000000004</x:v>
      </x:c>
      <x:c r="N18" s="41" t="n">
        <x:f>J18-L18</x:f>
        <x:v>29.012500000000045</x:v>
      </x:c>
      <x:c r="O18" s="41" t="n">
        <x:f>K18-M18</x:f>
        <x:v>-20077</x:v>
      </x:c>
      <x:c r="P18" s="41" t="n">
        <x:f>20000+O18</x:f>
        <x:v>-77</x:v>
      </x:c>
      <x:c r="Q18" s="43" t="n">
        <x:v>320</x:v>
      </x:c>
      <x:c r="R18" s="43" t="n">
        <x:v>32</x:v>
      </x:c>
      <x:c r="S18" s="15" t="str"/>
    </x:row>
    <x:row r="19">
      <x:c r="A19" s="45" t="n">
        <x:v>1</x:v>
      </x:c>
      <x:c r="B19" s="43" t="str">
        <x:v>霜降</x:v>
      </x:c>
      <x:c r="C19" s="43" t="n">
        <x:v>2</x:v>
      </x:c>
      <x:c r="D19" s="41" t="n">
        <x:v>1000</x:v>
      </x:c>
      <x:c r="E19" s="41" t="n">
        <x:v>400</x:v>
      </x:c>
      <x:c r="F19" s="41" t="n">
        <x:v>213.8125</x:v>
      </x:c>
      <x:c r="G19" s="41" t="n">
        <x:v>115.2</x:v>
      </x:c>
      <x:c r="H19" s="41" t="n">
        <x:v>15000</x:v>
      </x:c>
      <x:c r="I19" s="41" t="n">
        <x:v>0</x:v>
      </x:c>
      <x:c r="J19" s="41" t="n">
        <x:f>SUM(D19:I19)</x:f>
        <x:v>16729.0125</x:v>
      </x:c>
      <x:c r="K19" s="41" t="n">
        <x:f>K18+J19</x:f>
        <x:v>45413.21250000001</x:v>
      </x:c>
      <x:c r="L19" s="41" t="n">
        <x:v>4276.4</x:v>
      </x:c>
      <x:c r="M19" s="41" t="n">
        <x:f>M18+L19</x:f>
        <x:v>53037.600000000006</x:v>
      </x:c>
      <x:c r="N19" s="41" t="n">
        <x:f>J19-L19</x:f>
        <x:v>12452.612500000001</x:v>
      </x:c>
      <x:c r="O19" s="41" t="n">
        <x:f>K19-M19</x:f>
        <x:v>-7624.387499999997</x:v>
      </x:c>
      <x:c r="P19" s="41" t="n">
        <x:f>20000+O19</x:f>
        <x:v>12375.612500000003</x:v>
      </x:c>
      <x:c r="Q19" s="43" t="n">
        <x:v>340</x:v>
      </x:c>
      <x:c r="R19" s="43" t="n">
        <x:v>34</x:v>
      </x:c>
      <x:c r="S19" s="15" t="str"/>
    </x:row>
    <x:row r="20">
      <x:c r="A20" s="45" t="n">
        <x:v>1</x:v>
      </x:c>
      <x:c r="B20" s="43" t="str">
        <x:v>立冬</x:v>
      </x:c>
      <x:c r="C20" s="43" t="n">
        <x:v>2</x:v>
      </x:c>
      <x:c r="D20" s="41" t="n">
        <x:v>1000</x:v>
      </x:c>
      <x:c r="E20" s="41" t="n">
        <x:v>400</x:v>
      </x:c>
      <x:c r="F20" s="41" t="n">
        <x:v>213.8125</x:v>
      </x:c>
      <x:c r="G20" s="41" t="n">
        <x:v>115.2</x:v>
      </x:c>
      <x:c r="H20" s="41" t="n">
        <x:v>0</x:v>
      </x:c>
      <x:c r="I20" s="41" t="n">
        <x:v>0</x:v>
      </x:c>
      <x:c r="J20" s="41" t="n">
        <x:f>SUM(D20:I20)</x:f>
        <x:v>1729.0125</x:v>
      </x:c>
      <x:c r="K20" s="41" t="n">
        <x:f>K19+J20</x:f>
        <x:v>47142.225000000006</x:v>
      </x:c>
      <x:c r="L20" s="41" t="n">
        <x:v>4750</x:v>
      </x:c>
      <x:c r="M20" s="41" t="n">
        <x:f>M19+L20</x:f>
        <x:v>57787.600000000006</x:v>
      </x:c>
      <x:c r="N20" s="41" t="n">
        <x:f>J20-L20</x:f>
        <x:v>-3020.9875</x:v>
      </x:c>
      <x:c r="O20" s="41" t="n">
        <x:f>K20-M20</x:f>
        <x:v>-10645.375</x:v>
      </x:c>
      <x:c r="P20" s="41" t="n">
        <x:f>20000+O20</x:f>
        <x:v>9354.625</x:v>
      </x:c>
      <x:c r="Q20" s="43" t="n">
        <x:v>360</x:v>
      </x:c>
      <x:c r="R20" s="43" t="n">
        <x:v>36</x:v>
      </x:c>
      <x:c r="S20" s="15" t="str"/>
    </x:row>
    <x:row r="21">
      <x:c r="A21" s="45" t="n">
        <x:v>1</x:v>
      </x:c>
      <x:c r="B21" s="43" t="str">
        <x:v>小雪</x:v>
      </x:c>
      <x:c r="C21" s="43" t="n">
        <x:v>2</x:v>
      </x:c>
      <x:c r="D21" s="41" t="n">
        <x:v>1000</x:v>
      </x:c>
      <x:c r="E21" s="41" t="n">
        <x:v>400</x:v>
      </x:c>
      <x:c r="F21" s="41" t="n">
        <x:v>213.8125</x:v>
      </x:c>
      <x:c r="G21" s="41" t="n">
        <x:v>115.2</x:v>
      </x:c>
      <x:c r="H21" s="41" t="n">
        <x:v>0</x:v>
      </x:c>
      <x:c r="I21" s="41" t="n">
        <x:v>0</x:v>
      </x:c>
      <x:c r="J21" s="41" t="n">
        <x:f>SUM(D21:I21)</x:f>
        <x:v>1729.0125</x:v>
      </x:c>
      <x:c r="K21" s="41" t="n">
        <x:f>K20+J21</x:f>
        <x:v>48871.2375</x:v>
      </x:c>
      <x:c r="L21" s="41" t="n">
        <x:v>2776.4</x:v>
      </x:c>
      <x:c r="M21" s="41" t="n">
        <x:f>M20+L21</x:f>
        <x:v>60564.00000000001</x:v>
      </x:c>
      <x:c r="N21" s="41" t="n">
        <x:f>J21-L21</x:f>
        <x:v>-1047.3875</x:v>
      </x:c>
      <x:c r="O21" s="41" t="n">
        <x:f>K21-M21</x:f>
        <x:v>-11692.762500000004</x:v>
      </x:c>
      <x:c r="P21" s="41" t="n">
        <x:f>20000+O21</x:f>
        <x:v>8307.237499999996</x:v>
      </x:c>
      <x:c r="Q21" s="43" t="n">
        <x:v>380</x:v>
      </x:c>
      <x:c r="R21" s="43" t="n">
        <x:v>38</x:v>
      </x:c>
      <x:c r="S21" s="15" t="str"/>
    </x:row>
    <x:row r="22">
      <x:c r="A22" s="45" t="n">
        <x:v>1</x:v>
      </x:c>
      <x:c r="B22" s="43" t="str">
        <x:v>大雪</x:v>
      </x:c>
      <x:c r="C22" s="43" t="n">
        <x:v>2</x:v>
      </x:c>
      <x:c r="D22" s="41" t="n">
        <x:v>1000</x:v>
      </x:c>
      <x:c r="E22" s="41" t="n">
        <x:v>400</x:v>
      </x:c>
      <x:c r="F22" s="41" t="n">
        <x:v>213.8125</x:v>
      </x:c>
      <x:c r="G22" s="41" t="n">
        <x:v>115.2</x:v>
      </x:c>
      <x:c r="H22" s="41" t="n">
        <x:v>0</x:v>
      </x:c>
      <x:c r="I22" s="41" t="n">
        <x:v>0</x:v>
      </x:c>
      <x:c r="J22" s="41" t="n">
        <x:f>SUM(D22:I22)</x:f>
        <x:v>1729.0125</x:v>
      </x:c>
      <x:c r="K22" s="41" t="n">
        <x:f>K21+J22</x:f>
        <x:v>50600.25</x:v>
      </x:c>
      <x:c r="L22" s="41" t="n">
        <x:v>1550</x:v>
      </x:c>
      <x:c r="M22" s="41" t="n">
        <x:f>M21+L22</x:f>
        <x:v>62114.00000000001</x:v>
      </x:c>
      <x:c r="N22" s="41" t="n">
        <x:f>J22-L22</x:f>
        <x:v>179.01250000000005</x:v>
      </x:c>
      <x:c r="O22" s="41" t="n">
        <x:f>K22-M22</x:f>
        <x:v>-11513.750000000007</x:v>
      </x:c>
      <x:c r="P22" s="41" t="n">
        <x:f>20000+O22</x:f>
        <x:v>8486.249999999993</x:v>
      </x:c>
      <x:c r="Q22" s="43" t="n">
        <x:v>400</x:v>
      </x:c>
      <x:c r="R22" s="43" t="n">
        <x:v>40</x:v>
      </x:c>
      <x:c r="S22" s="15" t="str"/>
    </x:row>
    <x:row r="23">
      <x:c r="A23" s="45" t="n">
        <x:v>1</x:v>
      </x:c>
      <x:c r="B23" s="43" t="str">
        <x:v>冬至</x:v>
      </x:c>
      <x:c r="C23" s="43" t="n">
        <x:v>2</x:v>
      </x:c>
      <x:c r="D23" s="41" t="n">
        <x:v>1000</x:v>
      </x:c>
      <x:c r="E23" s="41" t="n">
        <x:v>400</x:v>
      </x:c>
      <x:c r="F23" s="41" t="n">
        <x:v>213.8125</x:v>
      </x:c>
      <x:c r="G23" s="41" t="n">
        <x:v>115.2</x:v>
      </x:c>
      <x:c r="H23" s="41" t="n">
        <x:v>0</x:v>
      </x:c>
      <x:c r="I23" s="69" t="n">
        <x:v>1000</x:v>
      </x:c>
      <x:c r="J23" s="69" t="n">
        <x:f>SUM(D23:I23)</x:f>
        <x:v>2729.0125</x:v>
      </x:c>
      <x:c r="K23" s="69" t="n">
        <x:f>K22+J23</x:f>
        <x:v>53329.2625</x:v>
      </x:c>
      <x:c r="L23" s="69" t="n">
        <x:v>2776.4</x:v>
      </x:c>
      <x:c r="M23" s="69" t="n">
        <x:f>M22+L23</x:f>
        <x:v>64890.40000000001</x:v>
      </x:c>
      <x:c r="N23" s="69" t="n">
        <x:f>J23-L23</x:f>
        <x:v>-47.38750000000027</x:v>
      </x:c>
      <x:c r="O23" s="69" t="n">
        <x:f>K23-M23</x:f>
        <x:v>-11561.137500000012</x:v>
      </x:c>
      <x:c r="P23" s="69" t="n">
        <x:f>20000+O23</x:f>
        <x:v>8438.862499999988</x:v>
      </x:c>
      <x:c r="Q23" s="70" t="n">
        <x:v>420</x:v>
      </x:c>
      <x:c r="R23" s="70" t="n">
        <x:v>42</x:v>
      </x:c>
      <x:c r="S23" s="71" t="str">
        <x:v>023_02 谢飞燕肺气虚（银钱+1000）</x:v>
      </x:c>
    </x:row>
    <x:row r="24">
      <x:c r="A24" s="45" t="n">
        <x:v>1</x:v>
      </x:c>
      <x:c r="B24" s="43" t="str">
        <x:v>小寒</x:v>
      </x:c>
      <x:c r="C24" s="43" t="n">
        <x:v>2</x:v>
      </x:c>
      <x:c r="D24" s="41" t="n">
        <x:v>1000</x:v>
      </x:c>
      <x:c r="E24" s="41" t="n">
        <x:v>400</x:v>
      </x:c>
      <x:c r="F24" s="41" t="n">
        <x:v>213.8125</x:v>
      </x:c>
      <x:c r="G24" s="41" t="n">
        <x:v>115.2</x:v>
      </x:c>
      <x:c r="H24" s="41" t="n">
        <x:v>0</x:v>
      </x:c>
      <x:c r="I24" s="41" t="n">
        <x:v>0</x:v>
      </x:c>
      <x:c r="J24" s="41" t="n">
        <x:f>SUM(D24:I24)</x:f>
        <x:v>1729.0125</x:v>
      </x:c>
      <x:c r="K24" s="41" t="n">
        <x:f>K23+J24</x:f>
        <x:v>55058.274999999994</x:v>
      </x:c>
      <x:c r="L24" s="41" t="n">
        <x:v>1550</x:v>
      </x:c>
      <x:c r="M24" s="41" t="n">
        <x:f>M23+L24</x:f>
        <x:v>66440.40000000001</x:v>
      </x:c>
      <x:c r="N24" s="41" t="n">
        <x:f>J24-L24</x:f>
        <x:v>179.01250000000005</x:v>
      </x:c>
      <x:c r="O24" s="41" t="n">
        <x:f>K24-M24</x:f>
        <x:v>-11382.125000000015</x:v>
      </x:c>
      <x:c r="P24" s="41" t="n">
        <x:f>20000+O24</x:f>
        <x:v>8617.874999999985</x:v>
      </x:c>
      <x:c r="Q24" s="43" t="n">
        <x:v>440</x:v>
      </x:c>
      <x:c r="R24" s="43" t="n">
        <x:v>44</x:v>
      </x:c>
      <x:c r="S24" s="15" t="str"/>
    </x:row>
    <x:row r="25">
      <x:c r="A25" s="45" t="n">
        <x:v>1</x:v>
      </x:c>
      <x:c r="B25" s="43" t="str">
        <x:v>大寒</x:v>
      </x:c>
      <x:c r="C25" s="43" t="n">
        <x:v>2</x:v>
      </x:c>
      <x:c r="D25" s="41" t="n">
        <x:v>1000</x:v>
      </x:c>
      <x:c r="E25" s="41" t="n">
        <x:v>400</x:v>
      </x:c>
      <x:c r="F25" s="41" t="n">
        <x:v>213.8125</x:v>
      </x:c>
      <x:c r="G25" s="41" t="n">
        <x:v>115.2</x:v>
      </x:c>
      <x:c r="H25" s="41" t="n">
        <x:v>0</x:v>
      </x:c>
      <x:c r="I25" s="69" t="n">
        <x:v>1000</x:v>
      </x:c>
      <x:c r="J25" s="69" t="n">
        <x:f>SUM(D25:I25)</x:f>
        <x:v>2729.0125</x:v>
      </x:c>
      <x:c r="K25" s="69" t="n">
        <x:f>K24+J25</x:f>
        <x:v>57787.28749999999</x:v>
      </x:c>
      <x:c r="L25" s="69" t="n">
        <x:v>3376.4</x:v>
      </x:c>
      <x:c r="M25" s="69" t="n">
        <x:f>M24+L25</x:f>
        <x:v>69816.8</x:v>
      </x:c>
      <x:c r="N25" s="69" t="n">
        <x:f>J25-L25</x:f>
        <x:v>-647.3875000000003</x:v>
      </x:c>
      <x:c r="O25" s="69" t="n">
        <x:f>K25-M25</x:f>
        <x:v>-12029.512500000012</x:v>
      </x:c>
      <x:c r="P25" s="69" t="n">
        <x:f>20000+O25</x:f>
        <x:v>7970.487499999988</x:v>
      </x:c>
      <x:c r="Q25" s="70" t="n">
        <x:v>460</x:v>
      </x:c>
      <x:c r="R25" s="70" t="n">
        <x:v>46</x:v>
      </x:c>
      <x:c r="S25" s="71" t="str">
        <x:v>024_02 谢飞燕肺阴虚（银钱+1000）</x:v>
      </x:c>
    </x:row>
    <x:row r="26">
      <x:c r="A26" s="57" t="n">
        <x:v>2</x:v>
      </x:c>
      <x:c r="B26" s="58" t="str">
        <x:v>立春</x:v>
      </x:c>
      <x:c r="C26" s="58" t="n">
        <x:v>2</x:v>
      </x:c>
      <x:c r="D26" s="59" t="n">
        <x:v>1000</x:v>
      </x:c>
      <x:c r="E26" s="59" t="n">
        <x:v>400</x:v>
      </x:c>
      <x:c r="F26" s="59" t="n">
        <x:v>213.8125</x:v>
      </x:c>
      <x:c r="G26" s="59" t="n">
        <x:v>115.2</x:v>
      </x:c>
      <x:c r="H26" s="59" t="n">
        <x:v>0</x:v>
      </x:c>
      <x:c r="I26" s="59" t="n">
        <x:v>0</x:v>
      </x:c>
      <x:c r="J26" s="59" t="n">
        <x:f>SUM(D26:I26)</x:f>
        <x:v>1729.0125</x:v>
      </x:c>
      <x:c r="K26" s="59" t="n">
        <x:f>K25+J26</x:f>
        <x:v>59516.29999999999</x:v>
      </x:c>
      <x:c r="L26" s="59" t="n">
        <x:v>2650</x:v>
      </x:c>
      <x:c r="M26" s="59" t="n">
        <x:f>M25+L26</x:f>
        <x:v>72466.8</x:v>
      </x:c>
      <x:c r="N26" s="59" t="n">
        <x:f>J26-L26</x:f>
        <x:v>-920.9875</x:v>
      </x:c>
      <x:c r="O26" s="59" t="n">
        <x:f>K26-M26</x:f>
        <x:v>-12950.500000000015</x:v>
      </x:c>
      <x:c r="P26" s="59" t="n">
        <x:f>20000+O26</x:f>
        <x:v>7049.499999999985</x:v>
      </x:c>
      <x:c r="Q26" s="58" t="n">
        <x:v>480</x:v>
      </x:c>
      <x:c r="R26" s="58" t="n">
        <x:v>48</x:v>
      </x:c>
      <x:c r="S26" s="60" t="str"/>
    </x:row>
    <x:row r="27">
      <x:c r="A27" s="45" t="n">
        <x:v>2</x:v>
      </x:c>
      <x:c r="B27" s="43" t="str">
        <x:v>雨水</x:v>
      </x:c>
      <x:c r="C27" s="43" t="n">
        <x:v>2</x:v>
      </x:c>
      <x:c r="D27" s="41" t="n">
        <x:v>1000</x:v>
      </x:c>
      <x:c r="E27" s="41" t="n">
        <x:v>400</x:v>
      </x:c>
      <x:c r="F27" s="41" t="n">
        <x:v>213.8125</x:v>
      </x:c>
      <x:c r="G27" s="41" t="n">
        <x:v>115.2</x:v>
      </x:c>
      <x:c r="H27" s="41" t="n">
        <x:v>0</x:v>
      </x:c>
      <x:c r="I27" s="41" t="n">
        <x:v>0</x:v>
      </x:c>
      <x:c r="J27" s="41" t="n">
        <x:f>SUM(D27:I27)</x:f>
        <x:v>1729.0125</x:v>
      </x:c>
      <x:c r="K27" s="41" t="n">
        <x:f>K26+J27</x:f>
        <x:v>61245.312499999985</x:v>
      </x:c>
      <x:c r="L27" s="41" t="n">
        <x:v>2776.4</x:v>
      </x:c>
      <x:c r="M27" s="41" t="n">
        <x:f>M26+L27</x:f>
        <x:v>75243.2</x:v>
      </x:c>
      <x:c r="N27" s="41" t="n">
        <x:f>J27-L27</x:f>
        <x:v>-1047.3875</x:v>
      </x:c>
      <x:c r="O27" s="41" t="n">
        <x:f>K27-M27</x:f>
        <x:v>-13997.887500000012</x:v>
      </x:c>
      <x:c r="P27" s="41" t="n">
        <x:f>20000+O27</x:f>
        <x:v>6002.112499999988</x:v>
      </x:c>
      <x:c r="Q27" s="43" t="n">
        <x:v>500</x:v>
      </x:c>
      <x:c r="R27" s="43" t="n">
        <x:v>50</x:v>
      </x:c>
      <x:c r="S27" s="15" t="str"/>
    </x:row>
    <x:row r="28">
      <x:c r="A28" s="45" t="n">
        <x:v>2</x:v>
      </x:c>
      <x:c r="B28" s="43" t="str">
        <x:v>惊蛰</x:v>
      </x:c>
      <x:c r="C28" s="43" t="n">
        <x:v>2</x:v>
      </x:c>
      <x:c r="D28" s="41" t="n">
        <x:v>1000</x:v>
      </x:c>
      <x:c r="E28" s="41" t="n">
        <x:v>400</x:v>
      </x:c>
      <x:c r="F28" s="41" t="n">
        <x:v>213.8125</x:v>
      </x:c>
      <x:c r="G28" s="41" t="n">
        <x:v>115.2</x:v>
      </x:c>
      <x:c r="H28" s="41" t="n">
        <x:v>0</x:v>
      </x:c>
      <x:c r="I28" s="69" t="n">
        <x:v>1000</x:v>
      </x:c>
      <x:c r="J28" s="69" t="n">
        <x:f>SUM(D28:I28)</x:f>
        <x:v>2729.0125</x:v>
      </x:c>
      <x:c r="K28" s="69" t="n">
        <x:f>K27+J28</x:f>
        <x:v>63974.32499999998</x:v>
      </x:c>
      <x:c r="L28" s="69" t="n">
        <x:v>1550</x:v>
      </x:c>
      <x:c r="M28" s="69" t="n">
        <x:f>M27+L28</x:f>
        <x:v>76793.2</x:v>
      </x:c>
      <x:c r="N28" s="69" t="n">
        <x:f>J28-L28</x:f>
        <x:v>1179.0124999999998</x:v>
      </x:c>
      <x:c r="O28" s="69" t="n">
        <x:f>K28-M28</x:f>
        <x:v>-12818.875000000015</x:v>
      </x:c>
      <x:c r="P28" s="69" t="n">
        <x:f>20000+O28</x:f>
        <x:v>7181.124999999985</x:v>
      </x:c>
      <x:c r="Q28" s="70" t="n">
        <x:v>1520</x:v>
      </x:c>
      <x:c r="R28" s="70" t="n">
        <x:v>59</x:v>
      </x:c>
      <x:c r="S28" s="71" t="str">
        <x:v>024_04 王百堂来访（心得+7）；005_02 治愈世子（银钱+1000，名望+1000）</x:v>
      </x:c>
    </x:row>
    <x:row r="29">
      <x:c r="A29" s="45" t="n">
        <x:v>2</x:v>
      </x:c>
      <x:c r="B29" s="43" t="str">
        <x:v>春分</x:v>
      </x:c>
      <x:c r="C29" s="43" t="n">
        <x:v>2</x:v>
      </x:c>
      <x:c r="D29" s="41" t="n">
        <x:v>1000</x:v>
      </x:c>
      <x:c r="E29" s="41" t="n">
        <x:v>1000</x:v>
      </x:c>
      <x:c r="F29" s="41" t="n">
        <x:v>213.8125</x:v>
      </x:c>
      <x:c r="G29" s="41" t="n">
        <x:v>115.2</x:v>
      </x:c>
      <x:c r="H29" s="41" t="n">
        <x:v>0</x:v>
      </x:c>
      <x:c r="I29" s="41" t="n">
        <x:v>0</x:v>
      </x:c>
      <x:c r="J29" s="41" t="n">
        <x:f>SUM(D29:I29)</x:f>
        <x:v>2329.0125</x:v>
      </x:c>
      <x:c r="K29" s="41" t="n">
        <x:f>K28+J29</x:f>
        <x:v>66303.33749999998</x:v>
      </x:c>
      <x:c r="L29" s="41" t="n">
        <x:v>3376.4</x:v>
      </x:c>
      <x:c r="M29" s="41" t="n">
        <x:f>M28+L29</x:f>
        <x:v>80169.59999999999</x:v>
      </x:c>
      <x:c r="N29" s="41" t="n">
        <x:f>J29-L29</x:f>
        <x:v>-1047.3875000000003</x:v>
      </x:c>
      <x:c r="O29" s="41" t="n">
        <x:f>K29-M29</x:f>
        <x:v>-13866.262500000012</x:v>
      </x:c>
      <x:c r="P29" s="41" t="n">
        <x:f>20000+O29</x:f>
        <x:v>6133.737499999988</x:v>
      </x:c>
      <x:c r="Q29" s="43" t="n">
        <x:v>1540</x:v>
      </x:c>
      <x:c r="R29" s="43" t="n">
        <x:v>61</x:v>
      </x:c>
      <x:c r="S29" s="15" t="str"/>
    </x:row>
    <x:row r="30">
      <x:c r="A30" s="45" t="n">
        <x:v>2</x:v>
      </x:c>
      <x:c r="B30" s="43" t="str">
        <x:v>清明</x:v>
      </x:c>
      <x:c r="C30" s="43" t="n">
        <x:v>2</x:v>
      </x:c>
      <x:c r="D30" s="41" t="n">
        <x:v>1000</x:v>
      </x:c>
      <x:c r="E30" s="41" t="n">
        <x:v>1000</x:v>
      </x:c>
      <x:c r="F30" s="41" t="n">
        <x:v>213.8125</x:v>
      </x:c>
      <x:c r="G30" s="41" t="n">
        <x:v>115.2</x:v>
      </x:c>
      <x:c r="H30" s="41" t="n">
        <x:v>0</x:v>
      </x:c>
      <x:c r="I30" s="41" t="n">
        <x:v>0</x:v>
      </x:c>
      <x:c r="J30" s="41" t="n">
        <x:f>SUM(D30:I30)</x:f>
        <x:v>2329.0125</x:v>
      </x:c>
      <x:c r="K30" s="41" t="n">
        <x:f>K29+J30</x:f>
        <x:v>68632.34999999998</x:v>
      </x:c>
      <x:c r="L30" s="41" t="n">
        <x:v>3550</x:v>
      </x:c>
      <x:c r="M30" s="41" t="n">
        <x:f>M29+L30</x:f>
        <x:v>83719.59999999999</x:v>
      </x:c>
      <x:c r="N30" s="41" t="n">
        <x:f>J30-L30</x:f>
        <x:v>-1220.9875000000002</x:v>
      </x:c>
      <x:c r="O30" s="41" t="n">
        <x:f>K30-M30</x:f>
        <x:v>-15087.250000000015</x:v>
      </x:c>
      <x:c r="P30" s="41" t="n">
        <x:f>20000+O30</x:f>
        <x:v>4912.749999999985</x:v>
      </x:c>
      <x:c r="Q30" s="43" t="n">
        <x:v>1560</x:v>
      </x:c>
      <x:c r="R30" s="43" t="n">
        <x:v>63</x:v>
      </x:c>
      <x:c r="S30" s="15" t="str"/>
    </x:row>
    <x:row r="31">
      <x:c r="A31" s="45" t="n">
        <x:v>2</x:v>
      </x:c>
      <x:c r="B31" s="43" t="str">
        <x:v>谷雨</x:v>
      </x:c>
      <x:c r="C31" s="43" t="n">
        <x:v>2</x:v>
      </x:c>
      <x:c r="D31" s="41" t="n">
        <x:v>1000</x:v>
      </x:c>
      <x:c r="E31" s="41" t="n">
        <x:v>1000</x:v>
      </x:c>
      <x:c r="F31" s="41" t="n">
        <x:v>213.8125</x:v>
      </x:c>
      <x:c r="G31" s="41" t="n">
        <x:v>115.2</x:v>
      </x:c>
      <x:c r="H31" s="41" t="n">
        <x:v>0</x:v>
      </x:c>
      <x:c r="I31" s="41" t="n">
        <x:v>0</x:v>
      </x:c>
      <x:c r="J31" s="41" t="n">
        <x:f>SUM(D31:I31)</x:f>
        <x:v>2329.0125</x:v>
      </x:c>
      <x:c r="K31" s="41" t="n">
        <x:f>K30+J31</x:f>
        <x:v>70961.36249999997</x:v>
      </x:c>
      <x:c r="L31" s="41" t="n">
        <x:v>2776.4</x:v>
      </x:c>
      <x:c r="M31" s="41" t="n">
        <x:f>M30+L31</x:f>
        <x:v>86495.99999999999</x:v>
      </x:c>
      <x:c r="N31" s="41" t="n">
        <x:f>J31-L31</x:f>
        <x:v>-447.3875000000003</x:v>
      </x:c>
      <x:c r="O31" s="41" t="n">
        <x:f>K31-M31</x:f>
        <x:v>-15534.637500000012</x:v>
      </x:c>
      <x:c r="P31" s="41" t="n">
        <x:f>20000+O31</x:f>
        <x:v>4465.362499999988</x:v>
      </x:c>
      <x:c r="Q31" s="43" t="n">
        <x:v>1580</x:v>
      </x:c>
      <x:c r="R31" s="43" t="n">
        <x:v>65</x:v>
      </x:c>
      <x:c r="S31" s="15" t="str"/>
    </x:row>
    <x:row r="32">
      <x:c r="A32" s="45" t="n">
        <x:v>2</x:v>
      </x:c>
      <x:c r="B32" s="43" t="str">
        <x:v>立夏</x:v>
      </x:c>
      <x:c r="C32" s="43" t="n">
        <x:v>2</x:v>
      </x:c>
      <x:c r="D32" s="41" t="n">
        <x:v>1000</x:v>
      </x:c>
      <x:c r="E32" s="41" t="n">
        <x:v>1000</x:v>
      </x:c>
      <x:c r="F32" s="41" t="n">
        <x:v>213.8125</x:v>
      </x:c>
      <x:c r="G32" s="41" t="n">
        <x:v>115.2</x:v>
      </x:c>
      <x:c r="H32" s="41" t="n">
        <x:v>0</x:v>
      </x:c>
      <x:c r="I32" s="41" t="n">
        <x:v>0</x:v>
      </x:c>
      <x:c r="J32" s="41" t="n">
        <x:f>SUM(D32:I32)</x:f>
        <x:v>2329.0125</x:v>
      </x:c>
      <x:c r="K32" s="41" t="n">
        <x:f>K31+J32</x:f>
        <x:v>73290.37499999997</x:v>
      </x:c>
      <x:c r="L32" s="41" t="n">
        <x:v>2650</x:v>
      </x:c>
      <x:c r="M32" s="41" t="n">
        <x:f>M31+L32</x:f>
        <x:v>89145.99999999999</x:v>
      </x:c>
      <x:c r="N32" s="41" t="n">
        <x:f>J32-L32</x:f>
        <x:v>-320.9875000000002</x:v>
      </x:c>
      <x:c r="O32" s="41" t="n">
        <x:f>K32-M32</x:f>
        <x:v>-15855.625000000015</x:v>
      </x:c>
      <x:c r="P32" s="41" t="n">
        <x:f>20000+O32</x:f>
        <x:v>4144.374999999985</x:v>
      </x:c>
      <x:c r="Q32" s="43" t="n">
        <x:v>1600</x:v>
      </x:c>
      <x:c r="R32" s="43" t="n">
        <x:v>67</x:v>
      </x:c>
      <x:c r="S32" s="15" t="str"/>
    </x:row>
    <x:row r="33">
      <x:c r="A33" s="45" t="n">
        <x:v>2</x:v>
      </x:c>
      <x:c r="B33" s="43" t="str">
        <x:v>小满</x:v>
      </x:c>
      <x:c r="C33" s="43" t="n">
        <x:v>2</x:v>
      </x:c>
      <x:c r="D33" s="41" t="n">
        <x:v>1000</x:v>
      </x:c>
      <x:c r="E33" s="41" t="n">
        <x:v>1000</x:v>
      </x:c>
      <x:c r="F33" s="41" t="n">
        <x:v>213.8125</x:v>
      </x:c>
      <x:c r="G33" s="41" t="n">
        <x:v>115.2</x:v>
      </x:c>
      <x:c r="H33" s="41" t="n">
        <x:v>0</x:v>
      </x:c>
      <x:c r="I33" s="41" t="n">
        <x:v>0</x:v>
      </x:c>
      <x:c r="J33" s="41" t="n">
        <x:f>SUM(D33:I33)</x:f>
        <x:v>2329.0125</x:v>
      </x:c>
      <x:c r="K33" s="41" t="n">
        <x:f>K32+J33</x:f>
        <x:v>75619.38749999997</x:v>
      </x:c>
      <x:c r="L33" s="41" t="n">
        <x:v>3676.4</x:v>
      </x:c>
      <x:c r="M33" s="41" t="n">
        <x:f>M32+L33</x:f>
        <x:v>92822.39999999998</x:v>
      </x:c>
      <x:c r="N33" s="41" t="n">
        <x:f>J33-L33</x:f>
        <x:v>-1347.3875000000003</x:v>
      </x:c>
      <x:c r="O33" s="41" t="n">
        <x:f>K33-M33</x:f>
        <x:v>-17203.01250000001</x:v>
      </x:c>
      <x:c r="P33" s="41" t="n">
        <x:f>20000+O33</x:f>
        <x:v>2796.9874999999884</x:v>
      </x:c>
      <x:c r="Q33" s="43" t="n">
        <x:v>1620</x:v>
      </x:c>
      <x:c r="R33" s="43" t="n">
        <x:v>69</x:v>
      </x:c>
      <x:c r="S33" s="15" t="str"/>
    </x:row>
    <x:row r="34">
      <x:c r="A34" s="45" t="n">
        <x:v>2</x:v>
      </x:c>
      <x:c r="B34" s="43" t="str">
        <x:v>芒种</x:v>
      </x:c>
      <x:c r="C34" s="43" t="n">
        <x:v>2</x:v>
      </x:c>
      <x:c r="D34" s="41" t="n">
        <x:v>1000</x:v>
      </x:c>
      <x:c r="E34" s="41" t="n">
        <x:v>1000</x:v>
      </x:c>
      <x:c r="F34" s="41" t="n">
        <x:v>213.8125</x:v>
      </x:c>
      <x:c r="G34" s="41" t="n">
        <x:v>115.2</x:v>
      </x:c>
      <x:c r="H34" s="41" t="n">
        <x:v>0</x:v>
      </x:c>
      <x:c r="I34" s="41" t="n">
        <x:v>0</x:v>
      </x:c>
      <x:c r="J34" s="41" t="n">
        <x:f>SUM(D34:I34)</x:f>
        <x:v>2329.0125</x:v>
      </x:c>
      <x:c r="K34" s="41" t="n">
        <x:f>K33+J34</x:f>
        <x:v>77948.39999999997</x:v>
      </x:c>
      <x:c r="L34" s="41" t="n">
        <x:v>2450</x:v>
      </x:c>
      <x:c r="M34" s="41" t="n">
        <x:f>M33+L34</x:f>
        <x:v>95272.39999999998</x:v>
      </x:c>
      <x:c r="N34" s="41" t="n">
        <x:f>J34-L34</x:f>
        <x:v>-120.98750000000018</x:v>
      </x:c>
      <x:c r="O34" s="41" t="n">
        <x:f>K34-M34</x:f>
        <x:v>-17324.000000000015</x:v>
      </x:c>
      <x:c r="P34" s="41" t="n">
        <x:f>20000+O34</x:f>
        <x:v>2675.9999999999854</x:v>
      </x:c>
      <x:c r="Q34" s="43" t="n">
        <x:v>1640</x:v>
      </x:c>
      <x:c r="R34" s="43" t="n">
        <x:v>71</x:v>
      </x:c>
      <x:c r="S34" s="15" t="str"/>
    </x:row>
    <x:row r="35">
      <x:c r="A35" s="45" t="n">
        <x:v>2</x:v>
      </x:c>
      <x:c r="B35" s="43" t="str">
        <x:v>夏至</x:v>
      </x:c>
      <x:c r="C35" s="43" t="n">
        <x:v>2</x:v>
      </x:c>
      <x:c r="D35" s="41" t="n">
        <x:v>1000</x:v>
      </x:c>
      <x:c r="E35" s="41" t="n">
        <x:v>1000</x:v>
      </x:c>
      <x:c r="F35" s="41" t="n">
        <x:v>213.8125</x:v>
      </x:c>
      <x:c r="G35" s="41" t="n">
        <x:v>115.2</x:v>
      </x:c>
      <x:c r="H35" s="41" t="n">
        <x:v>0</x:v>
      </x:c>
      <x:c r="I35" s="41" t="n">
        <x:v>0</x:v>
      </x:c>
      <x:c r="J35" s="41" t="n">
        <x:f>SUM(D35:I35)</x:f>
        <x:v>2329.0125</x:v>
      </x:c>
      <x:c r="K35" s="41" t="n">
        <x:f>K34+J35</x:f>
        <x:v>80277.41249999996</x:v>
      </x:c>
      <x:c r="L35" s="41" t="n">
        <x:v>3676.4</x:v>
      </x:c>
      <x:c r="M35" s="41" t="n">
        <x:f>M34+L35</x:f>
        <x:v>98948.79999999997</x:v>
      </x:c>
      <x:c r="N35" s="41" t="n">
        <x:f>J35-L35</x:f>
        <x:v>-1347.3875000000003</x:v>
      </x:c>
      <x:c r="O35" s="41" t="n">
        <x:f>K35-M35</x:f>
        <x:v>-18671.38750000001</x:v>
      </x:c>
      <x:c r="P35" s="41" t="n">
        <x:f>20000+O35</x:f>
        <x:v>1328.6124999999884</x:v>
      </x:c>
      <x:c r="Q35" s="43" t="n">
        <x:v>1660</x:v>
      </x:c>
      <x:c r="R35" s="43" t="n">
        <x:v>73</x:v>
      </x:c>
      <x:c r="S35" s="15" t="str"/>
    </x:row>
    <x:row r="36">
      <x:c r="A36" s="45" t="n">
        <x:v>2</x:v>
      </x:c>
      <x:c r="B36" s="43" t="str">
        <x:v>小暑</x:v>
      </x:c>
      <x:c r="C36" s="43" t="n">
        <x:v>2</x:v>
      </x:c>
      <x:c r="D36" s="41" t="n">
        <x:v>1000</x:v>
      </x:c>
      <x:c r="E36" s="41" t="n">
        <x:v>1000</x:v>
      </x:c>
      <x:c r="F36" s="41" t="n">
        <x:v>213.8125</x:v>
      </x:c>
      <x:c r="G36" s="41" t="n">
        <x:v>115.2</x:v>
      </x:c>
      <x:c r="H36" s="41" t="n">
        <x:v>0</x:v>
      </x:c>
      <x:c r="I36" s="41" t="n">
        <x:v>0</x:v>
      </x:c>
      <x:c r="J36" s="41" t="n">
        <x:f>SUM(D36:I36)</x:f>
        <x:v>2329.0125</x:v>
      </x:c>
      <x:c r="K36" s="41" t="n">
        <x:f>K35+J36</x:f>
        <x:v>82606.42499999996</x:v>
      </x:c>
      <x:c r="L36" s="41" t="n">
        <x:v>2450</x:v>
      </x:c>
      <x:c r="M36" s="41" t="n">
        <x:f>M35+L36</x:f>
        <x:v>101398.79999999997</x:v>
      </x:c>
      <x:c r="N36" s="41" t="n">
        <x:f>J36-L36</x:f>
        <x:v>-120.98750000000018</x:v>
      </x:c>
      <x:c r="O36" s="41" t="n">
        <x:f>K36-M36</x:f>
        <x:v>-18792.375000000015</x:v>
      </x:c>
      <x:c r="P36" s="41" t="n">
        <x:f>20000+O36</x:f>
        <x:v>1207.6249999999854</x:v>
      </x:c>
      <x:c r="Q36" s="43" t="n">
        <x:v>1680</x:v>
      </x:c>
      <x:c r="R36" s="43" t="n">
        <x:v>75</x:v>
      </x:c>
      <x:c r="S36" s="15" t="str"/>
    </x:row>
    <x:row r="37">
      <x:c r="A37" s="45" t="n">
        <x:v>2</x:v>
      </x:c>
      <x:c r="B37" s="43" t="str">
        <x:v>大暑</x:v>
      </x:c>
      <x:c r="C37" s="43" t="n">
        <x:v>2</x:v>
      </x:c>
      <x:c r="D37" s="41" t="n">
        <x:v>1000</x:v>
      </x:c>
      <x:c r="E37" s="41" t="n">
        <x:v>1000</x:v>
      </x:c>
      <x:c r="F37" s="41" t="n">
        <x:v>213.8125</x:v>
      </x:c>
      <x:c r="G37" s="41" t="n">
        <x:v>115.2</x:v>
      </x:c>
      <x:c r="H37" s="41" t="n">
        <x:v>5000</x:v>
      </x:c>
      <x:c r="I37" s="41" t="n">
        <x:v>0</x:v>
      </x:c>
      <x:c r="J37" s="41" t="n">
        <x:f>SUM(D37:I37)</x:f>
        <x:v>7329.0125</x:v>
      </x:c>
      <x:c r="K37" s="41" t="n">
        <x:f>K36+J37</x:f>
        <x:v>89935.43749999996</x:v>
      </x:c>
      <x:c r="L37" s="41" t="n">
        <x:v>3276.4</x:v>
      </x:c>
      <x:c r="M37" s="41" t="n">
        <x:f>M36+L37</x:f>
        <x:v>104675.19999999997</x:v>
      </x:c>
      <x:c r="N37" s="41" t="n">
        <x:f>J37-L37</x:f>
        <x:v>4052.6124999999997</x:v>
      </x:c>
      <x:c r="O37" s="41" t="n">
        <x:f>K37-M37</x:f>
        <x:v>-14739.762500000012</x:v>
      </x:c>
      <x:c r="P37" s="41" t="n">
        <x:f>20000+O37</x:f>
        <x:v>5260.237499999988</x:v>
      </x:c>
      <x:c r="Q37" s="43" t="n">
        <x:v>1700</x:v>
      </x:c>
      <x:c r="R37" s="43" t="n">
        <x:v>77</x:v>
      </x:c>
      <x:c r="S37" s="15" t="str"/>
    </x:row>
    <x:row r="38">
      <x:c r="A38" s="45" t="n">
        <x:v>2</x:v>
      </x:c>
      <x:c r="B38" s="43" t="str">
        <x:v>立秋</x:v>
      </x:c>
      <x:c r="C38" s="43" t="n">
        <x:v>2</x:v>
      </x:c>
      <x:c r="D38" s="41" t="n">
        <x:v>1000</x:v>
      </x:c>
      <x:c r="E38" s="41" t="n">
        <x:v>1000</x:v>
      </x:c>
      <x:c r="F38" s="41" t="n">
        <x:v>213.8125</x:v>
      </x:c>
      <x:c r="G38" s="41" t="n">
        <x:v>115.2</x:v>
      </x:c>
      <x:c r="H38" s="41" t="n">
        <x:v>0</x:v>
      </x:c>
      <x:c r="I38" s="41" t="n">
        <x:v>0</x:v>
      </x:c>
      <x:c r="J38" s="41" t="n">
        <x:f>SUM(D38:I38)</x:f>
        <x:v>2329.0125</x:v>
      </x:c>
      <x:c r="K38" s="41" t="n">
        <x:f>K37+J38</x:f>
        <x:v>92264.44999999995</x:v>
      </x:c>
      <x:c r="L38" s="41" t="n">
        <x:v>2650</x:v>
      </x:c>
      <x:c r="M38" s="41" t="n">
        <x:f>M37+L38</x:f>
        <x:v>107325.19999999997</x:v>
      </x:c>
      <x:c r="N38" s="41" t="n">
        <x:f>J38-L38</x:f>
        <x:v>-320.9875000000002</x:v>
      </x:c>
      <x:c r="O38" s="41" t="n">
        <x:f>K38-M38</x:f>
        <x:v>-15060.750000000015</x:v>
      </x:c>
      <x:c r="P38" s="41" t="n">
        <x:f>20000+O38</x:f>
        <x:v>4939.249999999985</x:v>
      </x:c>
      <x:c r="Q38" s="43" t="n">
        <x:v>1720</x:v>
      </x:c>
      <x:c r="R38" s="43" t="n">
        <x:v>79</x:v>
      </x:c>
      <x:c r="S38" s="15" t="str"/>
    </x:row>
    <x:row r="39">
      <x:c r="A39" s="45" t="n">
        <x:v>2</x:v>
      </x:c>
      <x:c r="B39" s="43" t="str">
        <x:v>处暑</x:v>
      </x:c>
      <x:c r="C39" s="43" t="n">
        <x:v>2</x:v>
      </x:c>
      <x:c r="D39" s="41" t="n">
        <x:v>1000</x:v>
      </x:c>
      <x:c r="E39" s="41" t="n">
        <x:v>1000</x:v>
      </x:c>
      <x:c r="F39" s="41" t="n">
        <x:v>213.8125</x:v>
      </x:c>
      <x:c r="G39" s="41" t="n">
        <x:v>115.2</x:v>
      </x:c>
      <x:c r="H39" s="41" t="n">
        <x:v>0</x:v>
      </x:c>
      <x:c r="I39" s="41" t="n">
        <x:v>0</x:v>
      </x:c>
      <x:c r="J39" s="41" t="n">
        <x:f>SUM(D39:I39)</x:f>
        <x:v>2329.0125</x:v>
      </x:c>
      <x:c r="K39" s="41" t="n">
        <x:f>K38+J39</x:f>
        <x:v>94593.46249999995</x:v>
      </x:c>
      <x:c r="L39" s="41" t="n">
        <x:v>4776.4</x:v>
      </x:c>
      <x:c r="M39" s="41" t="n">
        <x:f>M38+L39</x:f>
        <x:v>112101.59999999996</x:v>
      </x:c>
      <x:c r="N39" s="41" t="n">
        <x:f>J39-L39</x:f>
        <x:v>-2447.3875</x:v>
      </x:c>
      <x:c r="O39" s="41" t="n">
        <x:f>K39-M39</x:f>
        <x:v>-17508.13750000001</x:v>
      </x:c>
      <x:c r="P39" s="41" t="n">
        <x:f>20000+O39</x:f>
        <x:v>2491.8624999999884</x:v>
      </x:c>
      <x:c r="Q39" s="43" t="n">
        <x:v>1740</x:v>
      </x:c>
      <x:c r="R39" s="43" t="n">
        <x:v>81</x:v>
      </x:c>
      <x:c r="S39" s="15" t="str"/>
    </x:row>
    <x:row r="40">
      <x:c r="A40" s="45" t="n">
        <x:v>2</x:v>
      </x:c>
      <x:c r="B40" s="43" t="str">
        <x:v>白露</x:v>
      </x:c>
      <x:c r="C40" s="43" t="n">
        <x:v>2</x:v>
      </x:c>
      <x:c r="D40" s="41" t="n">
        <x:v>1000</x:v>
      </x:c>
      <x:c r="E40" s="41" t="n">
        <x:v>1000</x:v>
      </x:c>
      <x:c r="F40" s="41" t="n">
        <x:v>213.8125</x:v>
      </x:c>
      <x:c r="G40" s="41" t="n">
        <x:v>115.2</x:v>
      </x:c>
      <x:c r="H40" s="41" t="n">
        <x:v>0</x:v>
      </x:c>
      <x:c r="I40" s="41" t="n">
        <x:v>0</x:v>
      </x:c>
      <x:c r="J40" s="41" t="n">
        <x:f>SUM(D40:I40)</x:f>
        <x:v>2329.0125</x:v>
      </x:c>
      <x:c r="K40" s="41" t="n">
        <x:f>K39+J40</x:f>
        <x:v>96922.47499999995</x:v>
      </x:c>
      <x:c r="L40" s="41" t="n">
        <x:v>1550</x:v>
      </x:c>
      <x:c r="M40" s="41" t="n">
        <x:f>M39+L40</x:f>
        <x:v>113651.59999999996</x:v>
      </x:c>
      <x:c r="N40" s="41" t="n">
        <x:f>J40-L40</x:f>
        <x:v>779.0124999999998</x:v>
      </x:c>
      <x:c r="O40" s="41" t="n">
        <x:f>K40-M40</x:f>
        <x:v>-16729.125000000015</x:v>
      </x:c>
      <x:c r="P40" s="41" t="n">
        <x:f>20000+O40</x:f>
        <x:v>3270.8749999999854</x:v>
      </x:c>
      <x:c r="Q40" s="43" t="n">
        <x:v>1760</x:v>
      </x:c>
      <x:c r="R40" s="43" t="n">
        <x:v>83</x:v>
      </x:c>
      <x:c r="S40" s="15" t="str"/>
    </x:row>
    <x:row r="41">
      <x:c r="A41" s="45" t="n">
        <x:v>2</x:v>
      </x:c>
      <x:c r="B41" s="43" t="str">
        <x:v>秋分</x:v>
      </x:c>
      <x:c r="C41" s="43" t="n">
        <x:v>2</x:v>
      </x:c>
      <x:c r="D41" s="41" t="n">
        <x:v>1000</x:v>
      </x:c>
      <x:c r="E41" s="41" t="n">
        <x:v>1000</x:v>
      </x:c>
      <x:c r="F41" s="41" t="n">
        <x:v>213.8125</x:v>
      </x:c>
      <x:c r="G41" s="41" t="n">
        <x:v>115.2</x:v>
      </x:c>
      <x:c r="H41" s="41" t="n">
        <x:v>0</x:v>
      </x:c>
      <x:c r="I41" s="41" t="n">
        <x:v>0</x:v>
      </x:c>
      <x:c r="J41" s="41" t="n">
        <x:f>SUM(D41:I41)</x:f>
        <x:v>2329.0125</x:v>
      </x:c>
      <x:c r="K41" s="41" t="n">
        <x:f>K40+J41</x:f>
        <x:v>99251.48749999994</x:v>
      </x:c>
      <x:c r="L41" s="41" t="n">
        <x:v>3376.4</x:v>
      </x:c>
      <x:c r="M41" s="41" t="n">
        <x:f>M40+L41</x:f>
        <x:v>117027.99999999996</x:v>
      </x:c>
      <x:c r="N41" s="41" t="n">
        <x:f>J41-L41</x:f>
        <x:v>-1047.3875000000003</x:v>
      </x:c>
      <x:c r="O41" s="41" t="n">
        <x:f>K41-M41</x:f>
        <x:v>-17776.51250000001</x:v>
      </x:c>
      <x:c r="P41" s="41" t="n">
        <x:f>20000+O41</x:f>
        <x:v>2223.4874999999884</x:v>
      </x:c>
      <x:c r="Q41" s="43" t="n">
        <x:v>1780</x:v>
      </x:c>
      <x:c r="R41" s="43" t="n">
        <x:v>85</x:v>
      </x:c>
      <x:c r="S41" s="15" t="str"/>
    </x:row>
    <x:row r="42">
      <x:c r="A42" s="45" t="n">
        <x:v>2</x:v>
      </x:c>
      <x:c r="B42" s="43" t="str">
        <x:v>寒露</x:v>
      </x:c>
      <x:c r="C42" s="43" t="n">
        <x:v>2</x:v>
      </x:c>
      <x:c r="D42" s="41" t="n">
        <x:v>1000</x:v>
      </x:c>
      <x:c r="E42" s="41" t="n">
        <x:v>1000</x:v>
      </x:c>
      <x:c r="F42" s="41" t="n">
        <x:v>213.8125</x:v>
      </x:c>
      <x:c r="G42" s="41" t="n">
        <x:v>115.2</x:v>
      </x:c>
      <x:c r="H42" s="41" t="n">
        <x:v>0</x:v>
      </x:c>
      <x:c r="I42" s="41" t="n">
        <x:v>0</x:v>
      </x:c>
      <x:c r="J42" s="41" t="n">
        <x:f>SUM(D42:I42)</x:f>
        <x:v>2329.0125</x:v>
      </x:c>
      <x:c r="K42" s="41" t="n">
        <x:f>K41+J42</x:f>
        <x:v>101580.49999999994</x:v>
      </x:c>
      <x:c r="L42" s="41" t="n">
        <x:v>1550</x:v>
      </x:c>
      <x:c r="M42" s="41" t="n">
        <x:f>M41+L42</x:f>
        <x:v>118577.99999999996</x:v>
      </x:c>
      <x:c r="N42" s="41" t="n">
        <x:f>J42-L42</x:f>
        <x:v>779.0124999999998</x:v>
      </x:c>
      <x:c r="O42" s="41" t="n">
        <x:f>K42-M42</x:f>
        <x:v>-16997.500000000015</x:v>
      </x:c>
      <x:c r="P42" s="41" t="n">
        <x:f>20000+O42</x:f>
        <x:v>3002.4999999999854</x:v>
      </x:c>
      <x:c r="Q42" s="43" t="n">
        <x:v>1800</x:v>
      </x:c>
      <x:c r="R42" s="43" t="n">
        <x:v>87</x:v>
      </x:c>
      <x:c r="S42" s="15" t="str"/>
    </x:row>
    <x:row r="43">
      <x:c r="A43" s="45" t="n">
        <x:v>2</x:v>
      </x:c>
      <x:c r="B43" s="43" t="str">
        <x:v>霜降</x:v>
      </x:c>
      <x:c r="C43" s="43" t="n">
        <x:v>2</x:v>
      </x:c>
      <x:c r="D43" s="41" t="n">
        <x:v>1000</x:v>
      </x:c>
      <x:c r="E43" s="41" t="n">
        <x:v>1000</x:v>
      </x:c>
      <x:c r="F43" s="41" t="n">
        <x:v>213.8125</x:v>
      </x:c>
      <x:c r="G43" s="41" t="n">
        <x:v>115.2</x:v>
      </x:c>
      <x:c r="H43" s="41" t="n">
        <x:v>15000</x:v>
      </x:c>
      <x:c r="I43" s="41" t="n">
        <x:v>0</x:v>
      </x:c>
      <x:c r="J43" s="41" t="n">
        <x:f>SUM(D43:I43)</x:f>
        <x:v>17329.0125</x:v>
      </x:c>
      <x:c r="K43" s="41" t="n">
        <x:f>K42+J43</x:f>
        <x:v>118909.51249999994</x:v>
      </x:c>
      <x:c r="L43" s="41" t="n">
        <x:v>4276.4</x:v>
      </x:c>
      <x:c r="M43" s="41" t="n">
        <x:f>M42+L43</x:f>
        <x:v>122854.39999999995</x:v>
      </x:c>
      <x:c r="N43" s="41" t="n">
        <x:f>J43-L43</x:f>
        <x:v>13052.612500000001</x:v>
      </x:c>
      <x:c r="O43" s="41" t="n">
        <x:f>K43-M43</x:f>
        <x:v>-3944.8875000000116</x:v>
      </x:c>
      <x:c r="P43" s="41" t="n">
        <x:f>20000+O43</x:f>
        <x:v>16055.112499999988</x:v>
      </x:c>
      <x:c r="Q43" s="43" t="n">
        <x:v>1820</x:v>
      </x:c>
      <x:c r="R43" s="43" t="n">
        <x:v>89</x:v>
      </x:c>
      <x:c r="S43" s="15" t="str"/>
    </x:row>
    <x:row r="44">
      <x:c r="A44" s="45" t="n">
        <x:v>2</x:v>
      </x:c>
      <x:c r="B44" s="43" t="str">
        <x:v>立冬</x:v>
      </x:c>
      <x:c r="C44" s="43" t="n">
        <x:v>2</x:v>
      </x:c>
      <x:c r="D44" s="41" t="n">
        <x:v>1000</x:v>
      </x:c>
      <x:c r="E44" s="41" t="n">
        <x:v>1000</x:v>
      </x:c>
      <x:c r="F44" s="41" t="n">
        <x:v>213.8125</x:v>
      </x:c>
      <x:c r="G44" s="41" t="n">
        <x:v>115.2</x:v>
      </x:c>
      <x:c r="H44" s="41" t="n">
        <x:v>0</x:v>
      </x:c>
      <x:c r="I44" s="41" t="n">
        <x:v>0</x:v>
      </x:c>
      <x:c r="J44" s="41" t="n">
        <x:f>SUM(D44:I44)</x:f>
        <x:v>2329.0125</x:v>
      </x:c>
      <x:c r="K44" s="41" t="n">
        <x:f>K43+J44</x:f>
        <x:v>121238.52499999994</x:v>
      </x:c>
      <x:c r="L44" s="41" t="n">
        <x:v>4750</x:v>
      </x:c>
      <x:c r="M44" s="41" t="n">
        <x:f>M43+L44</x:f>
        <x:v>127604.39999999995</x:v>
      </x:c>
      <x:c r="N44" s="41" t="n">
        <x:f>J44-L44</x:f>
        <x:v>-2420.9875</x:v>
      </x:c>
      <x:c r="O44" s="41" t="n">
        <x:f>K44-M44</x:f>
        <x:v>-6365.875000000015</x:v>
      </x:c>
      <x:c r="P44" s="41" t="n">
        <x:f>20000+O44</x:f>
        <x:v>13634.124999999985</x:v>
      </x:c>
      <x:c r="Q44" s="43" t="n">
        <x:v>1840</x:v>
      </x:c>
      <x:c r="R44" s="43" t="n">
        <x:v>91</x:v>
      </x:c>
      <x:c r="S44" s="15" t="str"/>
    </x:row>
    <x:row r="45">
      <x:c r="A45" s="45" t="n">
        <x:v>2</x:v>
      </x:c>
      <x:c r="B45" s="43" t="str">
        <x:v>小雪</x:v>
      </x:c>
      <x:c r="C45" s="43" t="n">
        <x:v>2</x:v>
      </x:c>
      <x:c r="D45" s="41" t="n">
        <x:v>1000</x:v>
      </x:c>
      <x:c r="E45" s="41" t="n">
        <x:v>1000</x:v>
      </x:c>
      <x:c r="F45" s="41" t="n">
        <x:v>213.8125</x:v>
      </x:c>
      <x:c r="G45" s="41" t="n">
        <x:v>115.2</x:v>
      </x:c>
      <x:c r="H45" s="41" t="n">
        <x:v>0</x:v>
      </x:c>
      <x:c r="I45" s="41" t="n">
        <x:v>0</x:v>
      </x:c>
      <x:c r="J45" s="41" t="n">
        <x:f>SUM(D45:I45)</x:f>
        <x:v>2329.0125</x:v>
      </x:c>
      <x:c r="K45" s="41" t="n">
        <x:f>K44+J45</x:f>
        <x:v>123567.53749999993</x:v>
      </x:c>
      <x:c r="L45" s="41" t="n">
        <x:v>2776.4</x:v>
      </x:c>
      <x:c r="M45" s="41" t="n">
        <x:f>M44+L45</x:f>
        <x:v>130380.79999999994</x:v>
      </x:c>
      <x:c r="N45" s="41" t="n">
        <x:f>J45-L45</x:f>
        <x:v>-447.3875000000003</x:v>
      </x:c>
      <x:c r="O45" s="41" t="n">
        <x:f>K45-M45</x:f>
        <x:v>-6813.262500000012</x:v>
      </x:c>
      <x:c r="P45" s="41" t="n">
        <x:f>20000+O45</x:f>
        <x:v>13186.737499999988</x:v>
      </x:c>
      <x:c r="Q45" s="43" t="n">
        <x:v>1860</x:v>
      </x:c>
      <x:c r="R45" s="43" t="n">
        <x:v>93</x:v>
      </x:c>
      <x:c r="S45" s="15" t="str"/>
    </x:row>
    <x:row r="46">
      <x:c r="A46" s="45" t="n">
        <x:v>2</x:v>
      </x:c>
      <x:c r="B46" s="43" t="str">
        <x:v>大雪</x:v>
      </x:c>
      <x:c r="C46" s="43" t="n">
        <x:v>2</x:v>
      </x:c>
      <x:c r="D46" s="41" t="n">
        <x:v>1000</x:v>
      </x:c>
      <x:c r="E46" s="41" t="n">
        <x:v>1000</x:v>
      </x:c>
      <x:c r="F46" s="41" t="n">
        <x:v>213.8125</x:v>
      </x:c>
      <x:c r="G46" s="41" t="n">
        <x:v>115.2</x:v>
      </x:c>
      <x:c r="H46" s="41" t="n">
        <x:v>0</x:v>
      </x:c>
      <x:c r="I46" s="41" t="n">
        <x:v>0</x:v>
      </x:c>
      <x:c r="J46" s="41" t="n">
        <x:f>SUM(D46:I46)</x:f>
        <x:v>2329.0125</x:v>
      </x:c>
      <x:c r="K46" s="41" t="n">
        <x:f>K45+J46</x:f>
        <x:v>125896.54999999993</x:v>
      </x:c>
      <x:c r="L46" s="41" t="n">
        <x:v>1550</x:v>
      </x:c>
      <x:c r="M46" s="41" t="n">
        <x:f>M45+L46</x:f>
        <x:v>131930.79999999993</x:v>
      </x:c>
      <x:c r="N46" s="41" t="n">
        <x:f>J46-L46</x:f>
        <x:v>779.0124999999998</x:v>
      </x:c>
      <x:c r="O46" s="41" t="n">
        <x:f>K46-M46</x:f>
        <x:v>-6034.25</x:v>
      </x:c>
      <x:c r="P46" s="41" t="n">
        <x:f>20000+O46</x:f>
        <x:v>13965.75</x:v>
      </x:c>
      <x:c r="Q46" s="43" t="n">
        <x:v>1880</x:v>
      </x:c>
      <x:c r="R46" s="43" t="n">
        <x:v>95</x:v>
      </x:c>
      <x:c r="S46" s="15" t="str"/>
    </x:row>
    <x:row r="47">
      <x:c r="A47" s="45" t="n">
        <x:v>2</x:v>
      </x:c>
      <x:c r="B47" s="43" t="str">
        <x:v>冬至</x:v>
      </x:c>
      <x:c r="C47" s="43" t="n">
        <x:v>2</x:v>
      </x:c>
      <x:c r="D47" s="41" t="n">
        <x:v>1000</x:v>
      </x:c>
      <x:c r="E47" s="41" t="n">
        <x:v>1000</x:v>
      </x:c>
      <x:c r="F47" s="41" t="n">
        <x:v>213.8125</x:v>
      </x:c>
      <x:c r="G47" s="41" t="n">
        <x:v>115.2</x:v>
      </x:c>
      <x:c r="H47" s="41" t="n">
        <x:v>0</x:v>
      </x:c>
      <x:c r="I47" s="41" t="n">
        <x:v>0</x:v>
      </x:c>
      <x:c r="J47" s="41" t="n">
        <x:f>SUM(D47:I47)</x:f>
        <x:v>2329.0125</x:v>
      </x:c>
      <x:c r="K47" s="41" t="n">
        <x:f>K46+J47</x:f>
        <x:v>128225.56249999993</x:v>
      </x:c>
      <x:c r="L47" s="41" t="n">
        <x:v>2776.4</x:v>
      </x:c>
      <x:c r="M47" s="41" t="n">
        <x:f>M46+L47</x:f>
        <x:v>134707.19999999992</x:v>
      </x:c>
      <x:c r="N47" s="41" t="n">
        <x:f>J47-L47</x:f>
        <x:v>-447.3875000000003</x:v>
      </x:c>
      <x:c r="O47" s="41" t="n">
        <x:f>K47-M47</x:f>
        <x:v>-6481.637499999997</x:v>
      </x:c>
      <x:c r="P47" s="41" t="n">
        <x:f>20000+O47</x:f>
        <x:v>13518.362500000003</x:v>
      </x:c>
      <x:c r="Q47" s="43" t="n">
        <x:v>1900</x:v>
      </x:c>
      <x:c r="R47" s="43" t="n">
        <x:v>97</x:v>
      </x:c>
      <x:c r="S47" s="15" t="str"/>
    </x:row>
    <x:row r="48">
      <x:c r="A48" s="45" t="n">
        <x:v>2</x:v>
      </x:c>
      <x:c r="B48" s="43" t="str">
        <x:v>小寒</x:v>
      </x:c>
      <x:c r="C48" s="43" t="n">
        <x:v>2</x:v>
      </x:c>
      <x:c r="D48" s="41" t="n">
        <x:v>1000</x:v>
      </x:c>
      <x:c r="E48" s="41" t="n">
        <x:v>1000</x:v>
      </x:c>
      <x:c r="F48" s="41" t="n">
        <x:v>213.8125</x:v>
      </x:c>
      <x:c r="G48" s="41" t="n">
        <x:v>115.2</x:v>
      </x:c>
      <x:c r="H48" s="41" t="n">
        <x:v>0</x:v>
      </x:c>
      <x:c r="I48" s="41" t="n">
        <x:v>0</x:v>
      </x:c>
      <x:c r="J48" s="41" t="n">
        <x:f>SUM(D48:I48)</x:f>
        <x:v>2329.0125</x:v>
      </x:c>
      <x:c r="K48" s="41" t="n">
        <x:f>K47+J48</x:f>
        <x:v>130554.57499999992</x:v>
      </x:c>
      <x:c r="L48" s="41" t="n">
        <x:v>1550</x:v>
      </x:c>
      <x:c r="M48" s="41" t="n">
        <x:f>M47+L48</x:f>
        <x:v>136257.19999999992</x:v>
      </x:c>
      <x:c r="N48" s="41" t="n">
        <x:f>J48-L48</x:f>
        <x:v>779.0124999999998</x:v>
      </x:c>
      <x:c r="O48" s="41" t="n">
        <x:f>K48-M48</x:f>
        <x:v>-5702.625</x:v>
      </x:c>
      <x:c r="P48" s="41" t="n">
        <x:f>20000+O48</x:f>
        <x:v>14297.375</x:v>
      </x:c>
      <x:c r="Q48" s="43" t="n">
        <x:v>1920</x:v>
      </x:c>
      <x:c r="R48" s="43" t="n">
        <x:v>99</x:v>
      </x:c>
      <x:c r="S48" s="15" t="str"/>
    </x:row>
    <x:row r="49">
      <x:c r="A49" s="46" t="n">
        <x:v>2</x:v>
      </x:c>
      <x:c r="B49" s="47" t="str">
        <x:v>大寒</x:v>
      </x:c>
      <x:c r="C49" s="47" t="n">
        <x:v>2</x:v>
      </x:c>
      <x:c r="D49" s="48" t="n">
        <x:v>1000</x:v>
      </x:c>
      <x:c r="E49" s="48" t="n">
        <x:v>1000</x:v>
      </x:c>
      <x:c r="F49" s="48" t="n">
        <x:v>213.8125</x:v>
      </x:c>
      <x:c r="G49" s="48" t="n">
        <x:v>115.2</x:v>
      </x:c>
      <x:c r="H49" s="48" t="n">
        <x:v>0</x:v>
      </x:c>
      <x:c r="I49" s="75" t="n">
        <x:v>2000</x:v>
      </x:c>
      <x:c r="J49" s="75" t="n">
        <x:f>SUM(D49:I49)</x:f>
        <x:v>4329.0125</x:v>
      </x:c>
      <x:c r="K49" s="75" t="n">
        <x:f>K48+J49</x:f>
        <x:v>134883.58749999994</x:v>
      </x:c>
      <x:c r="L49" s="75" t="n">
        <x:v>3376.4</x:v>
      </x:c>
      <x:c r="M49" s="75" t="n">
        <x:f>M48+L49</x:f>
        <x:v>139633.59999999992</x:v>
      </x:c>
      <x:c r="N49" s="75" t="n">
        <x:f>J49-L49</x:f>
        <x:v>952.6124999999997</x:v>
      </x:c>
      <x:c r="O49" s="75" t="n">
        <x:f>K49-M49</x:f>
        <x:v>-4750.0124999999825</x:v>
      </x:c>
      <x:c r="P49" s="75" t="n">
        <x:f>20000+O49</x:f>
        <x:v>15249.987500000017</x:v>
      </x:c>
      <x:c r="Q49" s="76" t="n">
        <x:v>1940</x:v>
      </x:c>
      <x:c r="R49" s="76" t="n">
        <x:v>101</x:v>
      </x:c>
      <x:c r="S49" s="77" t="str">
        <x:v>025_02 和尚肾精不足（银钱+2000）</x:v>
      </x:c>
    </x:row>
  </x:sheetData>
  <x:conditionalFormatting sqref="P2:P4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10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16" hidden="0" customWidth="1"/>
    <x:col min="14" max="14" width="16" hidden="0" customWidth="1"/>
    <x:col min="15" max="15" width="14" hidden="0" customWidth="1"/>
    <x:col min="16" max="16" width="17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12" t="str">
        <x:v>年份</x:v>
      </x:c>
      <x:c r="B1" s="32" t="str">
        <x:v>节气</x:v>
      </x:c>
      <x:c r="C1" s="32" t="str">
        <x:v>妙手回春次数</x:v>
      </x:c>
      <x:c r="D1" s="32" t="str">
        <x:v>李言闻收入</x:v>
      </x:c>
      <x:c r="E1" s="32" t="str">
        <x:v>诊费预期</x:v>
      </x:c>
      <x:c r="F1" s="32" t="str">
        <x:v>药材净收入预期</x:v>
      </x:c>
      <x:c r="G1" s="32" t="str">
        <x:v>谢仪预期</x:v>
      </x:c>
      <x:c r="H1" s="32" t="str">
        <x:v>田租</x:v>
      </x:c>
      <x:c r="I1" s="32" t="str">
        <x:v>剧情银钱奖励</x:v>
      </x:c>
      <x:c r="J1" s="32" t="str">
        <x:v>预期收入</x:v>
      </x:c>
      <x:c r="K1" s="32" t="str">
        <x:v>累计预期收入</x:v>
      </x:c>
      <x:c r="L1" s="32" t="str">
        <x:v>预期支出</x:v>
      </x:c>
      <x:c r="M1" s="32" t="str">
        <x:v>累计预期支出</x:v>
      </x:c>
      <x:c r="N1" s="32" t="str">
        <x:v>本节气收支差</x:v>
      </x:c>
      <x:c r="O1" s="32" t="str">
        <x:v>累计收支差</x:v>
      </x:c>
      <x:c r="P1" s="32" t="str">
        <x:v>含初始资金余额</x:v>
      </x:c>
      <x:c r="Q1" s="32" t="str">
        <x:v>节气末名望</x:v>
      </x:c>
      <x:c r="R1" s="32" t="str">
        <x:v>节气末心得</x:v>
      </x:c>
      <x:c r="S1" s="13" t="str">
        <x:v>剧情备注</x:v>
      </x:c>
    </x:row>
    <x:row r="2">
      <x:c r="A2" s="45" t="n">
        <x:v>1</x:v>
      </x:c>
      <x:c r="B2" s="43" t="str">
        <x:v>立春</x:v>
      </x:c>
      <x:c r="C2" s="43" t="n">
        <x:v>0</x:v>
      </x:c>
      <x:c r="D2" s="41" t="n">
        <x:v>500</x:v>
      </x:c>
      <x:c r="E2" s="41" t="n">
        <x:v>0</x:v>
      </x:c>
      <x:c r="F2" s="41" t="n">
        <x:v>0</x:v>
      </x:c>
      <x:c r="G2" s="41" t="n">
        <x:v>0</x:v>
      </x:c>
      <x:c r="H2" s="41" t="n">
        <x:v>0</x:v>
      </x:c>
      <x:c r="I2" s="41" t="n">
        <x:v>0</x:v>
      </x:c>
      <x:c r="J2" s="41" t="n">
        <x:f>SUM(D2:I2)</x:f>
        <x:v>500</x:v>
      </x:c>
      <x:c r="K2" s="41" t="n">
        <x:f>J2</x:f>
        <x:v>500</x:v>
      </x:c>
      <x:c r="L2" s="41" t="n">
        <x:v>2650</x:v>
      </x:c>
      <x:c r="M2" s="41" t="n">
        <x:f>L2</x:f>
        <x:v>2650</x:v>
      </x:c>
      <x:c r="N2" s="41" t="n">
        <x:f>J2-L2</x:f>
        <x:v>-2150</x:v>
      </x:c>
      <x:c r="O2" s="41" t="n">
        <x:f>K2-M2</x:f>
        <x:v>-2150</x:v>
      </x:c>
      <x:c r="P2" s="41" t="n">
        <x:f>20000+O2</x:f>
        <x:v>17850</x:v>
      </x:c>
      <x:c r="Q2" s="43" t="n">
        <x:v>0</x:v>
      </x:c>
      <x:c r="R2" s="43" t="n">
        <x:v>0</x:v>
      </x:c>
      <x:c r="S2" s="15" t="str"/>
    </x:row>
    <x:row r="3">
      <x:c r="A3" s="45" t="n">
        <x:v>1</x:v>
      </x:c>
      <x:c r="B3" s="43" t="str">
        <x:v>雨水</x:v>
      </x:c>
      <x:c r="C3" s="43" t="n">
        <x:v>3</x:v>
      </x:c>
      <x:c r="D3" s="41" t="n">
        <x:v>500</x:v>
      </x:c>
      <x:c r="E3" s="41" t="n">
        <x:v>60</x:v>
      </x:c>
      <x:c r="F3" s="41" t="n">
        <x:v>320.71875</x:v>
      </x:c>
      <x:c r="G3" s="41" t="n">
        <x:v>172.8</x:v>
      </x:c>
      <x:c r="H3" s="41" t="n">
        <x:v>0</x:v>
      </x:c>
      <x:c r="I3" s="41" t="n">
        <x:v>0</x:v>
      </x:c>
      <x:c r="J3" s="41" t="n">
        <x:f>SUM(D3:I3)</x:f>
        <x:v>1053.51875</x:v>
      </x:c>
      <x:c r="K3" s="41" t="n">
        <x:f>K2+J3</x:f>
        <x:v>1553.51875</x:v>
      </x:c>
      <x:c r="L3" s="41" t="n">
        <x:v>2776.4</x:v>
      </x:c>
      <x:c r="M3" s="41" t="n">
        <x:f>M2+L3</x:f>
        <x:v>5426.4</x:v>
      </x:c>
      <x:c r="N3" s="41" t="n">
        <x:f>J3-L3</x:f>
        <x:v>-1722.8812500000001</x:v>
      </x:c>
      <x:c r="O3" s="41" t="n">
        <x:f>K3-M3</x:f>
        <x:v>-3872.8812499999995</x:v>
      </x:c>
      <x:c r="P3" s="41" t="n">
        <x:f>20000+O3</x:f>
        <x:v>16127.118750000001</x:v>
      </x:c>
      <x:c r="Q3" s="43" t="n">
        <x:v>30</x:v>
      </x:c>
      <x:c r="R3" s="43" t="n">
        <x:v>3</x:v>
      </x:c>
      <x:c r="S3" s="15" t="str"/>
    </x:row>
    <x:row r="4">
      <x:c r="A4" s="45" t="n">
        <x:v>1</x:v>
      </x:c>
      <x:c r="B4" s="43" t="str">
        <x:v>惊蛰</x:v>
      </x:c>
      <x:c r="C4" s="43" t="n">
        <x:v>3</x:v>
      </x:c>
      <x:c r="D4" s="41" t="n">
        <x:v>500</x:v>
      </x:c>
      <x:c r="E4" s="41" t="n">
        <x:v>60</x:v>
      </x:c>
      <x:c r="F4" s="41" t="n">
        <x:v>320.71875</x:v>
      </x:c>
      <x:c r="G4" s="41" t="n">
        <x:v>172.8</x:v>
      </x:c>
      <x:c r="H4" s="41" t="n">
        <x:v>0</x:v>
      </x:c>
      <x:c r="I4" s="41" t="n">
        <x:v>0</x:v>
      </x:c>
      <x:c r="J4" s="41" t="n">
        <x:f>SUM(D4:I4)</x:f>
        <x:v>1053.51875</x:v>
      </x:c>
      <x:c r="K4" s="41" t="n">
        <x:f>K3+J4</x:f>
        <x:v>2607.0375</x:v>
      </x:c>
      <x:c r="L4" s="41" t="n">
        <x:v>1550</x:v>
      </x:c>
      <x:c r="M4" s="41" t="n">
        <x:f>M3+L4</x:f>
        <x:v>6976.4</x:v>
      </x:c>
      <x:c r="N4" s="41" t="n">
        <x:f>J4-L4</x:f>
        <x:v>-496.48125000000005</x:v>
      </x:c>
      <x:c r="O4" s="41" t="n">
        <x:f>K4-M4</x:f>
        <x:v>-4369.362499999999</x:v>
      </x:c>
      <x:c r="P4" s="41" t="n">
        <x:f>20000+O4</x:f>
        <x:v>15630.6375</x:v>
      </x:c>
      <x:c r="Q4" s="43" t="n">
        <x:v>60</x:v>
      </x:c>
      <x:c r="R4" s="43" t="n">
        <x:v>6</x:v>
      </x:c>
      <x:c r="S4" s="15" t="str"/>
    </x:row>
    <x:row r="5">
      <x:c r="A5" s="45" t="n">
        <x:v>1</x:v>
      </x:c>
      <x:c r="B5" s="43" t="str">
        <x:v>春分</x:v>
      </x:c>
      <x:c r="C5" s="43" t="n">
        <x:v>3</x:v>
      </x:c>
      <x:c r="D5" s="41" t="n">
        <x:v>500</x:v>
      </x:c>
      <x:c r="E5" s="41" t="n">
        <x:v>60</x:v>
      </x:c>
      <x:c r="F5" s="41" t="n">
        <x:v>320.71875</x:v>
      </x:c>
      <x:c r="G5" s="41" t="n">
        <x:v>172.8</x:v>
      </x:c>
      <x:c r="H5" s="41" t="n">
        <x:v>0</x:v>
      </x:c>
      <x:c r="I5" s="41" t="n">
        <x:v>0</x:v>
      </x:c>
      <x:c r="J5" s="41" t="n">
        <x:f>SUM(D5:I5)</x:f>
        <x:v>1053.51875</x:v>
      </x:c>
      <x:c r="K5" s="41" t="n">
        <x:f>K4+J5</x:f>
        <x:v>3660.5562499999996</x:v>
      </x:c>
      <x:c r="L5" s="41" t="n">
        <x:v>3376.4</x:v>
      </x:c>
      <x:c r="M5" s="41" t="n">
        <x:f>M4+L5</x:f>
        <x:v>10352.8</x:v>
      </x:c>
      <x:c r="N5" s="41" t="n">
        <x:f>J5-L5</x:f>
        <x:v>-2322.8812500000004</x:v>
      </x:c>
      <x:c r="O5" s="41" t="n">
        <x:f>K5-M5</x:f>
        <x:v>-6692.24375</x:v>
      </x:c>
      <x:c r="P5" s="41" t="n">
        <x:f>20000+O5</x:f>
        <x:v>13307.75625</x:v>
      </x:c>
      <x:c r="Q5" s="43" t="n">
        <x:v>90</x:v>
      </x:c>
      <x:c r="R5" s="43" t="n">
        <x:v>9</x:v>
      </x:c>
      <x:c r="S5" s="15" t="str"/>
    </x:row>
    <x:row r="6">
      <x:c r="A6" s="45" t="n">
        <x:v>1</x:v>
      </x:c>
      <x:c r="B6" s="43" t="str">
        <x:v>清明</x:v>
      </x:c>
      <x:c r="C6" s="43" t="n">
        <x:v>3</x:v>
      </x:c>
      <x:c r="D6" s="41" t="n">
        <x:v>500</x:v>
      </x:c>
      <x:c r="E6" s="41" t="n">
        <x:v>90</x:v>
      </x:c>
      <x:c r="F6" s="41" t="n">
        <x:v>320.71875</x:v>
      </x:c>
      <x:c r="G6" s="41" t="n">
        <x:v>172.8</x:v>
      </x:c>
      <x:c r="H6" s="41" t="n">
        <x:v>0</x:v>
      </x:c>
      <x:c r="I6" s="41" t="n">
        <x:v>0</x:v>
      </x:c>
      <x:c r="J6" s="41" t="n">
        <x:f>SUM(D6:I6)</x:f>
        <x:v>1083.51875</x:v>
      </x:c>
      <x:c r="K6" s="41" t="n">
        <x:f>K5+J6</x:f>
        <x:v>4744.075</x:v>
      </x:c>
      <x:c r="L6" s="41" t="n">
        <x:v>3550</x:v>
      </x:c>
      <x:c r="M6" s="41" t="n">
        <x:f>M5+L6</x:f>
        <x:v>13902.8</x:v>
      </x:c>
      <x:c r="N6" s="41" t="n">
        <x:f>J6-L6</x:f>
        <x:v>-2466.48125</x:v>
      </x:c>
      <x:c r="O6" s="41" t="n">
        <x:f>K6-M6</x:f>
        <x:v>-9158.724999999999</x:v>
      </x:c>
      <x:c r="P6" s="41" t="n">
        <x:f>20000+O6</x:f>
        <x:v>10841.275000000001</x:v>
      </x:c>
      <x:c r="Q6" s="43" t="n">
        <x:v>120</x:v>
      </x:c>
      <x:c r="R6" s="43" t="n">
        <x:v>12</x:v>
      </x:c>
      <x:c r="S6" s="15" t="str"/>
    </x:row>
    <x:row r="7">
      <x:c r="A7" s="45" t="n">
        <x:v>1</x:v>
      </x:c>
      <x:c r="B7" s="43" t="str">
        <x:v>谷雨</x:v>
      </x:c>
      <x:c r="C7" s="43" t="n">
        <x:v>3</x:v>
      </x:c>
      <x:c r="D7" s="41" t="n">
        <x:v>500</x:v>
      </x:c>
      <x:c r="E7" s="41" t="n">
        <x:v>150</x:v>
      </x:c>
      <x:c r="F7" s="41" t="n">
        <x:v>320.71875</x:v>
      </x:c>
      <x:c r="G7" s="41" t="n">
        <x:v>172.8</x:v>
      </x:c>
      <x:c r="H7" s="41" t="n">
        <x:v>0</x:v>
      </x:c>
      <x:c r="I7" s="41" t="n">
        <x:v>0</x:v>
      </x:c>
      <x:c r="J7" s="41" t="n">
        <x:f>SUM(D7:I7)</x:f>
        <x:v>1143.51875</x:v>
      </x:c>
      <x:c r="K7" s="41" t="n">
        <x:f>K6+J7</x:f>
        <x:v>5887.59375</x:v>
      </x:c>
      <x:c r="L7" s="41" t="n">
        <x:v>2776.4</x:v>
      </x:c>
      <x:c r="M7" s="41" t="n">
        <x:f>M6+L7</x:f>
        <x:v>16679.2</x:v>
      </x:c>
      <x:c r="N7" s="41" t="n">
        <x:f>J7-L7</x:f>
        <x:v>-1632.8812500000001</x:v>
      </x:c>
      <x:c r="O7" s="41" t="n">
        <x:f>K7-M7</x:f>
        <x:v>-10791.60625</x:v>
      </x:c>
      <x:c r="P7" s="41" t="n">
        <x:f>20000+O7</x:f>
        <x:v>9208.39375</x:v>
      </x:c>
      <x:c r="Q7" s="43" t="n">
        <x:v>150</x:v>
      </x:c>
      <x:c r="R7" s="43" t="n">
        <x:v>15</x:v>
      </x:c>
      <x:c r="S7" s="15" t="str"/>
    </x:row>
    <x:row r="8">
      <x:c r="A8" s="45" t="n">
        <x:v>1</x:v>
      </x:c>
      <x:c r="B8" s="43" t="str">
        <x:v>立夏</x:v>
      </x:c>
      <x:c r="C8" s="43" t="n">
        <x:v>3</x:v>
      </x:c>
      <x:c r="D8" s="41" t="n">
        <x:v>500</x:v>
      </x:c>
      <x:c r="E8" s="41" t="n">
        <x:v>150</x:v>
      </x:c>
      <x:c r="F8" s="41" t="n">
        <x:v>320.71875</x:v>
      </x:c>
      <x:c r="G8" s="41" t="n">
        <x:v>172.8</x:v>
      </x:c>
      <x:c r="H8" s="41" t="n">
        <x:v>0</x:v>
      </x:c>
      <x:c r="I8" s="41" t="n">
        <x:v>0</x:v>
      </x:c>
      <x:c r="J8" s="41" t="n">
        <x:f>SUM(D8:I8)</x:f>
        <x:v>1143.51875</x:v>
      </x:c>
      <x:c r="K8" s="41" t="n">
        <x:f>K7+J8</x:f>
        <x:v>7031.1125</x:v>
      </x:c>
      <x:c r="L8" s="41" t="n">
        <x:v>2650</x:v>
      </x:c>
      <x:c r="M8" s="41" t="n">
        <x:f>M7+L8</x:f>
        <x:v>19329.2</x:v>
      </x:c>
      <x:c r="N8" s="41" t="n">
        <x:f>J8-L8</x:f>
        <x:v>-1506.48125</x:v>
      </x:c>
      <x:c r="O8" s="41" t="n">
        <x:f>K8-M8</x:f>
        <x:v>-12298.087500000001</x:v>
      </x:c>
      <x:c r="P8" s="41" t="n">
        <x:f>20000+O8</x:f>
        <x:v>7701.9124999999985</x:v>
      </x:c>
      <x:c r="Q8" s="43" t="n">
        <x:v>180</x:v>
      </x:c>
      <x:c r="R8" s="43" t="n">
        <x:v>18</x:v>
      </x:c>
      <x:c r="S8" s="15" t="str"/>
    </x:row>
    <x:row r="9">
      <x:c r="A9" s="45" t="n">
        <x:v>1</x:v>
      </x:c>
      <x:c r="B9" s="43" t="str">
        <x:v>小满</x:v>
      </x:c>
      <x:c r="C9" s="43" t="n">
        <x:v>3</x:v>
      </x:c>
      <x:c r="D9" s="41" t="n">
        <x:v>500</x:v>
      </x:c>
      <x:c r="E9" s="41" t="n">
        <x:v>150</x:v>
      </x:c>
      <x:c r="F9" s="41" t="n">
        <x:v>320.71875</x:v>
      </x:c>
      <x:c r="G9" s="41" t="n">
        <x:v>172.8</x:v>
      </x:c>
      <x:c r="H9" s="41" t="n">
        <x:v>0</x:v>
      </x:c>
      <x:c r="I9" s="41" t="n">
        <x:v>0</x:v>
      </x:c>
      <x:c r="J9" s="41" t="n">
        <x:f>SUM(D9:I9)</x:f>
        <x:v>1143.51875</x:v>
      </x:c>
      <x:c r="K9" s="41" t="n">
        <x:f>K8+J9</x:f>
        <x:v>8174.63125</x:v>
      </x:c>
      <x:c r="L9" s="41" t="n">
        <x:v>3676.4</x:v>
      </x:c>
      <x:c r="M9" s="41" t="n">
        <x:f>M8+L9</x:f>
        <x:v>23005.600000000002</x:v>
      </x:c>
      <x:c r="N9" s="41" t="n">
        <x:f>J9-L9</x:f>
        <x:v>-2532.8812500000004</x:v>
      </x:c>
      <x:c r="O9" s="41" t="n">
        <x:f>K9-M9</x:f>
        <x:v>-14830.968750000002</x:v>
      </x:c>
      <x:c r="P9" s="41" t="n">
        <x:f>20000+O9</x:f>
        <x:v>5169.031249999998</x:v>
      </x:c>
      <x:c r="Q9" s="43" t="n">
        <x:v>210</x:v>
      </x:c>
      <x:c r="R9" s="43" t="n">
        <x:v>21</x:v>
      </x:c>
      <x:c r="S9" s="15" t="str"/>
    </x:row>
    <x:row r="10">
      <x:c r="A10" s="45" t="n">
        <x:v>1</x:v>
      </x:c>
      <x:c r="B10" s="43" t="str">
        <x:v>芒种</x:v>
      </x:c>
      <x:c r="C10" s="43" t="n">
        <x:v>3</x:v>
      </x:c>
      <x:c r="D10" s="41" t="n">
        <x:v>500</x:v>
      </x:c>
      <x:c r="E10" s="41" t="n">
        <x:v>150</x:v>
      </x:c>
      <x:c r="F10" s="41" t="n">
        <x:v>320.71875</x:v>
      </x:c>
      <x:c r="G10" s="41" t="n">
        <x:v>172.8</x:v>
      </x:c>
      <x:c r="H10" s="41" t="n">
        <x:v>0</x:v>
      </x:c>
      <x:c r="I10" s="41" t="n">
        <x:v>0</x:v>
      </x:c>
      <x:c r="J10" s="41" t="n">
        <x:f>SUM(D10:I10)</x:f>
        <x:v>1143.51875</x:v>
      </x:c>
      <x:c r="K10" s="41" t="n">
        <x:f>K9+J10</x:f>
        <x:v>9318.15</x:v>
      </x:c>
      <x:c r="L10" s="41" t="n">
        <x:v>2450</x:v>
      </x:c>
      <x:c r="M10" s="41" t="n">
        <x:f>M9+L10</x:f>
        <x:v>25455.600000000002</x:v>
      </x:c>
      <x:c r="N10" s="41" t="n">
        <x:f>J10-L10</x:f>
        <x:v>-1306.48125</x:v>
      </x:c>
      <x:c r="O10" s="41" t="n">
        <x:f>K10-M10</x:f>
        <x:v>-16137.450000000003</x:v>
      </x:c>
      <x:c r="P10" s="41" t="n">
        <x:f>20000+O10</x:f>
        <x:v>3862.5499999999975</x:v>
      </x:c>
      <x:c r="Q10" s="43" t="n">
        <x:v>240</x:v>
      </x:c>
      <x:c r="R10" s="43" t="n">
        <x:v>24</x:v>
      </x:c>
      <x:c r="S10" s="15" t="str"/>
    </x:row>
    <x:row r="11">
      <x:c r="A11" s="45" t="n">
        <x:v>1</x:v>
      </x:c>
      <x:c r="B11" s="43" t="str">
        <x:v>夏至</x:v>
      </x:c>
      <x:c r="C11" s="43" t="n">
        <x:v>3</x:v>
      </x:c>
      <x:c r="D11" s="41" t="n">
        <x:v>500</x:v>
      </x:c>
      <x:c r="E11" s="41" t="n">
        <x:v>150</x:v>
      </x:c>
      <x:c r="F11" s="41" t="n">
        <x:v>320.71875</x:v>
      </x:c>
      <x:c r="G11" s="41" t="n">
        <x:v>172.8</x:v>
      </x:c>
      <x:c r="H11" s="41" t="n">
        <x:v>0</x:v>
      </x:c>
      <x:c r="I11" s="41" t="n">
        <x:v>0</x:v>
      </x:c>
      <x:c r="J11" s="41" t="n">
        <x:f>SUM(D11:I11)</x:f>
        <x:v>1143.51875</x:v>
      </x:c>
      <x:c r="K11" s="41" t="n">
        <x:f>K10+J11</x:f>
        <x:v>10461.668749999999</x:v>
      </x:c>
      <x:c r="L11" s="41" t="n">
        <x:v>3676.4</x:v>
      </x:c>
      <x:c r="M11" s="41" t="n">
        <x:f>M10+L11</x:f>
        <x:v>29132.000000000004</x:v>
      </x:c>
      <x:c r="N11" s="41" t="n">
        <x:f>J11-L11</x:f>
        <x:v>-2532.8812500000004</x:v>
      </x:c>
      <x:c r="O11" s="41" t="n">
        <x:f>K11-M11</x:f>
        <x:v>-18670.331250000003</x:v>
      </x:c>
      <x:c r="P11" s="41" t="n">
        <x:f>20000+O11</x:f>
        <x:v>1329.668749999997</x:v>
      </x:c>
      <x:c r="Q11" s="43" t="n">
        <x:v>270</x:v>
      </x:c>
      <x:c r="R11" s="43" t="n">
        <x:v>27</x:v>
      </x:c>
      <x:c r="S11" s="15" t="str"/>
    </x:row>
    <x:row r="12">
      <x:c r="A12" s="45" t="n">
        <x:v>1</x:v>
      </x:c>
      <x:c r="B12" s="43" t="str">
        <x:v>小暑</x:v>
      </x:c>
      <x:c r="C12" s="43" t="n">
        <x:v>3</x:v>
      </x:c>
      <x:c r="D12" s="41" t="n">
        <x:v>500</x:v>
      </x:c>
      <x:c r="E12" s="41" t="n">
        <x:v>150</x:v>
      </x:c>
      <x:c r="F12" s="41" t="n">
        <x:v>320.71875</x:v>
      </x:c>
      <x:c r="G12" s="41" t="n">
        <x:v>172.8</x:v>
      </x:c>
      <x:c r="H12" s="41" t="n">
        <x:v>0</x:v>
      </x:c>
      <x:c r="I12" s="41" t="n">
        <x:v>0</x:v>
      </x:c>
      <x:c r="J12" s="41" t="n">
        <x:f>SUM(D12:I12)</x:f>
        <x:v>1143.51875</x:v>
      </x:c>
      <x:c r="K12" s="41" t="n">
        <x:f>K11+J12</x:f>
        <x:v>11605.187499999998</x:v>
      </x:c>
      <x:c r="L12" s="41" t="n">
        <x:v>2450</x:v>
      </x:c>
      <x:c r="M12" s="41" t="n">
        <x:f>M11+L12</x:f>
        <x:v>31582.000000000004</x:v>
      </x:c>
      <x:c r="N12" s="41" t="n">
        <x:f>J12-L12</x:f>
        <x:v>-1306.48125</x:v>
      </x:c>
      <x:c r="O12" s="41" t="n">
        <x:f>K12-M12</x:f>
        <x:v>-19976.812500000007</x:v>
      </x:c>
      <x:c r="P12" s="41" t="n">
        <x:f>20000+O12</x:f>
        <x:v>23.187499999992724</x:v>
      </x:c>
      <x:c r="Q12" s="43" t="n">
        <x:v>300</x:v>
      </x:c>
      <x:c r="R12" s="43" t="n">
        <x:v>30</x:v>
      </x:c>
      <x:c r="S12" s="15" t="str"/>
    </x:row>
    <x:row r="13">
      <x:c r="A13" s="45" t="n">
        <x:v>1</x:v>
      </x:c>
      <x:c r="B13" s="43" t="str">
        <x:v>大暑</x:v>
      </x:c>
      <x:c r="C13" s="43" t="n">
        <x:v>3</x:v>
      </x:c>
      <x:c r="D13" s="41" t="n">
        <x:v>500</x:v>
      </x:c>
      <x:c r="E13" s="41" t="n">
        <x:v>450</x:v>
      </x:c>
      <x:c r="F13" s="41" t="n">
        <x:v>320.71875</x:v>
      </x:c>
      <x:c r="G13" s="41" t="n">
        <x:v>172.8</x:v>
      </x:c>
      <x:c r="H13" s="41" t="n">
        <x:v>5000</x:v>
      </x:c>
      <x:c r="I13" s="41" t="n">
        <x:v>0</x:v>
      </x:c>
      <x:c r="J13" s="41" t="n">
        <x:f>SUM(D13:I13)</x:f>
        <x:v>6443.51875</x:v>
      </x:c>
      <x:c r="K13" s="41" t="n">
        <x:f>K12+J13</x:f>
        <x:v>18048.70625</x:v>
      </x:c>
      <x:c r="L13" s="41" t="n">
        <x:v>3276.4</x:v>
      </x:c>
      <x:c r="M13" s="41" t="n">
        <x:f>M12+L13</x:f>
        <x:v>34858.4</x:v>
      </x:c>
      <x:c r="N13" s="41" t="n">
        <x:f>J13-L13</x:f>
        <x:v>3167.11875</x:v>
      </x:c>
      <x:c r="O13" s="41" t="n">
        <x:f>K13-M13</x:f>
        <x:v>-16809.693750000002</x:v>
      </x:c>
      <x:c r="P13" s="41" t="n">
        <x:f>20000+O13</x:f>
        <x:v>3190.306249999998</x:v>
      </x:c>
      <x:c r="Q13" s="43" t="n">
        <x:v>330</x:v>
      </x:c>
      <x:c r="R13" s="43" t="n">
        <x:v>33</x:v>
      </x:c>
      <x:c r="S13" s="15" t="str"/>
    </x:row>
    <x:row r="14">
      <x:c r="A14" s="45" t="n">
        <x:v>1</x:v>
      </x:c>
      <x:c r="B14" s="43" t="str">
        <x:v>立秋</x:v>
      </x:c>
      <x:c r="C14" s="43" t="n">
        <x:v>3</x:v>
      </x:c>
      <x:c r="D14" s="41" t="n">
        <x:v>500</x:v>
      </x:c>
      <x:c r="E14" s="41" t="n">
        <x:v>600</x:v>
      </x:c>
      <x:c r="F14" s="41" t="n">
        <x:v>320.71875</x:v>
      </x:c>
      <x:c r="G14" s="41" t="n">
        <x:v>172.8</x:v>
      </x:c>
      <x:c r="H14" s="41" t="n">
        <x:v>0</x:v>
      </x:c>
      <x:c r="I14" s="41" t="n">
        <x:v>0</x:v>
      </x:c>
      <x:c r="J14" s="41" t="n">
        <x:f>SUM(D14:I14)</x:f>
        <x:v>1593.51875</x:v>
      </x:c>
      <x:c r="K14" s="41" t="n">
        <x:f>K13+J14</x:f>
        <x:v>19642.225</x:v>
      </x:c>
      <x:c r="L14" s="41" t="n">
        <x:v>2650</x:v>
      </x:c>
      <x:c r="M14" s="41" t="n">
        <x:f>M13+L14</x:f>
        <x:v>37508.4</x:v>
      </x:c>
      <x:c r="N14" s="41" t="n">
        <x:f>J14-L14</x:f>
        <x:v>-1056.48125</x:v>
      </x:c>
      <x:c r="O14" s="41" t="n">
        <x:f>K14-M14</x:f>
        <x:v>-17866.175000000003</x:v>
      </x:c>
      <x:c r="P14" s="41" t="n">
        <x:f>20000+O14</x:f>
        <x:v>2133.824999999997</x:v>
      </x:c>
      <x:c r="Q14" s="43" t="n">
        <x:v>360</x:v>
      </x:c>
      <x:c r="R14" s="43" t="n">
        <x:v>36</x:v>
      </x:c>
      <x:c r="S14" s="15" t="str"/>
    </x:row>
    <x:row r="15">
      <x:c r="A15" s="45" t="n">
        <x:v>1</x:v>
      </x:c>
      <x:c r="B15" s="43" t="str">
        <x:v>处暑</x:v>
      </x:c>
      <x:c r="C15" s="43" t="n">
        <x:v>3</x:v>
      </x:c>
      <x:c r="D15" s="41" t="n">
        <x:v>500</x:v>
      </x:c>
      <x:c r="E15" s="41" t="n">
        <x:v>600</x:v>
      </x:c>
      <x:c r="F15" s="41" t="n">
        <x:v>320.71875</x:v>
      </x:c>
      <x:c r="G15" s="41" t="n">
        <x:v>172.8</x:v>
      </x:c>
      <x:c r="H15" s="41" t="n">
        <x:v>0</x:v>
      </x:c>
      <x:c r="I15" s="41" t="n">
        <x:v>0</x:v>
      </x:c>
      <x:c r="J15" s="41" t="n">
        <x:f>SUM(D15:I15)</x:f>
        <x:v>1593.51875</x:v>
      </x:c>
      <x:c r="K15" s="41" t="n">
        <x:f>K14+J15</x:f>
        <x:v>21235.743749999998</x:v>
      </x:c>
      <x:c r="L15" s="41" t="n">
        <x:v>4776.4</x:v>
      </x:c>
      <x:c r="M15" s="41" t="n">
        <x:f>M14+L15</x:f>
        <x:v>42284.8</x:v>
      </x:c>
      <x:c r="N15" s="41" t="n">
        <x:f>J15-L15</x:f>
        <x:v>-3182.8812499999995</x:v>
      </x:c>
      <x:c r="O15" s="41" t="n">
        <x:f>K15-M15</x:f>
        <x:v>-21049.056250000005</x:v>
      </x:c>
      <x:c r="P15" s="41" t="n">
        <x:f>20000+O15</x:f>
        <x:v>-1049.056250000005</x:v>
      </x:c>
      <x:c r="Q15" s="43" t="n">
        <x:v>390</x:v>
      </x:c>
      <x:c r="R15" s="43" t="n">
        <x:v>39</x:v>
      </x:c>
      <x:c r="S15" s="15" t="str"/>
    </x:row>
    <x:row r="16">
      <x:c r="A16" s="45" t="n">
        <x:v>1</x:v>
      </x:c>
      <x:c r="B16" s="43" t="str">
        <x:v>白露</x:v>
      </x:c>
      <x:c r="C16" s="43" t="n">
        <x:v>3</x:v>
      </x:c>
      <x:c r="D16" s="41" t="n">
        <x:v>500</x:v>
      </x:c>
      <x:c r="E16" s="41" t="n">
        <x:v>600</x:v>
      </x:c>
      <x:c r="F16" s="41" t="n">
        <x:v>320.71875</x:v>
      </x:c>
      <x:c r="G16" s="41" t="n">
        <x:v>172.8</x:v>
      </x:c>
      <x:c r="H16" s="41" t="n">
        <x:v>0</x:v>
      </x:c>
      <x:c r="I16" s="41" t="n">
        <x:v>0</x:v>
      </x:c>
      <x:c r="J16" s="41" t="n">
        <x:f>SUM(D16:I16)</x:f>
        <x:v>1593.51875</x:v>
      </x:c>
      <x:c r="K16" s="41" t="n">
        <x:f>K15+J16</x:f>
        <x:v>22829.262499999997</x:v>
      </x:c>
      <x:c r="L16" s="41" t="n">
        <x:v>1550</x:v>
      </x:c>
      <x:c r="M16" s="41" t="n">
        <x:f>M15+L16</x:f>
        <x:v>43834.8</x:v>
      </x:c>
      <x:c r="N16" s="41" t="n">
        <x:f>J16-L16</x:f>
        <x:v>43.518749999999955</x:v>
      </x:c>
      <x:c r="O16" s="41" t="n">
        <x:f>K16-M16</x:f>
        <x:v>-21005.537500000006</x:v>
      </x:c>
      <x:c r="P16" s="41" t="n">
        <x:f>20000+O16</x:f>
        <x:v>-1005.5375000000058</x:v>
      </x:c>
      <x:c r="Q16" s="43" t="n">
        <x:v>420</x:v>
      </x:c>
      <x:c r="R16" s="43" t="n">
        <x:v>42</x:v>
      </x:c>
      <x:c r="S16" s="15" t="str"/>
    </x:row>
    <x:row r="17">
      <x:c r="A17" s="45" t="n">
        <x:v>1</x:v>
      </x:c>
      <x:c r="B17" s="43" t="str">
        <x:v>秋分</x:v>
      </x:c>
      <x:c r="C17" s="43" t="n">
        <x:v>3</x:v>
      </x:c>
      <x:c r="D17" s="41" t="n">
        <x:v>500</x:v>
      </x:c>
      <x:c r="E17" s="41" t="n">
        <x:v>600</x:v>
      </x:c>
      <x:c r="F17" s="41" t="n">
        <x:v>320.71875</x:v>
      </x:c>
      <x:c r="G17" s="41" t="n">
        <x:v>172.8</x:v>
      </x:c>
      <x:c r="H17" s="41" t="n">
        <x:v>0</x:v>
      </x:c>
      <x:c r="I17" s="69" t="n">
        <x:v>1000</x:v>
      </x:c>
      <x:c r="J17" s="69" t="n">
        <x:f>SUM(D17:I17)</x:f>
        <x:v>2593.51875</x:v>
      </x:c>
      <x:c r="K17" s="69" t="n">
        <x:f>K16+J17</x:f>
        <x:v>25422.781249999996</x:v>
      </x:c>
      <x:c r="L17" s="69" t="n">
        <x:v>3376.4</x:v>
      </x:c>
      <x:c r="M17" s="69" t="n">
        <x:f>M16+L17</x:f>
        <x:v>47211.200000000004</x:v>
      </x:c>
      <x:c r="N17" s="69" t="n">
        <x:f>J17-L17</x:f>
        <x:v>-782.8812499999999</x:v>
      </x:c>
      <x:c r="O17" s="69" t="n">
        <x:f>K17-M17</x:f>
        <x:v>-21788.418750000008</x:v>
      </x:c>
      <x:c r="P17" s="69" t="n">
        <x:f>20000+O17</x:f>
        <x:v>-1788.418750000008</x:v>
      </x:c>
      <x:c r="Q17" s="70" t="n">
        <x:v>450</x:v>
      </x:c>
      <x:c r="R17" s="70" t="n">
        <x:v>45</x:v>
      </x:c>
      <x:c r="S17" s="71" t="str">
        <x:v>023_02 谢飞燕肺气虚（银钱+1000）</x:v>
      </x:c>
    </x:row>
    <x:row r="18">
      <x:c r="A18" s="45" t="n">
        <x:v>1</x:v>
      </x:c>
      <x:c r="B18" s="43" t="str">
        <x:v>寒露</x:v>
      </x:c>
      <x:c r="C18" s="43" t="n">
        <x:v>3</x:v>
      </x:c>
      <x:c r="D18" s="41" t="n">
        <x:v>500</x:v>
      </x:c>
      <x:c r="E18" s="41" t="n">
        <x:v>600</x:v>
      </x:c>
      <x:c r="F18" s="41" t="n">
        <x:v>320.71875</x:v>
      </x:c>
      <x:c r="G18" s="41" t="n">
        <x:v>172.8</x:v>
      </x:c>
      <x:c r="H18" s="41" t="n">
        <x:v>0</x:v>
      </x:c>
      <x:c r="I18" s="69" t="n">
        <x:v>1000</x:v>
      </x:c>
      <x:c r="J18" s="69" t="n">
        <x:f>SUM(D18:I18)</x:f>
        <x:v>2593.51875</x:v>
      </x:c>
      <x:c r="K18" s="69" t="n">
        <x:f>K17+J18</x:f>
        <x:v>28016.299999999996</x:v>
      </x:c>
      <x:c r="L18" s="69" t="n">
        <x:v>1550</x:v>
      </x:c>
      <x:c r="M18" s="69" t="n">
        <x:f>M17+L18</x:f>
        <x:v>48761.200000000004</x:v>
      </x:c>
      <x:c r="N18" s="69" t="n">
        <x:f>J18-L18</x:f>
        <x:v>1043.5187500000002</x:v>
      </x:c>
      <x:c r="O18" s="69" t="n">
        <x:f>K18-M18</x:f>
        <x:v>-20744.90000000001</x:v>
      </x:c>
      <x:c r="P18" s="69" t="n">
        <x:f>20000+O18</x:f>
        <x:v>-744.9000000000087</x:v>
      </x:c>
      <x:c r="Q18" s="70" t="n">
        <x:v>480</x:v>
      </x:c>
      <x:c r="R18" s="70" t="n">
        <x:v>48</x:v>
      </x:c>
      <x:c r="S18" s="71" t="str">
        <x:v>024_02 谢飞燕肺阴虚（银钱+1000）</x:v>
      </x:c>
    </x:row>
    <x:row r="19">
      <x:c r="A19" s="45" t="n">
        <x:v>1</x:v>
      </x:c>
      <x:c r="B19" s="43" t="str">
        <x:v>霜降</x:v>
      </x:c>
      <x:c r="C19" s="43" t="n">
        <x:v>3</x:v>
      </x:c>
      <x:c r="D19" s="41" t="n">
        <x:v>500</x:v>
      </x:c>
      <x:c r="E19" s="41" t="n">
        <x:v>600</x:v>
      </x:c>
      <x:c r="F19" s="41" t="n">
        <x:v>320.71875</x:v>
      </x:c>
      <x:c r="G19" s="41" t="n">
        <x:v>172.8</x:v>
      </x:c>
      <x:c r="H19" s="41" t="n">
        <x:v>15000</x:v>
      </x:c>
      <x:c r="I19" s="41" t="n">
        <x:v>0</x:v>
      </x:c>
      <x:c r="J19" s="41" t="n">
        <x:f>SUM(D19:I19)</x:f>
        <x:v>16593.51875</x:v>
      </x:c>
      <x:c r="K19" s="41" t="n">
        <x:f>K18+J19</x:f>
        <x:v>44609.81874999999</x:v>
      </x:c>
      <x:c r="L19" s="41" t="n">
        <x:v>4276.4</x:v>
      </x:c>
      <x:c r="M19" s="41" t="n">
        <x:f>M18+L19</x:f>
        <x:v>53037.600000000006</x:v>
      </x:c>
      <x:c r="N19" s="41" t="n">
        <x:f>J19-L19</x:f>
        <x:v>12317.11875</x:v>
      </x:c>
      <x:c r="O19" s="41" t="n">
        <x:f>K19-M19</x:f>
        <x:v>-8427.781250000015</x:v>
      </x:c>
      <x:c r="P19" s="41" t="n">
        <x:f>20000+O19</x:f>
        <x:v>11572.218749999985</x:v>
      </x:c>
      <x:c r="Q19" s="43" t="n">
        <x:v>510</x:v>
      </x:c>
      <x:c r="R19" s="43" t="n">
        <x:v>51</x:v>
      </x:c>
      <x:c r="S19" s="15" t="str"/>
    </x:row>
    <x:row r="20">
      <x:c r="A20" s="45" t="n">
        <x:v>1</x:v>
      </x:c>
      <x:c r="B20" s="43" t="str">
        <x:v>立冬</x:v>
      </x:c>
      <x:c r="C20" s="43" t="n">
        <x:v>3</x:v>
      </x:c>
      <x:c r="D20" s="41" t="n">
        <x:v>500</x:v>
      </x:c>
      <x:c r="E20" s="41" t="n">
        <x:v>600</x:v>
      </x:c>
      <x:c r="F20" s="41" t="n">
        <x:v>320.71875</x:v>
      </x:c>
      <x:c r="G20" s="41" t="n">
        <x:v>172.8</x:v>
      </x:c>
      <x:c r="H20" s="41" t="n">
        <x:v>0</x:v>
      </x:c>
      <x:c r="I20" s="41" t="n">
        <x:v>0</x:v>
      </x:c>
      <x:c r="J20" s="41" t="n">
        <x:f>SUM(D20:I20)</x:f>
        <x:v>1593.51875</x:v>
      </x:c>
      <x:c r="K20" s="41" t="n">
        <x:f>K19+J20</x:f>
        <x:v>46203.337499999994</x:v>
      </x:c>
      <x:c r="L20" s="41" t="n">
        <x:v>4750</x:v>
      </x:c>
      <x:c r="M20" s="41" t="n">
        <x:f>M19+L20</x:f>
        <x:v>57787.600000000006</x:v>
      </x:c>
      <x:c r="N20" s="41" t="n">
        <x:f>J20-L20</x:f>
        <x:v>-3156.48125</x:v>
      </x:c>
      <x:c r="O20" s="41" t="n">
        <x:f>K20-M20</x:f>
        <x:v>-11584.262500000012</x:v>
      </x:c>
      <x:c r="P20" s="41" t="n">
        <x:f>20000+O20</x:f>
        <x:v>8415.737499999988</x:v>
      </x:c>
      <x:c r="Q20" s="43" t="n">
        <x:v>540</x:v>
      </x:c>
      <x:c r="R20" s="43" t="n">
        <x:v>54</x:v>
      </x:c>
      <x:c r="S20" s="15" t="str"/>
    </x:row>
    <x:row r="21">
      <x:c r="A21" s="45" t="n">
        <x:v>1</x:v>
      </x:c>
      <x:c r="B21" s="43" t="str">
        <x:v>小雪</x:v>
      </x:c>
      <x:c r="C21" s="43" t="n">
        <x:v>3</x:v>
      </x:c>
      <x:c r="D21" s="41" t="n">
        <x:v>500</x:v>
      </x:c>
      <x:c r="E21" s="41" t="n">
        <x:v>600</x:v>
      </x:c>
      <x:c r="F21" s="41" t="n">
        <x:v>320.71875</x:v>
      </x:c>
      <x:c r="G21" s="41" t="n">
        <x:v>172.8</x:v>
      </x:c>
      <x:c r="H21" s="41" t="n">
        <x:v>0</x:v>
      </x:c>
      <x:c r="I21" s="69" t="n">
        <x:v>1000</x:v>
      </x:c>
      <x:c r="J21" s="69" t="n">
        <x:f>SUM(D21:I21)</x:f>
        <x:v>2593.51875</x:v>
      </x:c>
      <x:c r="K21" s="69" t="n">
        <x:f>K20+J21</x:f>
        <x:v>48796.85625</x:v>
      </x:c>
      <x:c r="L21" s="69" t="n">
        <x:v>2776.4</x:v>
      </x:c>
      <x:c r="M21" s="69" t="n">
        <x:f>M20+L21</x:f>
        <x:v>60564.00000000001</x:v>
      </x:c>
      <x:c r="N21" s="69" t="n">
        <x:f>J21-L21</x:f>
        <x:v>-182.8812499999999</x:v>
      </x:c>
      <x:c r="O21" s="69" t="n">
        <x:f>K21-M21</x:f>
        <x:v>-11767.14375000001</x:v>
      </x:c>
      <x:c r="P21" s="69" t="n">
        <x:f>20000+O21</x:f>
        <x:v>8232.85624999999</x:v>
      </x:c>
      <x:c r="Q21" s="70" t="n">
        <x:v>1570</x:v>
      </x:c>
      <x:c r="R21" s="70" t="n">
        <x:v>64</x:v>
      </x:c>
      <x:c r="S21" s="71" t="str">
        <x:v>024_04 王百堂来访（心得+7）；005_02 治愈世子（银钱+1000，名望+1000）</x:v>
      </x:c>
    </x:row>
    <x:row r="22">
      <x:c r="A22" s="45" t="n">
        <x:v>1</x:v>
      </x:c>
      <x:c r="B22" s="43" t="str">
        <x:v>大雪</x:v>
      </x:c>
      <x:c r="C22" s="43" t="n">
        <x:v>3</x:v>
      </x:c>
      <x:c r="D22" s="41" t="n">
        <x:v>500</x:v>
      </x:c>
      <x:c r="E22" s="41" t="n">
        <x:v>1500</x:v>
      </x:c>
      <x:c r="F22" s="41" t="n">
        <x:v>320.71875</x:v>
      </x:c>
      <x:c r="G22" s="41" t="n">
        <x:v>172.8</x:v>
      </x:c>
      <x:c r="H22" s="41" t="n">
        <x:v>0</x:v>
      </x:c>
      <x:c r="I22" s="41" t="n">
        <x:v>0</x:v>
      </x:c>
      <x:c r="J22" s="41" t="n">
        <x:f>SUM(D22:I22)</x:f>
        <x:v>2493.51875</x:v>
      </x:c>
      <x:c r="K22" s="41" t="n">
        <x:f>K21+J22</x:f>
        <x:v>51290.375</x:v>
      </x:c>
      <x:c r="L22" s="41" t="n">
        <x:v>1550</x:v>
      </x:c>
      <x:c r="M22" s="41" t="n">
        <x:f>M21+L22</x:f>
        <x:v>62114.00000000001</x:v>
      </x:c>
      <x:c r="N22" s="41" t="n">
        <x:f>J22-L22</x:f>
        <x:v>943.5187500000002</x:v>
      </x:c>
      <x:c r="O22" s="41" t="n">
        <x:f>K22-M22</x:f>
        <x:v>-10823.625000000007</x:v>
      </x:c>
      <x:c r="P22" s="41" t="n">
        <x:f>20000+O22</x:f>
        <x:v>9176.374999999993</x:v>
      </x:c>
      <x:c r="Q22" s="43" t="n">
        <x:v>1600</x:v>
      </x:c>
      <x:c r="R22" s="43" t="n">
        <x:v>67</x:v>
      </x:c>
      <x:c r="S22" s="15" t="str"/>
    </x:row>
    <x:row r="23">
      <x:c r="A23" s="45" t="n">
        <x:v>1</x:v>
      </x:c>
      <x:c r="B23" s="43" t="str">
        <x:v>冬至</x:v>
      </x:c>
      <x:c r="C23" s="43" t="n">
        <x:v>3</x:v>
      </x:c>
      <x:c r="D23" s="41" t="n">
        <x:v>500</x:v>
      </x:c>
      <x:c r="E23" s="41" t="n">
        <x:v>1500</x:v>
      </x:c>
      <x:c r="F23" s="41" t="n">
        <x:v>320.71875</x:v>
      </x:c>
      <x:c r="G23" s="41" t="n">
        <x:v>172.8</x:v>
      </x:c>
      <x:c r="H23" s="41" t="n">
        <x:v>0</x:v>
      </x:c>
      <x:c r="I23" s="41" t="n">
        <x:v>0</x:v>
      </x:c>
      <x:c r="J23" s="41" t="n">
        <x:f>SUM(D23:I23)</x:f>
        <x:v>2493.51875</x:v>
      </x:c>
      <x:c r="K23" s="41" t="n">
        <x:f>K22+J23</x:f>
        <x:v>53783.89375</x:v>
      </x:c>
      <x:c r="L23" s="41" t="n">
        <x:v>2776.4</x:v>
      </x:c>
      <x:c r="M23" s="41" t="n">
        <x:f>M22+L23</x:f>
        <x:v>64890.40000000001</x:v>
      </x:c>
      <x:c r="N23" s="41" t="n">
        <x:f>J23-L23</x:f>
        <x:v>-282.8812499999999</x:v>
      </x:c>
      <x:c r="O23" s="41" t="n">
        <x:f>K23-M23</x:f>
        <x:v>-11106.506250000006</x:v>
      </x:c>
      <x:c r="P23" s="41" t="n">
        <x:f>20000+O23</x:f>
        <x:v>8893.493749999994</x:v>
      </x:c>
      <x:c r="Q23" s="43" t="n">
        <x:v>1630</x:v>
      </x:c>
      <x:c r="R23" s="43" t="n">
        <x:v>70</x:v>
      </x:c>
      <x:c r="S23" s="15" t="str"/>
    </x:row>
    <x:row r="24">
      <x:c r="A24" s="45" t="n">
        <x:v>1</x:v>
      </x:c>
      <x:c r="B24" s="43" t="str">
        <x:v>小寒</x:v>
      </x:c>
      <x:c r="C24" s="43" t="n">
        <x:v>3</x:v>
      </x:c>
      <x:c r="D24" s="41" t="n">
        <x:v>500</x:v>
      </x:c>
      <x:c r="E24" s="41" t="n">
        <x:v>1500</x:v>
      </x:c>
      <x:c r="F24" s="41" t="n">
        <x:v>320.71875</x:v>
      </x:c>
      <x:c r="G24" s="41" t="n">
        <x:v>172.8</x:v>
      </x:c>
      <x:c r="H24" s="41" t="n">
        <x:v>0</x:v>
      </x:c>
      <x:c r="I24" s="41" t="n">
        <x:v>0</x:v>
      </x:c>
      <x:c r="J24" s="41" t="n">
        <x:f>SUM(D24:I24)</x:f>
        <x:v>2493.51875</x:v>
      </x:c>
      <x:c r="K24" s="41" t="n">
        <x:f>K23+J24</x:f>
        <x:v>56277.412500000006</x:v>
      </x:c>
      <x:c r="L24" s="41" t="n">
        <x:v>1550</x:v>
      </x:c>
      <x:c r="M24" s="41" t="n">
        <x:f>M23+L24</x:f>
        <x:v>66440.40000000001</x:v>
      </x:c>
      <x:c r="N24" s="41" t="n">
        <x:f>J24-L24</x:f>
        <x:v>943.5187500000002</x:v>
      </x:c>
      <x:c r="O24" s="41" t="n">
        <x:f>K24-M24</x:f>
        <x:v>-10162.987500000003</x:v>
      </x:c>
      <x:c r="P24" s="41" t="n">
        <x:f>20000+O24</x:f>
        <x:v>9837.012499999997</x:v>
      </x:c>
      <x:c r="Q24" s="43" t="n">
        <x:v>1660</x:v>
      </x:c>
      <x:c r="R24" s="43" t="n">
        <x:v>73</x:v>
      </x:c>
      <x:c r="S24" s="15" t="str"/>
    </x:row>
    <x:row r="25">
      <x:c r="A25" s="45" t="n">
        <x:v>1</x:v>
      </x:c>
      <x:c r="B25" s="43" t="str">
        <x:v>大寒</x:v>
      </x:c>
      <x:c r="C25" s="43" t="n">
        <x:v>3</x:v>
      </x:c>
      <x:c r="D25" s="41" t="n">
        <x:v>500</x:v>
      </x:c>
      <x:c r="E25" s="41" t="n">
        <x:v>1500</x:v>
      </x:c>
      <x:c r="F25" s="41" t="n">
        <x:v>320.71875</x:v>
      </x:c>
      <x:c r="G25" s="41" t="n">
        <x:v>172.8</x:v>
      </x:c>
      <x:c r="H25" s="41" t="n">
        <x:v>0</x:v>
      </x:c>
      <x:c r="I25" s="41" t="n">
        <x:v>0</x:v>
      </x:c>
      <x:c r="J25" s="41" t="n">
        <x:f>SUM(D25:I25)</x:f>
        <x:v>2493.51875</x:v>
      </x:c>
      <x:c r="K25" s="41" t="n">
        <x:f>K24+J25</x:f>
        <x:v>58770.93125000001</x:v>
      </x:c>
      <x:c r="L25" s="41" t="n">
        <x:v>3376.4</x:v>
      </x:c>
      <x:c r="M25" s="41" t="n">
        <x:f>M24+L25</x:f>
        <x:v>69816.8</x:v>
      </x:c>
      <x:c r="N25" s="41" t="n">
        <x:f>J25-L25</x:f>
        <x:v>-882.8812499999999</x:v>
      </x:c>
      <x:c r="O25" s="41" t="n">
        <x:f>K25-M25</x:f>
        <x:v>-11045.868749999994</x:v>
      </x:c>
      <x:c r="P25" s="41" t="n">
        <x:f>20000+O25</x:f>
        <x:v>8954.131250000006</x:v>
      </x:c>
      <x:c r="Q25" s="43" t="n">
        <x:v>1690</x:v>
      </x:c>
      <x:c r="R25" s="43" t="n">
        <x:v>76</x:v>
      </x:c>
      <x:c r="S25" s="15" t="str"/>
    </x:row>
    <x:row r="26">
      <x:c r="A26" s="57" t="n">
        <x:v>2</x:v>
      </x:c>
      <x:c r="B26" s="58" t="str">
        <x:v>立春</x:v>
      </x:c>
      <x:c r="C26" s="58" t="n">
        <x:v>3</x:v>
      </x:c>
      <x:c r="D26" s="59" t="n">
        <x:v>500</x:v>
      </x:c>
      <x:c r="E26" s="59" t="n">
        <x:v>1500</x:v>
      </x:c>
      <x:c r="F26" s="59" t="n">
        <x:v>320.71875</x:v>
      </x:c>
      <x:c r="G26" s="59" t="n">
        <x:v>172.8</x:v>
      </x:c>
      <x:c r="H26" s="59" t="n">
        <x:v>0</x:v>
      </x:c>
      <x:c r="I26" s="59" t="n">
        <x:v>0</x:v>
      </x:c>
      <x:c r="J26" s="59" t="n">
        <x:f>SUM(D26:I26)</x:f>
        <x:v>2493.51875</x:v>
      </x:c>
      <x:c r="K26" s="59" t="n">
        <x:f>K25+J26</x:f>
        <x:v>61264.45000000001</x:v>
      </x:c>
      <x:c r="L26" s="59" t="n">
        <x:v>2650</x:v>
      </x:c>
      <x:c r="M26" s="59" t="n">
        <x:f>M25+L26</x:f>
        <x:v>72466.8</x:v>
      </x:c>
      <x:c r="N26" s="59" t="n">
        <x:f>J26-L26</x:f>
        <x:v>-156.48124999999982</x:v>
      </x:c>
      <x:c r="O26" s="59" t="n">
        <x:f>K26-M26</x:f>
        <x:v>-11202.349999999991</x:v>
      </x:c>
      <x:c r="P26" s="59" t="n">
        <x:f>20000+O26</x:f>
        <x:v>8797.650000000009</x:v>
      </x:c>
      <x:c r="Q26" s="58" t="n">
        <x:v>1720</x:v>
      </x:c>
      <x:c r="R26" s="58" t="n">
        <x:v>79</x:v>
      </x:c>
      <x:c r="S26" s="60" t="str"/>
    </x:row>
    <x:row r="27">
      <x:c r="A27" s="45" t="n">
        <x:v>2</x:v>
      </x:c>
      <x:c r="B27" s="43" t="str">
        <x:v>雨水</x:v>
      </x:c>
      <x:c r="C27" s="43" t="n">
        <x:v>3</x:v>
      </x:c>
      <x:c r="D27" s="41" t="n">
        <x:v>500</x:v>
      </x:c>
      <x:c r="E27" s="41" t="n">
        <x:v>1500</x:v>
      </x:c>
      <x:c r="F27" s="41" t="n">
        <x:v>320.71875</x:v>
      </x:c>
      <x:c r="G27" s="41" t="n">
        <x:v>172.8</x:v>
      </x:c>
      <x:c r="H27" s="41" t="n">
        <x:v>0</x:v>
      </x:c>
      <x:c r="I27" s="41" t="n">
        <x:v>0</x:v>
      </x:c>
      <x:c r="J27" s="41" t="n">
        <x:f>SUM(D27:I27)</x:f>
        <x:v>2493.51875</x:v>
      </x:c>
      <x:c r="K27" s="41" t="n">
        <x:f>K26+J27</x:f>
        <x:v>63757.968750000015</x:v>
      </x:c>
      <x:c r="L27" s="41" t="n">
        <x:v>2776.4</x:v>
      </x:c>
      <x:c r="M27" s="41" t="n">
        <x:f>M26+L27</x:f>
        <x:v>75243.2</x:v>
      </x:c>
      <x:c r="N27" s="41" t="n">
        <x:f>J27-L27</x:f>
        <x:v>-282.8812499999999</x:v>
      </x:c>
      <x:c r="O27" s="41" t="n">
        <x:f>K27-M27</x:f>
        <x:v>-11485.231249999983</x:v>
      </x:c>
      <x:c r="P27" s="41" t="n">
        <x:f>20000+O27</x:f>
        <x:v>8514.768750000017</x:v>
      </x:c>
      <x:c r="Q27" s="43" t="n">
        <x:v>1750</x:v>
      </x:c>
      <x:c r="R27" s="43" t="n">
        <x:v>82</x:v>
      </x:c>
      <x:c r="S27" s="15" t="str"/>
    </x:row>
    <x:row r="28">
      <x:c r="A28" s="45" t="n">
        <x:v>2</x:v>
      </x:c>
      <x:c r="B28" s="43" t="str">
        <x:v>惊蛰</x:v>
      </x:c>
      <x:c r="C28" s="43" t="n">
        <x:v>3</x:v>
      </x:c>
      <x:c r="D28" s="41" t="n">
        <x:v>500</x:v>
      </x:c>
      <x:c r="E28" s="41" t="n">
        <x:v>1500</x:v>
      </x:c>
      <x:c r="F28" s="41" t="n">
        <x:v>320.71875</x:v>
      </x:c>
      <x:c r="G28" s="41" t="n">
        <x:v>172.8</x:v>
      </x:c>
      <x:c r="H28" s="41" t="n">
        <x:v>0</x:v>
      </x:c>
      <x:c r="I28" s="41" t="n">
        <x:v>0</x:v>
      </x:c>
      <x:c r="J28" s="41" t="n">
        <x:f>SUM(D28:I28)</x:f>
        <x:v>2493.51875</x:v>
      </x:c>
      <x:c r="K28" s="41" t="n">
        <x:f>K27+J28</x:f>
        <x:v>66251.48750000002</x:v>
      </x:c>
      <x:c r="L28" s="41" t="n">
        <x:v>1550</x:v>
      </x:c>
      <x:c r="M28" s="41" t="n">
        <x:f>M27+L28</x:f>
        <x:v>76793.2</x:v>
      </x:c>
      <x:c r="N28" s="41" t="n">
        <x:f>J28-L28</x:f>
        <x:v>943.5187500000002</x:v>
      </x:c>
      <x:c r="O28" s="41" t="n">
        <x:f>K28-M28</x:f>
        <x:v>-10541.71249999998</x:v>
      </x:c>
      <x:c r="P28" s="41" t="n">
        <x:f>20000+O28</x:f>
        <x:v>9458.28750000002</x:v>
      </x:c>
      <x:c r="Q28" s="43" t="n">
        <x:v>1780</x:v>
      </x:c>
      <x:c r="R28" s="43" t="n">
        <x:v>85</x:v>
      </x:c>
      <x:c r="S28" s="15" t="str"/>
    </x:row>
    <x:row r="29">
      <x:c r="A29" s="45" t="n">
        <x:v>2</x:v>
      </x:c>
      <x:c r="B29" s="43" t="str">
        <x:v>春分</x:v>
      </x:c>
      <x:c r="C29" s="43" t="n">
        <x:v>3</x:v>
      </x:c>
      <x:c r="D29" s="41" t="n">
        <x:v>500</x:v>
      </x:c>
      <x:c r="E29" s="41" t="n">
        <x:v>1500</x:v>
      </x:c>
      <x:c r="F29" s="41" t="n">
        <x:v>320.71875</x:v>
      </x:c>
      <x:c r="G29" s="41" t="n">
        <x:v>172.8</x:v>
      </x:c>
      <x:c r="H29" s="41" t="n">
        <x:v>0</x:v>
      </x:c>
      <x:c r="I29" s="41" t="n">
        <x:v>0</x:v>
      </x:c>
      <x:c r="J29" s="41" t="n">
        <x:f>SUM(D29:I29)</x:f>
        <x:v>2493.51875</x:v>
      </x:c>
      <x:c r="K29" s="41" t="n">
        <x:f>K28+J29</x:f>
        <x:v>68745.00625000002</x:v>
      </x:c>
      <x:c r="L29" s="41" t="n">
        <x:v>3376.4</x:v>
      </x:c>
      <x:c r="M29" s="41" t="n">
        <x:f>M28+L29</x:f>
        <x:v>80169.59999999999</x:v>
      </x:c>
      <x:c r="N29" s="41" t="n">
        <x:f>J29-L29</x:f>
        <x:v>-882.8812499999999</x:v>
      </x:c>
      <x:c r="O29" s="41" t="n">
        <x:f>K29-M29</x:f>
        <x:v>-11424.59374999997</x:v>
      </x:c>
      <x:c r="P29" s="41" t="n">
        <x:f>20000+O29</x:f>
        <x:v>8575.40625000003</x:v>
      </x:c>
      <x:c r="Q29" s="43" t="n">
        <x:v>1810</x:v>
      </x:c>
      <x:c r="R29" s="43" t="n">
        <x:v>88</x:v>
      </x:c>
      <x:c r="S29" s="15" t="str"/>
    </x:row>
    <x:row r="30">
      <x:c r="A30" s="45" t="n">
        <x:v>2</x:v>
      </x:c>
      <x:c r="B30" s="43" t="str">
        <x:v>清明</x:v>
      </x:c>
      <x:c r="C30" s="43" t="n">
        <x:v>3</x:v>
      </x:c>
      <x:c r="D30" s="41" t="n">
        <x:v>500</x:v>
      </x:c>
      <x:c r="E30" s="41" t="n">
        <x:v>1500</x:v>
      </x:c>
      <x:c r="F30" s="41" t="n">
        <x:v>320.71875</x:v>
      </x:c>
      <x:c r="G30" s="41" t="n">
        <x:v>172.8</x:v>
      </x:c>
      <x:c r="H30" s="41" t="n">
        <x:v>0</x:v>
      </x:c>
      <x:c r="I30" s="41" t="n">
        <x:v>0</x:v>
      </x:c>
      <x:c r="J30" s="41" t="n">
        <x:f>SUM(D30:I30)</x:f>
        <x:v>2493.51875</x:v>
      </x:c>
      <x:c r="K30" s="41" t="n">
        <x:f>K29+J30</x:f>
        <x:v>71238.52500000002</x:v>
      </x:c>
      <x:c r="L30" s="41" t="n">
        <x:v>3550</x:v>
      </x:c>
      <x:c r="M30" s="41" t="n">
        <x:f>M29+L30</x:f>
        <x:v>83719.59999999999</x:v>
      </x:c>
      <x:c r="N30" s="41" t="n">
        <x:f>J30-L30</x:f>
        <x:v>-1056.4812499999998</x:v>
      </x:c>
      <x:c r="O30" s="41" t="n">
        <x:f>K30-M30</x:f>
        <x:v>-12481.074999999968</x:v>
      </x:c>
      <x:c r="P30" s="41" t="n">
        <x:f>20000+O30</x:f>
        <x:v>7518.925000000032</x:v>
      </x:c>
      <x:c r="Q30" s="43" t="n">
        <x:v>1840</x:v>
      </x:c>
      <x:c r="R30" s="43" t="n">
        <x:v>91</x:v>
      </x:c>
      <x:c r="S30" s="15" t="str"/>
    </x:row>
    <x:row r="31">
      <x:c r="A31" s="45" t="n">
        <x:v>2</x:v>
      </x:c>
      <x:c r="B31" s="43" t="str">
        <x:v>谷雨</x:v>
      </x:c>
      <x:c r="C31" s="43" t="n">
        <x:v>3</x:v>
      </x:c>
      <x:c r="D31" s="41" t="n">
        <x:v>500</x:v>
      </x:c>
      <x:c r="E31" s="41" t="n">
        <x:v>1500</x:v>
      </x:c>
      <x:c r="F31" s="41" t="n">
        <x:v>320.71875</x:v>
      </x:c>
      <x:c r="G31" s="41" t="n">
        <x:v>172.8</x:v>
      </x:c>
      <x:c r="H31" s="41" t="n">
        <x:v>0</x:v>
      </x:c>
      <x:c r="I31" s="41" t="n">
        <x:v>0</x:v>
      </x:c>
      <x:c r="J31" s="41" t="n">
        <x:f>SUM(D31:I31)</x:f>
        <x:v>2493.51875</x:v>
      </x:c>
      <x:c r="K31" s="41" t="n">
        <x:f>K30+J31</x:f>
        <x:v>73732.04375000003</x:v>
      </x:c>
      <x:c r="L31" s="41" t="n">
        <x:v>2776.4</x:v>
      </x:c>
      <x:c r="M31" s="41" t="n">
        <x:f>M30+L31</x:f>
        <x:v>86495.99999999999</x:v>
      </x:c>
      <x:c r="N31" s="41" t="n">
        <x:f>J31-L31</x:f>
        <x:v>-282.8812499999999</x:v>
      </x:c>
      <x:c r="O31" s="41" t="n">
        <x:f>K31-M31</x:f>
        <x:v>-12763.95624999996</x:v>
      </x:c>
      <x:c r="P31" s="41" t="n">
        <x:f>20000+O31</x:f>
        <x:v>7236.043750000041</x:v>
      </x:c>
      <x:c r="Q31" s="43" t="n">
        <x:v>1870</x:v>
      </x:c>
      <x:c r="R31" s="43" t="n">
        <x:v>94</x:v>
      </x:c>
      <x:c r="S31" s="15" t="str"/>
    </x:row>
    <x:row r="32">
      <x:c r="A32" s="45" t="n">
        <x:v>2</x:v>
      </x:c>
      <x:c r="B32" s="43" t="str">
        <x:v>立夏</x:v>
      </x:c>
      <x:c r="C32" s="43" t="n">
        <x:v>3</x:v>
      </x:c>
      <x:c r="D32" s="41" t="n">
        <x:v>500</x:v>
      </x:c>
      <x:c r="E32" s="41" t="n">
        <x:v>1500</x:v>
      </x:c>
      <x:c r="F32" s="41" t="n">
        <x:v>320.71875</x:v>
      </x:c>
      <x:c r="G32" s="41" t="n">
        <x:v>172.8</x:v>
      </x:c>
      <x:c r="H32" s="41" t="n">
        <x:v>0</x:v>
      </x:c>
      <x:c r="I32" s="41" t="n">
        <x:v>0</x:v>
      </x:c>
      <x:c r="J32" s="41" t="n">
        <x:f>SUM(D32:I32)</x:f>
        <x:v>2493.51875</x:v>
      </x:c>
      <x:c r="K32" s="41" t="n">
        <x:f>K31+J32</x:f>
        <x:v>76225.56250000003</x:v>
      </x:c>
      <x:c r="L32" s="41" t="n">
        <x:v>2650</x:v>
      </x:c>
      <x:c r="M32" s="41" t="n">
        <x:f>M31+L32</x:f>
        <x:v>89145.99999999999</x:v>
      </x:c>
      <x:c r="N32" s="41" t="n">
        <x:f>J32-L32</x:f>
        <x:v>-156.48124999999982</x:v>
      </x:c>
      <x:c r="O32" s="41" t="n">
        <x:f>K32-M32</x:f>
        <x:v>-12920.437499999956</x:v>
      </x:c>
      <x:c r="P32" s="41" t="n">
        <x:f>20000+O32</x:f>
        <x:v>7079.562500000044</x:v>
      </x:c>
      <x:c r="Q32" s="43" t="n">
        <x:v>1900</x:v>
      </x:c>
      <x:c r="R32" s="43" t="n">
        <x:v>97</x:v>
      </x:c>
      <x:c r="S32" s="15" t="str"/>
    </x:row>
    <x:row r="33">
      <x:c r="A33" s="45" t="n">
        <x:v>2</x:v>
      </x:c>
      <x:c r="B33" s="43" t="str">
        <x:v>小满</x:v>
      </x:c>
      <x:c r="C33" s="43" t="n">
        <x:v>3</x:v>
      </x:c>
      <x:c r="D33" s="41" t="n">
        <x:v>500</x:v>
      </x:c>
      <x:c r="E33" s="41" t="n">
        <x:v>1500</x:v>
      </x:c>
      <x:c r="F33" s="41" t="n">
        <x:v>320.71875</x:v>
      </x:c>
      <x:c r="G33" s="41" t="n">
        <x:v>172.8</x:v>
      </x:c>
      <x:c r="H33" s="41" t="n">
        <x:v>0</x:v>
      </x:c>
      <x:c r="I33" s="41" t="n">
        <x:v>0</x:v>
      </x:c>
      <x:c r="J33" s="41" t="n">
        <x:f>SUM(D33:I33)</x:f>
        <x:v>2493.51875</x:v>
      </x:c>
      <x:c r="K33" s="41" t="n">
        <x:f>K32+J33</x:f>
        <x:v>78719.08125000003</x:v>
      </x:c>
      <x:c r="L33" s="41" t="n">
        <x:v>3676.4</x:v>
      </x:c>
      <x:c r="M33" s="41" t="n">
        <x:f>M32+L33</x:f>
        <x:v>92822.39999999998</x:v>
      </x:c>
      <x:c r="N33" s="41" t="n">
        <x:f>J33-L33</x:f>
        <x:v>-1182.88125</x:v>
      </x:c>
      <x:c r="O33" s="41" t="n">
        <x:f>K33-M33</x:f>
        <x:v>-14103.318749999948</x:v>
      </x:c>
      <x:c r="P33" s="41" t="n">
        <x:f>20000+O33</x:f>
        <x:v>5896.681250000052</x:v>
      </x:c>
      <x:c r="Q33" s="43" t="n">
        <x:v>1930</x:v>
      </x:c>
      <x:c r="R33" s="43" t="n">
        <x:v>100</x:v>
      </x:c>
      <x:c r="S33" s="15" t="str"/>
    </x:row>
    <x:row r="34">
      <x:c r="A34" s="45" t="n">
        <x:v>2</x:v>
      </x:c>
      <x:c r="B34" s="43" t="str">
        <x:v>芒种</x:v>
      </x:c>
      <x:c r="C34" s="43" t="n">
        <x:v>3</x:v>
      </x:c>
      <x:c r="D34" s="41" t="n">
        <x:v>500</x:v>
      </x:c>
      <x:c r="E34" s="41" t="n">
        <x:v>1500</x:v>
      </x:c>
      <x:c r="F34" s="41" t="n">
        <x:v>320.71875</x:v>
      </x:c>
      <x:c r="G34" s="41" t="n">
        <x:v>172.8</x:v>
      </x:c>
      <x:c r="H34" s="41" t="n">
        <x:v>0</x:v>
      </x:c>
      <x:c r="I34" s="69" t="n">
        <x:v>2000</x:v>
      </x:c>
      <x:c r="J34" s="69" t="n">
        <x:f>SUM(D34:I34)</x:f>
        <x:v>4493.51875</x:v>
      </x:c>
      <x:c r="K34" s="69" t="n">
        <x:f>K33+J34</x:f>
        <x:v>83212.60000000003</x:v>
      </x:c>
      <x:c r="L34" s="69" t="n">
        <x:v>2450</x:v>
      </x:c>
      <x:c r="M34" s="69" t="n">
        <x:f>M33+L34</x:f>
        <x:v>95272.39999999998</x:v>
      </x:c>
      <x:c r="N34" s="69" t="n">
        <x:f>J34-L34</x:f>
        <x:v>2043.5187500000002</x:v>
      </x:c>
      <x:c r="O34" s="69" t="n">
        <x:f>K34-M34</x:f>
        <x:v>-12059.799999999945</x:v>
      </x:c>
      <x:c r="P34" s="69" t="n">
        <x:f>20000+O34</x:f>
        <x:v>7940.200000000055</x:v>
      </x:c>
      <x:c r="Q34" s="70" t="n">
        <x:v>1960</x:v>
      </x:c>
      <x:c r="R34" s="70" t="n">
        <x:v>103</x:v>
      </x:c>
      <x:c r="S34" s="71" t="str">
        <x:v>025_02 和尚肾精不足（银钱+2000）</x:v>
      </x:c>
    </x:row>
    <x:row r="35">
      <x:c r="A35" s="45" t="n">
        <x:v>2</x:v>
      </x:c>
      <x:c r="B35" s="43" t="str">
        <x:v>夏至</x:v>
      </x:c>
      <x:c r="C35" s="43" t="n">
        <x:v>3</x:v>
      </x:c>
      <x:c r="D35" s="41" t="n">
        <x:v>500</x:v>
      </x:c>
      <x:c r="E35" s="41" t="n">
        <x:v>1500</x:v>
      </x:c>
      <x:c r="F35" s="41" t="n">
        <x:v>320.71875</x:v>
      </x:c>
      <x:c r="G35" s="41" t="n">
        <x:v>172.8</x:v>
      </x:c>
      <x:c r="H35" s="41" t="n">
        <x:v>0</x:v>
      </x:c>
      <x:c r="I35" s="41" t="n">
        <x:v>0</x:v>
      </x:c>
      <x:c r="J35" s="41" t="n">
        <x:f>SUM(D35:I35)</x:f>
        <x:v>2493.51875</x:v>
      </x:c>
      <x:c r="K35" s="41" t="n">
        <x:f>K34+J35</x:f>
        <x:v>85706.11875000004</x:v>
      </x:c>
      <x:c r="L35" s="41" t="n">
        <x:v>3676.4</x:v>
      </x:c>
      <x:c r="M35" s="41" t="n">
        <x:f>M34+L35</x:f>
        <x:v>98948.79999999997</x:v>
      </x:c>
      <x:c r="N35" s="41" t="n">
        <x:f>J35-L35</x:f>
        <x:v>-1182.88125</x:v>
      </x:c>
      <x:c r="O35" s="41" t="n">
        <x:f>K35-M35</x:f>
        <x:v>-13242.681249999936</x:v>
      </x:c>
      <x:c r="P35" s="41" t="n">
        <x:f>20000+O35</x:f>
        <x:v>6757.318750000064</x:v>
      </x:c>
      <x:c r="Q35" s="43" t="n">
        <x:v>1990</x:v>
      </x:c>
      <x:c r="R35" s="43" t="n">
        <x:v>106</x:v>
      </x:c>
      <x:c r="S35" s="15" t="str"/>
    </x:row>
    <x:row r="36">
      <x:c r="A36" s="45" t="n">
        <x:v>2</x:v>
      </x:c>
      <x:c r="B36" s="43" t="str">
        <x:v>小暑</x:v>
      </x:c>
      <x:c r="C36" s="43" t="n">
        <x:v>3</x:v>
      </x:c>
      <x:c r="D36" s="41" t="n">
        <x:v>500</x:v>
      </x:c>
      <x:c r="E36" s="41" t="n">
        <x:v>2000</x:v>
      </x:c>
      <x:c r="F36" s="41" t="n">
        <x:v>320.71875</x:v>
      </x:c>
      <x:c r="G36" s="41" t="n">
        <x:v>172.8</x:v>
      </x:c>
      <x:c r="H36" s="41" t="n">
        <x:v>0</x:v>
      </x:c>
      <x:c r="I36" s="41" t="n">
        <x:v>0</x:v>
      </x:c>
      <x:c r="J36" s="41" t="n">
        <x:f>SUM(D36:I36)</x:f>
        <x:v>2993.51875</x:v>
      </x:c>
      <x:c r="K36" s="41" t="n">
        <x:f>K35+J36</x:f>
        <x:v>88699.63750000004</x:v>
      </x:c>
      <x:c r="L36" s="41" t="n">
        <x:v>2450</x:v>
      </x:c>
      <x:c r="M36" s="41" t="n">
        <x:f>M35+L36</x:f>
        <x:v>101398.79999999997</x:v>
      </x:c>
      <x:c r="N36" s="41" t="n">
        <x:f>J36-L36</x:f>
        <x:v>543.5187500000002</x:v>
      </x:c>
      <x:c r="O36" s="41" t="n">
        <x:f>K36-M36</x:f>
        <x:v>-12699.162499999933</x:v>
      </x:c>
      <x:c r="P36" s="41" t="n">
        <x:f>20000+O36</x:f>
        <x:v>7300.837500000067</x:v>
      </x:c>
      <x:c r="Q36" s="43" t="n">
        <x:v>2020</x:v>
      </x:c>
      <x:c r="R36" s="43" t="n">
        <x:v>109</x:v>
      </x:c>
      <x:c r="S36" s="15" t="str"/>
    </x:row>
    <x:row r="37">
      <x:c r="A37" s="45" t="n">
        <x:v>2</x:v>
      </x:c>
      <x:c r="B37" s="43" t="str">
        <x:v>大暑</x:v>
      </x:c>
      <x:c r="C37" s="43" t="n">
        <x:v>3</x:v>
      </x:c>
      <x:c r="D37" s="41" t="n">
        <x:v>500</x:v>
      </x:c>
      <x:c r="E37" s="41" t="n">
        <x:v>3000</x:v>
      </x:c>
      <x:c r="F37" s="41" t="n">
        <x:v>320.71875</x:v>
      </x:c>
      <x:c r="G37" s="41" t="n">
        <x:v>172.8</x:v>
      </x:c>
      <x:c r="H37" s="41" t="n">
        <x:v>5000</x:v>
      </x:c>
      <x:c r="I37" s="41" t="n">
        <x:v>0</x:v>
      </x:c>
      <x:c r="J37" s="41" t="n">
        <x:f>SUM(D37:I37)</x:f>
        <x:v>8993.51875</x:v>
      </x:c>
      <x:c r="K37" s="41" t="n">
        <x:f>K36+J37</x:f>
        <x:v>97693.15625000004</x:v>
      </x:c>
      <x:c r="L37" s="41" t="n">
        <x:v>3276.4</x:v>
      </x:c>
      <x:c r="M37" s="41" t="n">
        <x:f>M36+L37</x:f>
        <x:v>104675.19999999997</x:v>
      </x:c>
      <x:c r="N37" s="41" t="n">
        <x:f>J37-L37</x:f>
        <x:v>5717.11875</x:v>
      </x:c>
      <x:c r="O37" s="41" t="n">
        <x:f>K37-M37</x:f>
        <x:v>-6982.043749999924</x:v>
      </x:c>
      <x:c r="P37" s="41" t="n">
        <x:f>20000+O37</x:f>
        <x:v>13017.956250000076</x:v>
      </x:c>
      <x:c r="Q37" s="43" t="n">
        <x:v>2050</x:v>
      </x:c>
      <x:c r="R37" s="43" t="n">
        <x:v>112</x:v>
      </x:c>
      <x:c r="S37" s="15" t="str"/>
    </x:row>
    <x:row r="38">
      <x:c r="A38" s="45" t="n">
        <x:v>2</x:v>
      </x:c>
      <x:c r="B38" s="43" t="str">
        <x:v>立秋</x:v>
      </x:c>
      <x:c r="C38" s="43" t="n">
        <x:v>3</x:v>
      </x:c>
      <x:c r="D38" s="41" t="n">
        <x:v>500</x:v>
      </x:c>
      <x:c r="E38" s="41" t="n">
        <x:v>3000</x:v>
      </x:c>
      <x:c r="F38" s="41" t="n">
        <x:v>320.71875</x:v>
      </x:c>
      <x:c r="G38" s="41" t="n">
        <x:v>172.8</x:v>
      </x:c>
      <x:c r="H38" s="41" t="n">
        <x:v>0</x:v>
      </x:c>
      <x:c r="I38" s="41" t="n">
        <x:v>0</x:v>
      </x:c>
      <x:c r="J38" s="41" t="n">
        <x:f>SUM(D38:I38)</x:f>
        <x:v>3993.51875</x:v>
      </x:c>
      <x:c r="K38" s="41" t="n">
        <x:f>K37+J38</x:f>
        <x:v>101686.67500000005</x:v>
      </x:c>
      <x:c r="L38" s="41" t="n">
        <x:v>2650</x:v>
      </x:c>
      <x:c r="M38" s="41" t="n">
        <x:f>M37+L38</x:f>
        <x:v>107325.19999999997</x:v>
      </x:c>
      <x:c r="N38" s="41" t="n">
        <x:f>J38-L38</x:f>
        <x:v>1343.5187500000002</x:v>
      </x:c>
      <x:c r="O38" s="41" t="n">
        <x:f>K38-M38</x:f>
        <x:v>-5638.524999999921</x:v>
      </x:c>
      <x:c r="P38" s="41" t="n">
        <x:f>20000+O38</x:f>
        <x:v>14361.475000000079</x:v>
      </x:c>
      <x:c r="Q38" s="43" t="n">
        <x:v>2080</x:v>
      </x:c>
      <x:c r="R38" s="43" t="n">
        <x:v>115</x:v>
      </x:c>
      <x:c r="S38" s="15" t="str"/>
    </x:row>
    <x:row r="39">
      <x:c r="A39" s="45" t="n">
        <x:v>2</x:v>
      </x:c>
      <x:c r="B39" s="43" t="str">
        <x:v>处暑</x:v>
      </x:c>
      <x:c r="C39" s="43" t="n">
        <x:v>3</x:v>
      </x:c>
      <x:c r="D39" s="41" t="n">
        <x:v>500</x:v>
      </x:c>
      <x:c r="E39" s="41" t="n">
        <x:v>3000</x:v>
      </x:c>
      <x:c r="F39" s="41" t="n">
        <x:v>320.71875</x:v>
      </x:c>
      <x:c r="G39" s="41" t="n">
        <x:v>172.8</x:v>
      </x:c>
      <x:c r="H39" s="41" t="n">
        <x:v>0</x:v>
      </x:c>
      <x:c r="I39" s="41" t="n">
        <x:v>0</x:v>
      </x:c>
      <x:c r="J39" s="41" t="n">
        <x:f>SUM(D39:I39)</x:f>
        <x:v>3993.51875</x:v>
      </x:c>
      <x:c r="K39" s="41" t="n">
        <x:f>K38+J39</x:f>
        <x:v>105680.19375000005</x:v>
      </x:c>
      <x:c r="L39" s="41" t="n">
        <x:v>4776.4</x:v>
      </x:c>
      <x:c r="M39" s="41" t="n">
        <x:f>M38+L39</x:f>
        <x:v>112101.59999999996</x:v>
      </x:c>
      <x:c r="N39" s="41" t="n">
        <x:f>J39-L39</x:f>
        <x:v>-782.8812499999995</x:v>
      </x:c>
      <x:c r="O39" s="41" t="n">
        <x:f>K39-M39</x:f>
        <x:v>-6421.406249999913</x:v>
      </x:c>
      <x:c r="P39" s="41" t="n">
        <x:f>20000+O39</x:f>
        <x:v>13578.593750000087</x:v>
      </x:c>
      <x:c r="Q39" s="43" t="n">
        <x:v>2110</x:v>
      </x:c>
      <x:c r="R39" s="43" t="n">
        <x:v>118</x:v>
      </x:c>
      <x:c r="S39" s="15" t="str"/>
    </x:row>
    <x:row r="40">
      <x:c r="A40" s="45" t="n">
        <x:v>2</x:v>
      </x:c>
      <x:c r="B40" s="43" t="str">
        <x:v>白露</x:v>
      </x:c>
      <x:c r="C40" s="43" t="n">
        <x:v>3</x:v>
      </x:c>
      <x:c r="D40" s="41" t="n">
        <x:v>500</x:v>
      </x:c>
      <x:c r="E40" s="41" t="n">
        <x:v>3000</x:v>
      </x:c>
      <x:c r="F40" s="41" t="n">
        <x:v>320.71875</x:v>
      </x:c>
      <x:c r="G40" s="41" t="n">
        <x:v>172.8</x:v>
      </x:c>
      <x:c r="H40" s="41" t="n">
        <x:v>0</x:v>
      </x:c>
      <x:c r="I40" s="41" t="n">
        <x:v>0</x:v>
      </x:c>
      <x:c r="J40" s="41" t="n">
        <x:f>SUM(D40:I40)</x:f>
        <x:v>3993.51875</x:v>
      </x:c>
      <x:c r="K40" s="41" t="n">
        <x:f>K39+J40</x:f>
        <x:v>109673.71250000005</x:v>
      </x:c>
      <x:c r="L40" s="41" t="n">
        <x:v>1550</x:v>
      </x:c>
      <x:c r="M40" s="41" t="n">
        <x:f>M39+L40</x:f>
        <x:v>113651.59999999996</x:v>
      </x:c>
      <x:c r="N40" s="41" t="n">
        <x:f>J40-L40</x:f>
        <x:v>2443.51875</x:v>
      </x:c>
      <x:c r="O40" s="41" t="n">
        <x:f>K40-M40</x:f>
        <x:v>-3977.88749999991</x:v>
      </x:c>
      <x:c r="P40" s="41" t="n">
        <x:f>20000+O40</x:f>
        <x:v>16022.11250000009</x:v>
      </x:c>
      <x:c r="Q40" s="43" t="n">
        <x:v>2140</x:v>
      </x:c>
      <x:c r="R40" s="43" t="n">
        <x:v>121</x:v>
      </x:c>
      <x:c r="S40" s="15" t="str"/>
    </x:row>
    <x:row r="41">
      <x:c r="A41" s="45" t="n">
        <x:v>2</x:v>
      </x:c>
      <x:c r="B41" s="43" t="str">
        <x:v>秋分</x:v>
      </x:c>
      <x:c r="C41" s="43" t="n">
        <x:v>3</x:v>
      </x:c>
      <x:c r="D41" s="41" t="n">
        <x:v>500</x:v>
      </x:c>
      <x:c r="E41" s="41" t="n">
        <x:v>3000</x:v>
      </x:c>
      <x:c r="F41" s="41" t="n">
        <x:v>320.71875</x:v>
      </x:c>
      <x:c r="G41" s="41" t="n">
        <x:v>172.8</x:v>
      </x:c>
      <x:c r="H41" s="41" t="n">
        <x:v>0</x:v>
      </x:c>
      <x:c r="I41" s="41" t="n">
        <x:v>0</x:v>
      </x:c>
      <x:c r="J41" s="41" t="n">
        <x:f>SUM(D41:I41)</x:f>
        <x:v>3993.51875</x:v>
      </x:c>
      <x:c r="K41" s="41" t="n">
        <x:f>K40+J41</x:f>
        <x:v>113667.23125000006</x:v>
      </x:c>
      <x:c r="L41" s="41" t="n">
        <x:v>3376.4</x:v>
      </x:c>
      <x:c r="M41" s="41" t="n">
        <x:f>M40+L41</x:f>
        <x:v>117027.99999999996</x:v>
      </x:c>
      <x:c r="N41" s="41" t="n">
        <x:f>J41-L41</x:f>
        <x:v>617.1187500000001</x:v>
      </x:c>
      <x:c r="O41" s="41" t="n">
        <x:f>K41-M41</x:f>
        <x:v>-3360.768749999901</x:v>
      </x:c>
      <x:c r="P41" s="41" t="n">
        <x:f>20000+O41</x:f>
        <x:v>16639.2312500001</x:v>
      </x:c>
      <x:c r="Q41" s="43" t="n">
        <x:v>2170</x:v>
      </x:c>
      <x:c r="R41" s="43" t="n">
        <x:v>124</x:v>
      </x:c>
      <x:c r="S41" s="15" t="str"/>
    </x:row>
    <x:row r="42">
      <x:c r="A42" s="45" t="n">
        <x:v>2</x:v>
      </x:c>
      <x:c r="B42" s="43" t="str">
        <x:v>寒露</x:v>
      </x:c>
      <x:c r="C42" s="43" t="n">
        <x:v>3</x:v>
      </x:c>
      <x:c r="D42" s="41" t="n">
        <x:v>500</x:v>
      </x:c>
      <x:c r="E42" s="41" t="n">
        <x:v>3000</x:v>
      </x:c>
      <x:c r="F42" s="41" t="n">
        <x:v>320.71875</x:v>
      </x:c>
      <x:c r="G42" s="41" t="n">
        <x:v>172.8</x:v>
      </x:c>
      <x:c r="H42" s="41" t="n">
        <x:v>0</x:v>
      </x:c>
      <x:c r="I42" s="41" t="n">
        <x:v>0</x:v>
      </x:c>
      <x:c r="J42" s="41" t="n">
        <x:f>SUM(D42:I42)</x:f>
        <x:v>3993.51875</x:v>
      </x:c>
      <x:c r="K42" s="41" t="n">
        <x:f>K41+J42</x:f>
        <x:v>117660.75000000006</x:v>
      </x:c>
      <x:c r="L42" s="41" t="n">
        <x:v>1550</x:v>
      </x:c>
      <x:c r="M42" s="41" t="n">
        <x:f>M41+L42</x:f>
        <x:v>118577.99999999996</x:v>
      </x:c>
      <x:c r="N42" s="41" t="n">
        <x:f>J42-L42</x:f>
        <x:v>2443.51875</x:v>
      </x:c>
      <x:c r="O42" s="41" t="n">
        <x:f>K42-M42</x:f>
        <x:v>-917.2499999998981</x:v>
      </x:c>
      <x:c r="P42" s="41" t="n">
        <x:f>20000+O42</x:f>
        <x:v>19082.750000000102</x:v>
      </x:c>
      <x:c r="Q42" s="43" t="n">
        <x:v>2200</x:v>
      </x:c>
      <x:c r="R42" s="43" t="n">
        <x:v>127</x:v>
      </x:c>
      <x:c r="S42" s="15" t="str"/>
    </x:row>
    <x:row r="43">
      <x:c r="A43" s="45" t="n">
        <x:v>2</x:v>
      </x:c>
      <x:c r="B43" s="43" t="str">
        <x:v>霜降</x:v>
      </x:c>
      <x:c r="C43" s="43" t="n">
        <x:v>3</x:v>
      </x:c>
      <x:c r="D43" s="41" t="n">
        <x:v>500</x:v>
      </x:c>
      <x:c r="E43" s="41" t="n">
        <x:v>3000</x:v>
      </x:c>
      <x:c r="F43" s="41" t="n">
        <x:v>320.71875</x:v>
      </x:c>
      <x:c r="G43" s="41" t="n">
        <x:v>172.8</x:v>
      </x:c>
      <x:c r="H43" s="41" t="n">
        <x:v>15000</x:v>
      </x:c>
      <x:c r="I43" s="41" t="n">
        <x:v>0</x:v>
      </x:c>
      <x:c r="J43" s="41" t="n">
        <x:f>SUM(D43:I43)</x:f>
        <x:v>18993.51875</x:v>
      </x:c>
      <x:c r="K43" s="41" t="n">
        <x:f>K42+J43</x:f>
        <x:v>136654.26875000005</x:v>
      </x:c>
      <x:c r="L43" s="41" t="n">
        <x:v>4276.4</x:v>
      </x:c>
      <x:c r="M43" s="41" t="n">
        <x:f>M42+L43</x:f>
        <x:v>122854.39999999995</x:v>
      </x:c>
      <x:c r="N43" s="41" t="n">
        <x:f>J43-L43</x:f>
        <x:v>14717.11875</x:v>
      </x:c>
      <x:c r="O43" s="41" t="n">
        <x:f>K43-M43</x:f>
        <x:v>13799.868750000096</x:v>
      </x:c>
      <x:c r="P43" s="41" t="n">
        <x:f>20000+O43</x:f>
        <x:v>33799.868750000096</x:v>
      </x:c>
      <x:c r="Q43" s="43" t="n">
        <x:v>2230</x:v>
      </x:c>
      <x:c r="R43" s="43" t="n">
        <x:v>130</x:v>
      </x:c>
      <x:c r="S43" s="15" t="str"/>
    </x:row>
    <x:row r="44">
      <x:c r="A44" s="45" t="n">
        <x:v>2</x:v>
      </x:c>
      <x:c r="B44" s="43" t="str">
        <x:v>立冬</x:v>
      </x:c>
      <x:c r="C44" s="43" t="n">
        <x:v>3</x:v>
      </x:c>
      <x:c r="D44" s="41" t="n">
        <x:v>500</x:v>
      </x:c>
      <x:c r="E44" s="41" t="n">
        <x:v>3000</x:v>
      </x:c>
      <x:c r="F44" s="41" t="n">
        <x:v>320.71875</x:v>
      </x:c>
      <x:c r="G44" s="41" t="n">
        <x:v>172.8</x:v>
      </x:c>
      <x:c r="H44" s="41" t="n">
        <x:v>0</x:v>
      </x:c>
      <x:c r="I44" s="41" t="n">
        <x:v>0</x:v>
      </x:c>
      <x:c r="J44" s="41" t="n">
        <x:f>SUM(D44:I44)</x:f>
        <x:v>3993.51875</x:v>
      </x:c>
      <x:c r="K44" s="41" t="n">
        <x:f>K43+J44</x:f>
        <x:v>140647.78750000003</x:v>
      </x:c>
      <x:c r="L44" s="41" t="n">
        <x:v>4750</x:v>
      </x:c>
      <x:c r="M44" s="41" t="n">
        <x:f>M43+L44</x:f>
        <x:v>127604.39999999995</x:v>
      </x:c>
      <x:c r="N44" s="41" t="n">
        <x:f>J44-L44</x:f>
        <x:v>-756.4812499999998</x:v>
      </x:c>
      <x:c r="O44" s="41" t="n">
        <x:f>K44-M44</x:f>
        <x:v>13043.387500000084</x:v>
      </x:c>
      <x:c r="P44" s="41" t="n">
        <x:f>20000+O44</x:f>
        <x:v>33043.387500000084</x:v>
      </x:c>
      <x:c r="Q44" s="43" t="n">
        <x:v>2260</x:v>
      </x:c>
      <x:c r="R44" s="43" t="n">
        <x:v>133</x:v>
      </x:c>
      <x:c r="S44" s="15" t="str"/>
    </x:row>
    <x:row r="45">
      <x:c r="A45" s="45" t="n">
        <x:v>2</x:v>
      </x:c>
      <x:c r="B45" s="43" t="str">
        <x:v>小雪</x:v>
      </x:c>
      <x:c r="C45" s="43" t="n">
        <x:v>3</x:v>
      </x:c>
      <x:c r="D45" s="41" t="n">
        <x:v>500</x:v>
      </x:c>
      <x:c r="E45" s="41" t="n">
        <x:v>3000</x:v>
      </x:c>
      <x:c r="F45" s="41" t="n">
        <x:v>320.71875</x:v>
      </x:c>
      <x:c r="G45" s="41" t="n">
        <x:v>172.8</x:v>
      </x:c>
      <x:c r="H45" s="41" t="n">
        <x:v>0</x:v>
      </x:c>
      <x:c r="I45" s="69" t="n">
        <x:v>1000</x:v>
      </x:c>
      <x:c r="J45" s="69" t="n">
        <x:f>SUM(D45:I45)</x:f>
        <x:v>4993.51875</x:v>
      </x:c>
      <x:c r="K45" s="69" t="n">
        <x:f>K44+J45</x:f>
        <x:v>145641.30625000002</x:v>
      </x:c>
      <x:c r="L45" s="69" t="n">
        <x:v>2776.4</x:v>
      </x:c>
      <x:c r="M45" s="69" t="n">
        <x:f>M44+L45</x:f>
        <x:v>130380.79999999994</x:v>
      </x:c>
      <x:c r="N45" s="69" t="n">
        <x:f>J45-L45</x:f>
        <x:v>2217.11875</x:v>
      </x:c>
      <x:c r="O45" s="69" t="n">
        <x:f>K45-M45</x:f>
        <x:v>15260.506250000079</x:v>
      </x:c>
      <x:c r="P45" s="69" t="n">
        <x:f>20000+O45</x:f>
        <x:v>35260.50625000008</x:v>
      </x:c>
      <x:c r="Q45" s="70" t="n">
        <x:v>2290</x:v>
      </x:c>
      <x:c r="R45" s="70" t="n">
        <x:v>136</x:v>
      </x:c>
      <x:c r="S45" s="71" t="str">
        <x:v>014_02 沈修文治疗成功（银钱+1000）</x:v>
      </x:c>
    </x:row>
    <x:row r="46">
      <x:c r="A46" s="45" t="n">
        <x:v>2</x:v>
      </x:c>
      <x:c r="B46" s="43" t="str">
        <x:v>大雪</x:v>
      </x:c>
      <x:c r="C46" s="43" t="n">
        <x:v>3</x:v>
      </x:c>
      <x:c r="D46" s="41" t="n">
        <x:v>500</x:v>
      </x:c>
      <x:c r="E46" s="41" t="n">
        <x:v>3000</x:v>
      </x:c>
      <x:c r="F46" s="41" t="n">
        <x:v>320.71875</x:v>
      </x:c>
      <x:c r="G46" s="41" t="n">
        <x:v>172.8</x:v>
      </x:c>
      <x:c r="H46" s="41" t="n">
        <x:v>0</x:v>
      </x:c>
      <x:c r="I46" s="41" t="n">
        <x:v>0</x:v>
      </x:c>
      <x:c r="J46" s="41" t="n">
        <x:f>SUM(D46:I46)</x:f>
        <x:v>3993.51875</x:v>
      </x:c>
      <x:c r="K46" s="41" t="n">
        <x:f>K45+J46</x:f>
        <x:v>149634.825</x:v>
      </x:c>
      <x:c r="L46" s="41" t="n">
        <x:v>1550</x:v>
      </x:c>
      <x:c r="M46" s="41" t="n">
        <x:f>M45+L46</x:f>
        <x:v>131930.79999999993</x:v>
      </x:c>
      <x:c r="N46" s="41" t="n">
        <x:f>J46-L46</x:f>
        <x:v>2443.51875</x:v>
      </x:c>
      <x:c r="O46" s="41" t="n">
        <x:f>K46-M46</x:f>
        <x:v>17704.02500000008</x:v>
      </x:c>
      <x:c r="P46" s="41" t="n">
        <x:f>20000+O46</x:f>
        <x:v>37704.02500000008</x:v>
      </x:c>
      <x:c r="Q46" s="43" t="n">
        <x:v>2320</x:v>
      </x:c>
      <x:c r="R46" s="43" t="n">
        <x:v>139</x:v>
      </x:c>
      <x:c r="S46" s="15" t="str"/>
    </x:row>
    <x:row r="47">
      <x:c r="A47" s="45" t="n">
        <x:v>2</x:v>
      </x:c>
      <x:c r="B47" s="43" t="str">
        <x:v>冬至</x:v>
      </x:c>
      <x:c r="C47" s="43" t="n">
        <x:v>3</x:v>
      </x:c>
      <x:c r="D47" s="41" t="n">
        <x:v>500</x:v>
      </x:c>
      <x:c r="E47" s="41" t="n">
        <x:v>3000</x:v>
      </x:c>
      <x:c r="F47" s="41" t="n">
        <x:v>320.71875</x:v>
      </x:c>
      <x:c r="G47" s="41" t="n">
        <x:v>172.8</x:v>
      </x:c>
      <x:c r="H47" s="41" t="n">
        <x:v>0</x:v>
      </x:c>
      <x:c r="I47" s="41" t="n">
        <x:v>0</x:v>
      </x:c>
      <x:c r="J47" s="41" t="n">
        <x:f>SUM(D47:I47)</x:f>
        <x:v>3993.51875</x:v>
      </x:c>
      <x:c r="K47" s="41" t="n">
        <x:f>K46+J47</x:f>
        <x:v>153628.34375</x:v>
      </x:c>
      <x:c r="L47" s="41" t="n">
        <x:v>2776.4</x:v>
      </x:c>
      <x:c r="M47" s="41" t="n">
        <x:f>M46+L47</x:f>
        <x:v>134707.19999999992</x:v>
      </x:c>
      <x:c r="N47" s="41" t="n">
        <x:f>J47-L47</x:f>
        <x:v>1217.11875</x:v>
      </x:c>
      <x:c r="O47" s="41" t="n">
        <x:f>K47-M47</x:f>
        <x:v>18921.143750000076</x:v>
      </x:c>
      <x:c r="P47" s="41" t="n">
        <x:f>20000+O47</x:f>
        <x:v>38921.143750000076</x:v>
      </x:c>
      <x:c r="Q47" s="43" t="n">
        <x:v>2350</x:v>
      </x:c>
      <x:c r="R47" s="43" t="n">
        <x:v>142</x:v>
      </x:c>
      <x:c r="S47" s="15" t="str"/>
    </x:row>
    <x:row r="48">
      <x:c r="A48" s="45" t="n">
        <x:v>2</x:v>
      </x:c>
      <x:c r="B48" s="43" t="str">
        <x:v>小寒</x:v>
      </x:c>
      <x:c r="C48" s="43" t="n">
        <x:v>3</x:v>
      </x:c>
      <x:c r="D48" s="41" t="n">
        <x:v>500</x:v>
      </x:c>
      <x:c r="E48" s="41" t="n">
        <x:v>3000</x:v>
      </x:c>
      <x:c r="F48" s="41" t="n">
        <x:v>320.71875</x:v>
      </x:c>
      <x:c r="G48" s="41" t="n">
        <x:v>172.8</x:v>
      </x:c>
      <x:c r="H48" s="41" t="n">
        <x:v>0</x:v>
      </x:c>
      <x:c r="I48" s="41" t="n">
        <x:v>0</x:v>
      </x:c>
      <x:c r="J48" s="41" t="n">
        <x:f>SUM(D48:I48)</x:f>
        <x:v>3993.51875</x:v>
      </x:c>
      <x:c r="K48" s="41" t="n">
        <x:f>K47+J48</x:f>
        <x:v>157621.8625</x:v>
      </x:c>
      <x:c r="L48" s="41" t="n">
        <x:v>1550</x:v>
      </x:c>
      <x:c r="M48" s="41" t="n">
        <x:f>M47+L48</x:f>
        <x:v>136257.19999999992</x:v>
      </x:c>
      <x:c r="N48" s="41" t="n">
        <x:f>J48-L48</x:f>
        <x:v>2443.51875</x:v>
      </x:c>
      <x:c r="O48" s="41" t="n">
        <x:f>K48-M48</x:f>
        <x:v>21364.662500000064</x:v>
      </x:c>
      <x:c r="P48" s="41" t="n">
        <x:f>20000+O48</x:f>
        <x:v>41364.662500000064</x:v>
      </x:c>
      <x:c r="Q48" s="43" t="n">
        <x:v>2380</x:v>
      </x:c>
      <x:c r="R48" s="43" t="n">
        <x:v>145</x:v>
      </x:c>
      <x:c r="S48" s="15" t="str"/>
    </x:row>
    <x:row r="49">
      <x:c r="A49" s="46" t="n">
        <x:v>2</x:v>
      </x:c>
      <x:c r="B49" s="47" t="str">
        <x:v>大寒</x:v>
      </x:c>
      <x:c r="C49" s="47" t="n">
        <x:v>3</x:v>
      </x:c>
      <x:c r="D49" s="48" t="n">
        <x:v>500</x:v>
      </x:c>
      <x:c r="E49" s="48" t="n">
        <x:v>3000</x:v>
      </x:c>
      <x:c r="F49" s="48" t="n">
        <x:v>320.71875</x:v>
      </x:c>
      <x:c r="G49" s="48" t="n">
        <x:v>172.8</x:v>
      </x:c>
      <x:c r="H49" s="48" t="n">
        <x:v>0</x:v>
      </x:c>
      <x:c r="I49" s="48" t="n">
        <x:v>0</x:v>
      </x:c>
      <x:c r="J49" s="48" t="n">
        <x:f>SUM(D49:I49)</x:f>
        <x:v>3993.51875</x:v>
      </x:c>
      <x:c r="K49" s="48" t="n">
        <x:f>K48+J49</x:f>
        <x:v>161615.38124999998</x:v>
      </x:c>
      <x:c r="L49" s="48" t="n">
        <x:v>3376.4</x:v>
      </x:c>
      <x:c r="M49" s="48" t="n">
        <x:f>M48+L49</x:f>
        <x:v>139633.59999999992</x:v>
      </x:c>
      <x:c r="N49" s="48" t="n">
        <x:f>J49-L49</x:f>
        <x:v>617.1187500000001</x:v>
      </x:c>
      <x:c r="O49" s="48" t="n">
        <x:f>K49-M49</x:f>
        <x:v>21981.78125000006</x:v>
      </x:c>
      <x:c r="P49" s="48" t="n">
        <x:f>20000+O49</x:f>
        <x:v>41981.78125000006</x:v>
      </x:c>
      <x:c r="Q49" s="47" t="n">
        <x:v>2410</x:v>
      </x:c>
      <x:c r="R49" s="47" t="n">
        <x:v>148</x:v>
      </x:c>
      <x:c r="S49" s="17" t="str"/>
    </x:row>
  </x:sheetData>
  <x:conditionalFormatting sqref="P2:P49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10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16" hidden="0" customWidth="1"/>
    <x:col min="14" max="14" width="16" hidden="0" customWidth="1"/>
    <x:col min="15" max="15" width="14" hidden="0" customWidth="1"/>
    <x:col min="16" max="16" width="17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12" t="str">
        <x:v>年份</x:v>
      </x:c>
      <x:c r="B1" s="32" t="str">
        <x:v>节气</x:v>
      </x:c>
      <x:c r="C1" s="32" t="str">
        <x:v>妙手回春次数</x:v>
      </x:c>
      <x:c r="D1" s="32" t="str">
        <x:v>李言闻收入</x:v>
      </x:c>
      <x:c r="E1" s="32" t="str">
        <x:v>诊费预期</x:v>
      </x:c>
      <x:c r="F1" s="32" t="str">
        <x:v>药材净收入预期</x:v>
      </x:c>
      <x:c r="G1" s="32" t="str">
        <x:v>谢仪预期</x:v>
      </x:c>
      <x:c r="H1" s="32" t="str">
        <x:v>田租</x:v>
      </x:c>
      <x:c r="I1" s="32" t="str">
        <x:v>剧情银钱奖励</x:v>
      </x:c>
      <x:c r="J1" s="32" t="str">
        <x:v>预期收入</x:v>
      </x:c>
      <x:c r="K1" s="32" t="str">
        <x:v>累计预期收入</x:v>
      </x:c>
      <x:c r="L1" s="32" t="str">
        <x:v>预期支出</x:v>
      </x:c>
      <x:c r="M1" s="32" t="str">
        <x:v>累计预期支出</x:v>
      </x:c>
      <x:c r="N1" s="32" t="str">
        <x:v>本节气收支差</x:v>
      </x:c>
      <x:c r="O1" s="32" t="str">
        <x:v>累计收支差</x:v>
      </x:c>
      <x:c r="P1" s="32" t="str">
        <x:v>含初始资金余额</x:v>
      </x:c>
      <x:c r="Q1" s="32" t="str">
        <x:v>节气末名望</x:v>
      </x:c>
      <x:c r="R1" s="32" t="str">
        <x:v>节气末心得</x:v>
      </x:c>
      <x:c r="S1" s="13" t="str">
        <x:v>剧情备注</x:v>
      </x:c>
    </x:row>
    <x:row r="2">
      <x:c r="A2" s="45" t="n">
        <x:v>1</x:v>
      </x:c>
      <x:c r="B2" s="43" t="str">
        <x:v>立春</x:v>
      </x:c>
      <x:c r="C2" s="43" t="n">
        <x:v>0</x:v>
      </x:c>
      <x:c r="D2" s="41" t="n">
        <x:v>0</x:v>
      </x:c>
      <x:c r="E2" s="41" t="n">
        <x:v>0</x:v>
      </x:c>
      <x:c r="F2" s="41" t="n">
        <x:v>0</x:v>
      </x:c>
      <x:c r="G2" s="41" t="n">
        <x:v>0</x:v>
      </x:c>
      <x:c r="H2" s="41" t="n">
        <x:v>0</x:v>
      </x:c>
      <x:c r="I2" s="41" t="n">
        <x:v>0</x:v>
      </x:c>
      <x:c r="J2" s="41" t="n">
        <x:f>SUM(D2:I2)</x:f>
        <x:v>0</x:v>
      </x:c>
      <x:c r="K2" s="41" t="n">
        <x:f>J2</x:f>
        <x:v>0</x:v>
      </x:c>
      <x:c r="L2" s="41" t="n">
        <x:v>2650</x:v>
      </x:c>
      <x:c r="M2" s="41" t="n">
        <x:f>L2</x:f>
        <x:v>2650</x:v>
      </x:c>
      <x:c r="N2" s="41" t="n">
        <x:f>J2-L2</x:f>
        <x:v>-2650</x:v>
      </x:c>
      <x:c r="O2" s="41" t="n">
        <x:f>K2-M2</x:f>
        <x:v>-2650</x:v>
      </x:c>
      <x:c r="P2" s="41" t="n">
        <x:f>20000+O2</x:f>
        <x:v>17350</x:v>
      </x:c>
      <x:c r="Q2" s="43" t="n">
        <x:v>0</x:v>
      </x:c>
      <x:c r="R2" s="43" t="n">
        <x:v>0</x:v>
      </x:c>
      <x:c r="S2" s="15" t="str"/>
    </x:row>
    <x:row r="3">
      <x:c r="A3" s="45" t="n">
        <x:v>1</x:v>
      </x:c>
      <x:c r="B3" s="43" t="str">
        <x:v>雨水</x:v>
      </x:c>
      <x:c r="C3" s="43" t="n">
        <x:v>4</x:v>
      </x:c>
      <x:c r="D3" s="41" t="n">
        <x:v>0</x:v>
      </x:c>
      <x:c r="E3" s="41" t="n">
        <x:v>80</x:v>
      </x:c>
      <x:c r="F3" s="41" t="n">
        <x:v>427.625</x:v>
      </x:c>
      <x:c r="G3" s="41" t="n">
        <x:v>230.4</x:v>
      </x:c>
      <x:c r="H3" s="41" t="n">
        <x:v>0</x:v>
      </x:c>
      <x:c r="I3" s="41" t="n">
        <x:v>0</x:v>
      </x:c>
      <x:c r="J3" s="41" t="n">
        <x:f>SUM(D3:I3)</x:f>
        <x:v>738.025</x:v>
      </x:c>
      <x:c r="K3" s="41" t="n">
        <x:f>K2+J3</x:f>
        <x:v>738.025</x:v>
      </x:c>
      <x:c r="L3" s="41" t="n">
        <x:v>2776.4</x:v>
      </x:c>
      <x:c r="M3" s="41" t="n">
        <x:f>M2+L3</x:f>
        <x:v>5426.4</x:v>
      </x:c>
      <x:c r="N3" s="41" t="n">
        <x:f>J3-L3</x:f>
        <x:v>-2038.375</x:v>
      </x:c>
      <x:c r="O3" s="41" t="n">
        <x:f>K3-M3</x:f>
        <x:v>-4688.375</x:v>
      </x:c>
      <x:c r="P3" s="41" t="n">
        <x:f>20000+O3</x:f>
        <x:v>15311.625</x:v>
      </x:c>
      <x:c r="Q3" s="43" t="n">
        <x:v>40</x:v>
      </x:c>
      <x:c r="R3" s="43" t="n">
        <x:v>4</x:v>
      </x:c>
      <x:c r="S3" s="15" t="str"/>
    </x:row>
    <x:row r="4">
      <x:c r="A4" s="45" t="n">
        <x:v>1</x:v>
      </x:c>
      <x:c r="B4" s="43" t="str">
        <x:v>惊蛰</x:v>
      </x:c>
      <x:c r="C4" s="43" t="n">
        <x:v>4</x:v>
      </x:c>
      <x:c r="D4" s="41" t="n">
        <x:v>0</x:v>
      </x:c>
      <x:c r="E4" s="41" t="n">
        <x:v>80</x:v>
      </x:c>
      <x:c r="F4" s="41" t="n">
        <x:v>427.625</x:v>
      </x:c>
      <x:c r="G4" s="41" t="n">
        <x:v>230.4</x:v>
      </x:c>
      <x:c r="H4" s="41" t="n">
        <x:v>0</x:v>
      </x:c>
      <x:c r="I4" s="41" t="n">
        <x:v>0</x:v>
      </x:c>
      <x:c r="J4" s="41" t="n">
        <x:f>SUM(D4:I4)</x:f>
        <x:v>738.025</x:v>
      </x:c>
      <x:c r="K4" s="41" t="n">
        <x:f>K3+J4</x:f>
        <x:v>1476.05</x:v>
      </x:c>
      <x:c r="L4" s="41" t="n">
        <x:v>1550</x:v>
      </x:c>
      <x:c r="M4" s="41" t="n">
        <x:f>M3+L4</x:f>
        <x:v>6976.4</x:v>
      </x:c>
      <x:c r="N4" s="41" t="n">
        <x:f>J4-L4</x:f>
        <x:v>-811.975</x:v>
      </x:c>
      <x:c r="O4" s="41" t="n">
        <x:f>K4-M4</x:f>
        <x:v>-5500.349999999999</x:v>
      </x:c>
      <x:c r="P4" s="41" t="n">
        <x:f>20000+O4</x:f>
        <x:v>14499.650000000001</x:v>
      </x:c>
      <x:c r="Q4" s="43" t="n">
        <x:v>80</x:v>
      </x:c>
      <x:c r="R4" s="43" t="n">
        <x:v>8</x:v>
      </x:c>
      <x:c r="S4" s="15" t="str"/>
    </x:row>
    <x:row r="5">
      <x:c r="A5" s="45" t="n">
        <x:v>1</x:v>
      </x:c>
      <x:c r="B5" s="43" t="str">
        <x:v>春分</x:v>
      </x:c>
      <x:c r="C5" s="43" t="n">
        <x:v>4</x:v>
      </x:c>
      <x:c r="D5" s="41" t="n">
        <x:v>0</x:v>
      </x:c>
      <x:c r="E5" s="41" t="n">
        <x:v>110</x:v>
      </x:c>
      <x:c r="F5" s="41" t="n">
        <x:v>427.625</x:v>
      </x:c>
      <x:c r="G5" s="41" t="n">
        <x:v>230.4</x:v>
      </x:c>
      <x:c r="H5" s="41" t="n">
        <x:v>0</x:v>
      </x:c>
      <x:c r="I5" s="41" t="n">
        <x:v>0</x:v>
      </x:c>
      <x:c r="J5" s="41" t="n">
        <x:f>SUM(D5:I5)</x:f>
        <x:v>768.025</x:v>
      </x:c>
      <x:c r="K5" s="41" t="n">
        <x:f>K4+J5</x:f>
        <x:v>2244.075</x:v>
      </x:c>
      <x:c r="L5" s="41" t="n">
        <x:v>3376.4</x:v>
      </x:c>
      <x:c r="M5" s="41" t="n">
        <x:f>M4+L5</x:f>
        <x:v>10352.8</x:v>
      </x:c>
      <x:c r="N5" s="41" t="n">
        <x:f>J5-L5</x:f>
        <x:v>-2608.375</x:v>
      </x:c>
      <x:c r="O5" s="41" t="n">
        <x:f>K5-M5</x:f>
        <x:v>-8108.724999999999</x:v>
      </x:c>
      <x:c r="P5" s="41" t="n">
        <x:f>20000+O5</x:f>
        <x:v>11891.275000000001</x:v>
      </x:c>
      <x:c r="Q5" s="43" t="n">
        <x:v>120</x:v>
      </x:c>
      <x:c r="R5" s="43" t="n">
        <x:v>12</x:v>
      </x:c>
      <x:c r="S5" s="15" t="str"/>
    </x:row>
    <x:row r="6">
      <x:c r="A6" s="45" t="n">
        <x:v>1</x:v>
      </x:c>
      <x:c r="B6" s="43" t="str">
        <x:v>清明</x:v>
      </x:c>
      <x:c r="C6" s="43" t="n">
        <x:v>4</x:v>
      </x:c>
      <x:c r="D6" s="41" t="n">
        <x:v>0</x:v>
      </x:c>
      <x:c r="E6" s="41" t="n">
        <x:v>200</x:v>
      </x:c>
      <x:c r="F6" s="41" t="n">
        <x:v>427.625</x:v>
      </x:c>
      <x:c r="G6" s="41" t="n">
        <x:v>230.4</x:v>
      </x:c>
      <x:c r="H6" s="41" t="n">
        <x:v>0</x:v>
      </x:c>
      <x:c r="I6" s="41" t="n">
        <x:v>0</x:v>
      </x:c>
      <x:c r="J6" s="41" t="n">
        <x:f>SUM(D6:I6)</x:f>
        <x:v>858.025</x:v>
      </x:c>
      <x:c r="K6" s="41" t="n">
        <x:f>K5+J6</x:f>
        <x:v>3102.1</x:v>
      </x:c>
      <x:c r="L6" s="41" t="n">
        <x:v>3550</x:v>
      </x:c>
      <x:c r="M6" s="41" t="n">
        <x:f>M5+L6</x:f>
        <x:v>13902.8</x:v>
      </x:c>
      <x:c r="N6" s="41" t="n">
        <x:f>J6-L6</x:f>
        <x:v>-2691.975</x:v>
      </x:c>
      <x:c r="O6" s="41" t="n">
        <x:f>K6-M6</x:f>
        <x:v>-10800.699999999999</x:v>
      </x:c>
      <x:c r="P6" s="41" t="n">
        <x:f>20000+O6</x:f>
        <x:v>9199.300000000001</x:v>
      </x:c>
      <x:c r="Q6" s="43" t="n">
        <x:v>160</x:v>
      </x:c>
      <x:c r="R6" s="43" t="n">
        <x:v>16</x:v>
      </x:c>
      <x:c r="S6" s="15" t="str"/>
    </x:row>
    <x:row r="7">
      <x:c r="A7" s="45" t="n">
        <x:v>1</x:v>
      </x:c>
      <x:c r="B7" s="43" t="str">
        <x:v>谷雨</x:v>
      </x:c>
      <x:c r="C7" s="43" t="n">
        <x:v>4</x:v>
      </x:c>
      <x:c r="D7" s="41" t="n">
        <x:v>0</x:v>
      </x:c>
      <x:c r="E7" s="41" t="n">
        <x:v>200</x:v>
      </x:c>
      <x:c r="F7" s="41" t="n">
        <x:v>427.625</x:v>
      </x:c>
      <x:c r="G7" s="41" t="n">
        <x:v>230.4</x:v>
      </x:c>
      <x:c r="H7" s="41" t="n">
        <x:v>0</x:v>
      </x:c>
      <x:c r="I7" s="41" t="n">
        <x:v>0</x:v>
      </x:c>
      <x:c r="J7" s="41" t="n">
        <x:f>SUM(D7:I7)</x:f>
        <x:v>858.025</x:v>
      </x:c>
      <x:c r="K7" s="41" t="n">
        <x:f>K6+J7</x:f>
        <x:v>3960.125</x:v>
      </x:c>
      <x:c r="L7" s="41" t="n">
        <x:v>2776.4</x:v>
      </x:c>
      <x:c r="M7" s="41" t="n">
        <x:f>M6+L7</x:f>
        <x:v>16679.2</x:v>
      </x:c>
      <x:c r="N7" s="41" t="n">
        <x:f>J7-L7</x:f>
        <x:v>-1918.375</x:v>
      </x:c>
      <x:c r="O7" s="41" t="n">
        <x:f>K7-M7</x:f>
        <x:v>-12719.075</x:v>
      </x:c>
      <x:c r="P7" s="41" t="n">
        <x:f>20000+O7</x:f>
        <x:v>7280.924999999999</x:v>
      </x:c>
      <x:c r="Q7" s="43" t="n">
        <x:v>200</x:v>
      </x:c>
      <x:c r="R7" s="43" t="n">
        <x:v>20</x:v>
      </x:c>
      <x:c r="S7" s="15" t="str"/>
    </x:row>
    <x:row r="8">
      <x:c r="A8" s="45" t="n">
        <x:v>1</x:v>
      </x:c>
      <x:c r="B8" s="43" t="str">
        <x:v>立夏</x:v>
      </x:c>
      <x:c r="C8" s="43" t="n">
        <x:v>4</x:v>
      </x:c>
      <x:c r="D8" s="41" t="n">
        <x:v>0</x:v>
      </x:c>
      <x:c r="E8" s="41" t="n">
        <x:v>200</x:v>
      </x:c>
      <x:c r="F8" s="41" t="n">
        <x:v>427.625</x:v>
      </x:c>
      <x:c r="G8" s="41" t="n">
        <x:v>230.4</x:v>
      </x:c>
      <x:c r="H8" s="41" t="n">
        <x:v>0</x:v>
      </x:c>
      <x:c r="I8" s="41" t="n">
        <x:v>0</x:v>
      </x:c>
      <x:c r="J8" s="41" t="n">
        <x:f>SUM(D8:I8)</x:f>
        <x:v>858.025</x:v>
      </x:c>
      <x:c r="K8" s="41" t="n">
        <x:f>K7+J8</x:f>
        <x:v>4818.15</x:v>
      </x:c>
      <x:c r="L8" s="41" t="n">
        <x:v>2650</x:v>
      </x:c>
      <x:c r="M8" s="41" t="n">
        <x:f>M7+L8</x:f>
        <x:v>19329.2</x:v>
      </x:c>
      <x:c r="N8" s="41" t="n">
        <x:f>J8-L8</x:f>
        <x:v>-1791.975</x:v>
      </x:c>
      <x:c r="O8" s="41" t="n">
        <x:f>K8-M8</x:f>
        <x:v>-14511.050000000001</x:v>
      </x:c>
      <x:c r="P8" s="41" t="n">
        <x:f>20000+O8</x:f>
        <x:v>5488.949999999999</x:v>
      </x:c>
      <x:c r="Q8" s="43" t="n">
        <x:v>240</x:v>
      </x:c>
      <x:c r="R8" s="43" t="n">
        <x:v>24</x:v>
      </x:c>
      <x:c r="S8" s="15" t="str"/>
    </x:row>
    <x:row r="9">
      <x:c r="A9" s="45" t="n">
        <x:v>1</x:v>
      </x:c>
      <x:c r="B9" s="43" t="str">
        <x:v>小满</x:v>
      </x:c>
      <x:c r="C9" s="43" t="n">
        <x:v>4</x:v>
      </x:c>
      <x:c r="D9" s="41" t="n">
        <x:v>0</x:v>
      </x:c>
      <x:c r="E9" s="41" t="n">
        <x:v>200</x:v>
      </x:c>
      <x:c r="F9" s="41" t="n">
        <x:v>427.625</x:v>
      </x:c>
      <x:c r="G9" s="41" t="n">
        <x:v>230.4</x:v>
      </x:c>
      <x:c r="H9" s="41" t="n">
        <x:v>0</x:v>
      </x:c>
      <x:c r="I9" s="41" t="n">
        <x:v>0</x:v>
      </x:c>
      <x:c r="J9" s="41" t="n">
        <x:f>SUM(D9:I9)</x:f>
        <x:v>858.025</x:v>
      </x:c>
      <x:c r="K9" s="41" t="n">
        <x:f>K8+J9</x:f>
        <x:v>5676.174999999999</x:v>
      </x:c>
      <x:c r="L9" s="41" t="n">
        <x:v>3676.4</x:v>
      </x:c>
      <x:c r="M9" s="41" t="n">
        <x:f>M8+L9</x:f>
        <x:v>23005.600000000002</x:v>
      </x:c>
      <x:c r="N9" s="41" t="n">
        <x:f>J9-L9</x:f>
        <x:v>-2818.375</x:v>
      </x:c>
      <x:c r="O9" s="41" t="n">
        <x:f>K9-M9</x:f>
        <x:v>-17329.425000000003</x:v>
      </x:c>
      <x:c r="P9" s="41" t="n">
        <x:f>20000+O9</x:f>
        <x:v>2670.574999999997</x:v>
      </x:c>
      <x:c r="Q9" s="43" t="n">
        <x:v>280</x:v>
      </x:c>
      <x:c r="R9" s="43" t="n">
        <x:v>28</x:v>
      </x:c>
      <x:c r="S9" s="15" t="str"/>
    </x:row>
    <x:row r="10">
      <x:c r="A10" s="45" t="n">
        <x:v>1</x:v>
      </x:c>
      <x:c r="B10" s="43" t="str">
        <x:v>芒种</x:v>
      </x:c>
      <x:c r="C10" s="43" t="n">
        <x:v>4</x:v>
      </x:c>
      <x:c r="D10" s="41" t="n">
        <x:v>0</x:v>
      </x:c>
      <x:c r="E10" s="41" t="n">
        <x:v>350</x:v>
      </x:c>
      <x:c r="F10" s="41" t="n">
        <x:v>427.625</x:v>
      </x:c>
      <x:c r="G10" s="41" t="n">
        <x:v>230.4</x:v>
      </x:c>
      <x:c r="H10" s="41" t="n">
        <x:v>0</x:v>
      </x:c>
      <x:c r="I10" s="41" t="n">
        <x:v>0</x:v>
      </x:c>
      <x:c r="J10" s="41" t="n">
        <x:f>SUM(D10:I10)</x:f>
        <x:v>1008.025</x:v>
      </x:c>
      <x:c r="K10" s="41" t="n">
        <x:f>K9+J10</x:f>
        <x:v>6684.199999999999</x:v>
      </x:c>
      <x:c r="L10" s="41" t="n">
        <x:v>2450</x:v>
      </x:c>
      <x:c r="M10" s="41" t="n">
        <x:f>M9+L10</x:f>
        <x:v>25455.600000000002</x:v>
      </x:c>
      <x:c r="N10" s="41" t="n">
        <x:f>J10-L10</x:f>
        <x:v>-1441.975</x:v>
      </x:c>
      <x:c r="O10" s="41" t="n">
        <x:f>K10-M10</x:f>
        <x:v>-18771.4</x:v>
      </x:c>
      <x:c r="P10" s="41" t="n">
        <x:f>20000+O10</x:f>
        <x:v>1228.5999999999985</x:v>
      </x:c>
      <x:c r="Q10" s="43" t="n">
        <x:v>320</x:v>
      </x:c>
      <x:c r="R10" s="43" t="n">
        <x:v>32</x:v>
      </x:c>
      <x:c r="S10" s="15" t="str"/>
    </x:row>
    <x:row r="11">
      <x:c r="A11" s="45" t="n">
        <x:v>1</x:v>
      </x:c>
      <x:c r="B11" s="43" t="str">
        <x:v>夏至</x:v>
      </x:c>
      <x:c r="C11" s="43" t="n">
        <x:v>4</x:v>
      </x:c>
      <x:c r="D11" s="41" t="n">
        <x:v>0</x:v>
      </x:c>
      <x:c r="E11" s="41" t="n">
        <x:v>800</x:v>
      </x:c>
      <x:c r="F11" s="41" t="n">
        <x:v>427.625</x:v>
      </x:c>
      <x:c r="G11" s="41" t="n">
        <x:v>230.4</x:v>
      </x:c>
      <x:c r="H11" s="41" t="n">
        <x:v>0</x:v>
      </x:c>
      <x:c r="I11" s="41" t="n">
        <x:v>0</x:v>
      </x:c>
      <x:c r="J11" s="41" t="n">
        <x:f>SUM(D11:I11)</x:f>
        <x:v>1458.025</x:v>
      </x:c>
      <x:c r="K11" s="41" t="n">
        <x:f>K10+J11</x:f>
        <x:v>8142.2249999999985</x:v>
      </x:c>
      <x:c r="L11" s="41" t="n">
        <x:v>3676.4</x:v>
      </x:c>
      <x:c r="M11" s="41" t="n">
        <x:f>M10+L11</x:f>
        <x:v>29132.000000000004</x:v>
      </x:c>
      <x:c r="N11" s="41" t="n">
        <x:f>J11-L11</x:f>
        <x:v>-2218.375</x:v>
      </x:c>
      <x:c r="O11" s="41" t="n">
        <x:f>K11-M11</x:f>
        <x:v>-20989.775000000005</x:v>
      </x:c>
      <x:c r="P11" s="41" t="n">
        <x:f>20000+O11</x:f>
        <x:v>-989.7750000000051</x:v>
      </x:c>
      <x:c r="Q11" s="43" t="n">
        <x:v>360</x:v>
      </x:c>
      <x:c r="R11" s="43" t="n">
        <x:v>36</x:v>
      </x:c>
      <x:c r="S11" s="15" t="str"/>
    </x:row>
    <x:row r="12">
      <x:c r="A12" s="45" t="n">
        <x:v>1</x:v>
      </x:c>
      <x:c r="B12" s="43" t="str">
        <x:v>小暑</x:v>
      </x:c>
      <x:c r="C12" s="43" t="n">
        <x:v>4</x:v>
      </x:c>
      <x:c r="D12" s="41" t="n">
        <x:v>0</x:v>
      </x:c>
      <x:c r="E12" s="41" t="n">
        <x:v>800</x:v>
      </x:c>
      <x:c r="F12" s="41" t="n">
        <x:v>427.625</x:v>
      </x:c>
      <x:c r="G12" s="41" t="n">
        <x:v>230.4</x:v>
      </x:c>
      <x:c r="H12" s="41" t="n">
        <x:v>0</x:v>
      </x:c>
      <x:c r="I12" s="41" t="n">
        <x:v>0</x:v>
      </x:c>
      <x:c r="J12" s="41" t="n">
        <x:f>SUM(D12:I12)</x:f>
        <x:v>1458.025</x:v>
      </x:c>
      <x:c r="K12" s="41" t="n">
        <x:f>K11+J12</x:f>
        <x:v>9600.249999999998</x:v>
      </x:c>
      <x:c r="L12" s="41" t="n">
        <x:v>2450</x:v>
      </x:c>
      <x:c r="M12" s="41" t="n">
        <x:f>M11+L12</x:f>
        <x:v>31582.000000000004</x:v>
      </x:c>
      <x:c r="N12" s="41" t="n">
        <x:f>J12-L12</x:f>
        <x:v>-991.9749999999999</x:v>
      </x:c>
      <x:c r="O12" s="41" t="n">
        <x:f>K12-M12</x:f>
        <x:v>-21981.750000000007</x:v>
      </x:c>
      <x:c r="P12" s="41" t="n">
        <x:f>20000+O12</x:f>
        <x:v>-1981.7500000000073</x:v>
      </x:c>
      <x:c r="Q12" s="43" t="n">
        <x:v>400</x:v>
      </x:c>
      <x:c r="R12" s="43" t="n">
        <x:v>40</x:v>
      </x:c>
      <x:c r="S12" s="15" t="str"/>
    </x:row>
    <x:row r="13">
      <x:c r="A13" s="45" t="n">
        <x:v>1</x:v>
      </x:c>
      <x:c r="B13" s="43" t="str">
        <x:v>大暑</x:v>
      </x:c>
      <x:c r="C13" s="43" t="n">
        <x:v>4</x:v>
      </x:c>
      <x:c r="D13" s="41" t="n">
        <x:v>0</x:v>
      </x:c>
      <x:c r="E13" s="41" t="n">
        <x:v>800</x:v>
      </x:c>
      <x:c r="F13" s="41" t="n">
        <x:v>427.625</x:v>
      </x:c>
      <x:c r="G13" s="41" t="n">
        <x:v>230.4</x:v>
      </x:c>
      <x:c r="H13" s="41" t="n">
        <x:v>5000</x:v>
      </x:c>
      <x:c r="I13" s="69" t="n">
        <x:v>1000</x:v>
      </x:c>
      <x:c r="J13" s="69" t="n">
        <x:f>SUM(D13:I13)</x:f>
        <x:v>7458.025</x:v>
      </x:c>
      <x:c r="K13" s="69" t="n">
        <x:f>K12+J13</x:f>
        <x:v>17058.274999999998</x:v>
      </x:c>
      <x:c r="L13" s="69" t="n">
        <x:v>3276.4</x:v>
      </x:c>
      <x:c r="M13" s="69" t="n">
        <x:f>M12+L13</x:f>
        <x:v>34858.4</x:v>
      </x:c>
      <x:c r="N13" s="69" t="n">
        <x:f>J13-L13</x:f>
        <x:v>4181.625</x:v>
      </x:c>
      <x:c r="O13" s="69" t="n">
        <x:f>K13-M13</x:f>
        <x:v>-17800.125000000004</x:v>
      </x:c>
      <x:c r="P13" s="69" t="n">
        <x:f>20000+O13</x:f>
        <x:v>2199.8749999999964</x:v>
      </x:c>
      <x:c r="Q13" s="70" t="n">
        <x:v>440</x:v>
      </x:c>
      <x:c r="R13" s="70" t="n">
        <x:v>44</x:v>
      </x:c>
      <x:c r="S13" s="71" t="str">
        <x:v>023_02 谢飞燕肺气虚（银钱+1000）</x:v>
      </x:c>
    </x:row>
    <x:row r="14">
      <x:c r="A14" s="45" t="n">
        <x:v>1</x:v>
      </x:c>
      <x:c r="B14" s="43" t="str">
        <x:v>立秋</x:v>
      </x:c>
      <x:c r="C14" s="43" t="n">
        <x:v>4</x:v>
      </x:c>
      <x:c r="D14" s="41" t="n">
        <x:v>0</x:v>
      </x:c>
      <x:c r="E14" s="41" t="n">
        <x:v>800</x:v>
      </x:c>
      <x:c r="F14" s="41" t="n">
        <x:v>427.625</x:v>
      </x:c>
      <x:c r="G14" s="41" t="n">
        <x:v>230.4</x:v>
      </x:c>
      <x:c r="H14" s="41" t="n">
        <x:v>0</x:v>
      </x:c>
      <x:c r="I14" s="69" t="n">
        <x:v>1000</x:v>
      </x:c>
      <x:c r="J14" s="69" t="n">
        <x:f>SUM(D14:I14)</x:f>
        <x:v>2458.025</x:v>
      </x:c>
      <x:c r="K14" s="69" t="n">
        <x:f>K13+J14</x:f>
        <x:v>19516.3</x:v>
      </x:c>
      <x:c r="L14" s="69" t="n">
        <x:v>2650</x:v>
      </x:c>
      <x:c r="M14" s="69" t="n">
        <x:f>M13+L14</x:f>
        <x:v>37508.4</x:v>
      </x:c>
      <x:c r="N14" s="69" t="n">
        <x:f>J14-L14</x:f>
        <x:v>-191.9749999999999</x:v>
      </x:c>
      <x:c r="O14" s="69" t="n">
        <x:f>K14-M14</x:f>
        <x:v>-17992.100000000002</x:v>
      </x:c>
      <x:c r="P14" s="69" t="n">
        <x:f>20000+O14</x:f>
        <x:v>2007.8999999999978</x:v>
      </x:c>
      <x:c r="Q14" s="70" t="n">
        <x:v>480</x:v>
      </x:c>
      <x:c r="R14" s="70" t="n">
        <x:v>48</x:v>
      </x:c>
      <x:c r="S14" s="71" t="str">
        <x:v>024_02 谢飞燕肺阴虚（银钱+1000）</x:v>
      </x:c>
    </x:row>
    <x:row r="15">
      <x:c r="A15" s="45" t="n">
        <x:v>1</x:v>
      </x:c>
      <x:c r="B15" s="43" t="str">
        <x:v>处暑</x:v>
      </x:c>
      <x:c r="C15" s="43" t="n">
        <x:v>4</x:v>
      </x:c>
      <x:c r="D15" s="41" t="n">
        <x:v>0</x:v>
      </x:c>
      <x:c r="E15" s="41" t="n">
        <x:v>800</x:v>
      </x:c>
      <x:c r="F15" s="41" t="n">
        <x:v>427.625</x:v>
      </x:c>
      <x:c r="G15" s="41" t="n">
        <x:v>230.4</x:v>
      </x:c>
      <x:c r="H15" s="41" t="n">
        <x:v>0</x:v>
      </x:c>
      <x:c r="I15" s="41" t="n">
        <x:v>0</x:v>
      </x:c>
      <x:c r="J15" s="41" t="n">
        <x:f>SUM(D15:I15)</x:f>
        <x:v>1458.025</x:v>
      </x:c>
      <x:c r="K15" s="41" t="n">
        <x:f>K14+J15</x:f>
        <x:v>20974.325</x:v>
      </x:c>
      <x:c r="L15" s="41" t="n">
        <x:v>4776.4</x:v>
      </x:c>
      <x:c r="M15" s="41" t="n">
        <x:f>M14+L15</x:f>
        <x:v>42284.8</x:v>
      </x:c>
      <x:c r="N15" s="41" t="n">
        <x:f>J15-L15</x:f>
        <x:v>-3318.3749999999995</x:v>
      </x:c>
      <x:c r="O15" s="41" t="n">
        <x:f>K15-M15</x:f>
        <x:v>-21310.475000000002</x:v>
      </x:c>
      <x:c r="P15" s="41" t="n">
        <x:f>20000+O15</x:f>
        <x:v>-1310.4750000000022</x:v>
      </x:c>
      <x:c r="Q15" s="43" t="n">
        <x:v>520</x:v>
      </x:c>
      <x:c r="R15" s="43" t="n">
        <x:v>52</x:v>
      </x:c>
      <x:c r="S15" s="15" t="str"/>
    </x:row>
    <x:row r="16">
      <x:c r="A16" s="45" t="n">
        <x:v>1</x:v>
      </x:c>
      <x:c r="B16" s="43" t="str">
        <x:v>白露</x:v>
      </x:c>
      <x:c r="C16" s="43" t="n">
        <x:v>4</x:v>
      </x:c>
      <x:c r="D16" s="41" t="n">
        <x:v>0</x:v>
      </x:c>
      <x:c r="E16" s="41" t="n">
        <x:v>800</x:v>
      </x:c>
      <x:c r="F16" s="41" t="n">
        <x:v>427.625</x:v>
      </x:c>
      <x:c r="G16" s="41" t="n">
        <x:v>230.4</x:v>
      </x:c>
      <x:c r="H16" s="41" t="n">
        <x:v>0</x:v>
      </x:c>
      <x:c r="I16" s="69" t="n">
        <x:v>1000</x:v>
      </x:c>
      <x:c r="J16" s="69" t="n">
        <x:f>SUM(D16:I16)</x:f>
        <x:v>2458.025</x:v>
      </x:c>
      <x:c r="K16" s="69" t="n">
        <x:f>K15+J16</x:f>
        <x:v>23432.350000000002</x:v>
      </x:c>
      <x:c r="L16" s="69" t="n">
        <x:v>1550</x:v>
      </x:c>
      <x:c r="M16" s="69" t="n">
        <x:f>M15+L16</x:f>
        <x:v>43834.8</x:v>
      </x:c>
      <x:c r="N16" s="69" t="n">
        <x:f>J16-L16</x:f>
        <x:v>908.0250000000001</x:v>
      </x:c>
      <x:c r="O16" s="69" t="n">
        <x:f>K16-M16</x:f>
        <x:v>-20402.45</x:v>
      </x:c>
      <x:c r="P16" s="69" t="n">
        <x:f>20000+O16</x:f>
        <x:v>-402.4500000000007</x:v>
      </x:c>
      <x:c r="Q16" s="70" t="n">
        <x:v>1560</x:v>
      </x:c>
      <x:c r="R16" s="70" t="n">
        <x:v>56</x:v>
      </x:c>
      <x:c r="S16" s="71" t="str">
        <x:v>005_02 治愈世子（银钱+1000，名望+1000）</x:v>
      </x:c>
    </x:row>
    <x:row r="17">
      <x:c r="A17" s="45" t="n">
        <x:v>1</x:v>
      </x:c>
      <x:c r="B17" s="43" t="str">
        <x:v>秋分</x:v>
      </x:c>
      <x:c r="C17" s="43" t="n">
        <x:v>4</x:v>
      </x:c>
      <x:c r="D17" s="41" t="n">
        <x:v>0</x:v>
      </x:c>
      <x:c r="E17" s="41" t="n">
        <x:v>2000</x:v>
      </x:c>
      <x:c r="F17" s="41" t="n">
        <x:v>427.625</x:v>
      </x:c>
      <x:c r="G17" s="41" t="n">
        <x:v>230.4</x:v>
      </x:c>
      <x:c r="H17" s="41" t="n">
        <x:v>0</x:v>
      </x:c>
      <x:c r="I17" s="69" t="n">
        <x:v>0</x:v>
      </x:c>
      <x:c r="J17" s="69" t="n">
        <x:f>SUM(D17:I17)</x:f>
        <x:v>2658.025</x:v>
      </x:c>
      <x:c r="K17" s="69" t="n">
        <x:f>K16+J17</x:f>
        <x:v>26090.375000000004</x:v>
      </x:c>
      <x:c r="L17" s="69" t="n">
        <x:v>3376.4</x:v>
      </x:c>
      <x:c r="M17" s="69" t="n">
        <x:f>M16+L17</x:f>
        <x:v>47211.200000000004</x:v>
      </x:c>
      <x:c r="N17" s="69" t="n">
        <x:f>J17-L17</x:f>
        <x:v>-718.375</x:v>
      </x:c>
      <x:c r="O17" s="69" t="n">
        <x:f>K17-M17</x:f>
        <x:v>-21120.825</x:v>
      </x:c>
      <x:c r="P17" s="69" t="n">
        <x:f>20000+O17</x:f>
        <x:v>-1120.8250000000007</x:v>
      </x:c>
      <x:c r="Q17" s="70" t="n">
        <x:v>1600</x:v>
      </x:c>
      <x:c r="R17" s="70" t="n">
        <x:v>67</x:v>
      </x:c>
      <x:c r="S17" s="71" t="str">
        <x:v>024_04 王百堂来访（心得+7）</x:v>
      </x:c>
    </x:row>
    <x:row r="18">
      <x:c r="A18" s="45" t="n">
        <x:v>1</x:v>
      </x:c>
      <x:c r="B18" s="43" t="str">
        <x:v>寒露</x:v>
      </x:c>
      <x:c r="C18" s="43" t="n">
        <x:v>4</x:v>
      </x:c>
      <x:c r="D18" s="41" t="n">
        <x:v>0</x:v>
      </x:c>
      <x:c r="E18" s="41" t="n">
        <x:v>2000</x:v>
      </x:c>
      <x:c r="F18" s="41" t="n">
        <x:v>427.625</x:v>
      </x:c>
      <x:c r="G18" s="41" t="n">
        <x:v>230.4</x:v>
      </x:c>
      <x:c r="H18" s="41" t="n">
        <x:v>0</x:v>
      </x:c>
      <x:c r="I18" s="41" t="n">
        <x:v>0</x:v>
      </x:c>
      <x:c r="J18" s="41" t="n">
        <x:f>SUM(D18:I18)</x:f>
        <x:v>2658.025</x:v>
      </x:c>
      <x:c r="K18" s="41" t="n">
        <x:f>K17+J18</x:f>
        <x:v>28748.400000000005</x:v>
      </x:c>
      <x:c r="L18" s="41" t="n">
        <x:v>1550</x:v>
      </x:c>
      <x:c r="M18" s="41" t="n">
        <x:f>M17+L18</x:f>
        <x:v>48761.200000000004</x:v>
      </x:c>
      <x:c r="N18" s="41" t="n">
        <x:f>J18-L18</x:f>
        <x:v>1108.025</x:v>
      </x:c>
      <x:c r="O18" s="41" t="n">
        <x:f>K18-M18</x:f>
        <x:v>-20012.8</x:v>
      </x:c>
      <x:c r="P18" s="41" t="n">
        <x:f>20000+O18</x:f>
        <x:v>-12.799999999999272</x:v>
      </x:c>
      <x:c r="Q18" s="43" t="n">
        <x:v>1640</x:v>
      </x:c>
      <x:c r="R18" s="43" t="n">
        <x:v>71</x:v>
      </x:c>
      <x:c r="S18" s="15" t="str"/>
    </x:row>
    <x:row r="19">
      <x:c r="A19" s="45" t="n">
        <x:v>1</x:v>
      </x:c>
      <x:c r="B19" s="43" t="str">
        <x:v>霜降</x:v>
      </x:c>
      <x:c r="C19" s="43" t="n">
        <x:v>4</x:v>
      </x:c>
      <x:c r="D19" s="41" t="n">
        <x:v>0</x:v>
      </x:c>
      <x:c r="E19" s="41" t="n">
        <x:v>2000</x:v>
      </x:c>
      <x:c r="F19" s="41" t="n">
        <x:v>427.625</x:v>
      </x:c>
      <x:c r="G19" s="41" t="n">
        <x:v>230.4</x:v>
      </x:c>
      <x:c r="H19" s="41" t="n">
        <x:v>15000</x:v>
      </x:c>
      <x:c r="I19" s="41" t="n">
        <x:v>0</x:v>
      </x:c>
      <x:c r="J19" s="41" t="n">
        <x:f>SUM(D19:I19)</x:f>
        <x:v>17658.025</x:v>
      </x:c>
      <x:c r="K19" s="41" t="n">
        <x:f>K18+J19</x:f>
        <x:v>46406.425</x:v>
      </x:c>
      <x:c r="L19" s="41" t="n">
        <x:v>4276.4</x:v>
      </x:c>
      <x:c r="M19" s="41" t="n">
        <x:f>M18+L19</x:f>
        <x:v>53037.600000000006</x:v>
      </x:c>
      <x:c r="N19" s="41" t="n">
        <x:f>J19-L19</x:f>
        <x:v>13381.625000000002</x:v>
      </x:c>
      <x:c r="O19" s="41" t="n">
        <x:f>K19-M19</x:f>
        <x:v>-6631.175000000003</x:v>
      </x:c>
      <x:c r="P19" s="41" t="n">
        <x:f>20000+O19</x:f>
        <x:v>13368.824999999997</x:v>
      </x:c>
      <x:c r="Q19" s="43" t="n">
        <x:v>1680</x:v>
      </x:c>
      <x:c r="R19" s="43" t="n">
        <x:v>75</x:v>
      </x:c>
      <x:c r="S19" s="15" t="str"/>
    </x:row>
    <x:row r="20">
      <x:c r="A20" s="45" t="n">
        <x:v>1</x:v>
      </x:c>
      <x:c r="B20" s="43" t="str">
        <x:v>立冬</x:v>
      </x:c>
      <x:c r="C20" s="43" t="n">
        <x:v>4</x:v>
      </x:c>
      <x:c r="D20" s="41" t="n">
        <x:v>0</x:v>
      </x:c>
      <x:c r="E20" s="41" t="n">
        <x:v>2000</x:v>
      </x:c>
      <x:c r="F20" s="41" t="n">
        <x:v>427.625</x:v>
      </x:c>
      <x:c r="G20" s="41" t="n">
        <x:v>230.4</x:v>
      </x:c>
      <x:c r="H20" s="41" t="n">
        <x:v>0</x:v>
      </x:c>
      <x:c r="I20" s="41" t="n">
        <x:v>0</x:v>
      </x:c>
      <x:c r="J20" s="41" t="n">
        <x:f>SUM(D20:I20)</x:f>
        <x:v>2658.025</x:v>
      </x:c>
      <x:c r="K20" s="41" t="n">
        <x:f>K19+J20</x:f>
        <x:v>49064.450000000004</x:v>
      </x:c>
      <x:c r="L20" s="41" t="n">
        <x:v>4750</x:v>
      </x:c>
      <x:c r="M20" s="41" t="n">
        <x:f>M19+L20</x:f>
        <x:v>57787.600000000006</x:v>
      </x:c>
      <x:c r="N20" s="41" t="n">
        <x:f>J20-L20</x:f>
        <x:v>-2091.975</x:v>
      </x:c>
      <x:c r="O20" s="41" t="n">
        <x:f>K20-M20</x:f>
        <x:v>-8723.150000000001</x:v>
      </x:c>
      <x:c r="P20" s="41" t="n">
        <x:f>20000+O20</x:f>
        <x:v>11276.849999999999</x:v>
      </x:c>
      <x:c r="Q20" s="43" t="n">
        <x:v>1720</x:v>
      </x:c>
      <x:c r="R20" s="43" t="n">
        <x:v>79</x:v>
      </x:c>
      <x:c r="S20" s="15" t="str"/>
    </x:row>
    <x:row r="21">
      <x:c r="A21" s="45" t="n">
        <x:v>1</x:v>
      </x:c>
      <x:c r="B21" s="43" t="str">
        <x:v>小雪</x:v>
      </x:c>
      <x:c r="C21" s="43" t="n">
        <x:v>4</x:v>
      </x:c>
      <x:c r="D21" s="41" t="n">
        <x:v>0</x:v>
      </x:c>
      <x:c r="E21" s="41" t="n">
        <x:v>2000</x:v>
      </x:c>
      <x:c r="F21" s="41" t="n">
        <x:v>427.625</x:v>
      </x:c>
      <x:c r="G21" s="41" t="n">
        <x:v>230.4</x:v>
      </x:c>
      <x:c r="H21" s="41" t="n">
        <x:v>0</x:v>
      </x:c>
      <x:c r="I21" s="41" t="n">
        <x:v>0</x:v>
      </x:c>
      <x:c r="J21" s="41" t="n">
        <x:f>SUM(D21:I21)</x:f>
        <x:v>2658.025</x:v>
      </x:c>
      <x:c r="K21" s="41" t="n">
        <x:f>K20+J21</x:f>
        <x:v>51722.475000000006</x:v>
      </x:c>
      <x:c r="L21" s="41" t="n">
        <x:v>2776.4</x:v>
      </x:c>
      <x:c r="M21" s="41" t="n">
        <x:f>M20+L21</x:f>
        <x:v>60564.00000000001</x:v>
      </x:c>
      <x:c r="N21" s="41" t="n">
        <x:f>J21-L21</x:f>
        <x:v>-118.375</x:v>
      </x:c>
      <x:c r="O21" s="41" t="n">
        <x:f>K21-M21</x:f>
        <x:v>-8841.525000000001</x:v>
      </x:c>
      <x:c r="P21" s="41" t="n">
        <x:f>20000+O21</x:f>
        <x:v>11158.474999999999</x:v>
      </x:c>
      <x:c r="Q21" s="43" t="n">
        <x:v>1760</x:v>
      </x:c>
      <x:c r="R21" s="43" t="n">
        <x:v>83</x:v>
      </x:c>
      <x:c r="S21" s="15" t="str"/>
    </x:row>
    <x:row r="22">
      <x:c r="A22" s="45" t="n">
        <x:v>1</x:v>
      </x:c>
      <x:c r="B22" s="43" t="str">
        <x:v>大雪</x:v>
      </x:c>
      <x:c r="C22" s="43" t="n">
        <x:v>4</x:v>
      </x:c>
      <x:c r="D22" s="41" t="n">
        <x:v>0</x:v>
      </x:c>
      <x:c r="E22" s="41" t="n">
        <x:v>2000</x:v>
      </x:c>
      <x:c r="F22" s="41" t="n">
        <x:v>427.625</x:v>
      </x:c>
      <x:c r="G22" s="41" t="n">
        <x:v>230.4</x:v>
      </x:c>
      <x:c r="H22" s="41" t="n">
        <x:v>0</x:v>
      </x:c>
      <x:c r="I22" s="41" t="n">
        <x:v>0</x:v>
      </x:c>
      <x:c r="J22" s="41" t="n">
        <x:f>SUM(D22:I22)</x:f>
        <x:v>2658.025</x:v>
      </x:c>
      <x:c r="K22" s="41" t="n">
        <x:f>K21+J22</x:f>
        <x:v>54380.50000000001</x:v>
      </x:c>
      <x:c r="L22" s="41" t="n">
        <x:v>1550</x:v>
      </x:c>
      <x:c r="M22" s="41" t="n">
        <x:f>M21+L22</x:f>
        <x:v>62114.00000000001</x:v>
      </x:c>
      <x:c r="N22" s="41" t="n">
        <x:f>J22-L22</x:f>
        <x:v>1108.025</x:v>
      </x:c>
      <x:c r="O22" s="41" t="n">
        <x:f>K22-M22</x:f>
        <x:v>-7733.5</x:v>
      </x:c>
      <x:c r="P22" s="41" t="n">
        <x:f>20000+O22</x:f>
        <x:v>12266.5</x:v>
      </x:c>
      <x:c r="Q22" s="43" t="n">
        <x:v>1800</x:v>
      </x:c>
      <x:c r="R22" s="43" t="n">
        <x:v>87</x:v>
      </x:c>
      <x:c r="S22" s="15" t="str"/>
    </x:row>
    <x:row r="23">
      <x:c r="A23" s="45" t="n">
        <x:v>1</x:v>
      </x:c>
      <x:c r="B23" s="43" t="str">
        <x:v>冬至</x:v>
      </x:c>
      <x:c r="C23" s="43" t="n">
        <x:v>4</x:v>
      </x:c>
      <x:c r="D23" s="41" t="n">
        <x:v>0</x:v>
      </x:c>
      <x:c r="E23" s="41" t="n">
        <x:v>2000</x:v>
      </x:c>
      <x:c r="F23" s="41" t="n">
        <x:v>427.625</x:v>
      </x:c>
      <x:c r="G23" s="41" t="n">
        <x:v>230.4</x:v>
      </x:c>
      <x:c r="H23" s="41" t="n">
        <x:v>0</x:v>
      </x:c>
      <x:c r="I23" s="41" t="n">
        <x:v>0</x:v>
      </x:c>
      <x:c r="J23" s="41" t="n">
        <x:f>SUM(D23:I23)</x:f>
        <x:v>2658.025</x:v>
      </x:c>
      <x:c r="K23" s="41" t="n">
        <x:f>K22+J23</x:f>
        <x:v>57038.52500000001</x:v>
      </x:c>
      <x:c r="L23" s="41" t="n">
        <x:v>2776.4</x:v>
      </x:c>
      <x:c r="M23" s="41" t="n">
        <x:f>M22+L23</x:f>
        <x:v>64890.40000000001</x:v>
      </x:c>
      <x:c r="N23" s="41" t="n">
        <x:f>J23-L23</x:f>
        <x:v>-118.375</x:v>
      </x:c>
      <x:c r="O23" s="41" t="n">
        <x:f>K23-M23</x:f>
        <x:v>-7851.875</x:v>
      </x:c>
      <x:c r="P23" s="41" t="n">
        <x:f>20000+O23</x:f>
        <x:v>12148.125</x:v>
      </x:c>
      <x:c r="Q23" s="43" t="n">
        <x:v>1840</x:v>
      </x:c>
      <x:c r="R23" s="43" t="n">
        <x:v>91</x:v>
      </x:c>
      <x:c r="S23" s="15" t="str"/>
    </x:row>
    <x:row r="24">
      <x:c r="A24" s="45" t="n">
        <x:v>1</x:v>
      </x:c>
      <x:c r="B24" s="43" t="str">
        <x:v>小寒</x:v>
      </x:c>
      <x:c r="C24" s="43" t="n">
        <x:v>4</x:v>
      </x:c>
      <x:c r="D24" s="41" t="n">
        <x:v>0</x:v>
      </x:c>
      <x:c r="E24" s="41" t="n">
        <x:v>2000</x:v>
      </x:c>
      <x:c r="F24" s="41" t="n">
        <x:v>427.625</x:v>
      </x:c>
      <x:c r="G24" s="41" t="n">
        <x:v>230.4</x:v>
      </x:c>
      <x:c r="H24" s="41" t="n">
        <x:v>0</x:v>
      </x:c>
      <x:c r="I24" s="41" t="n">
        <x:v>0</x:v>
      </x:c>
      <x:c r="J24" s="41" t="n">
        <x:f>SUM(D24:I24)</x:f>
        <x:v>2658.025</x:v>
      </x:c>
      <x:c r="K24" s="41" t="n">
        <x:f>K23+J24</x:f>
        <x:v>59696.55000000001</x:v>
      </x:c>
      <x:c r="L24" s="41" t="n">
        <x:v>1550</x:v>
      </x:c>
      <x:c r="M24" s="41" t="n">
        <x:f>M23+L24</x:f>
        <x:v>66440.40000000001</x:v>
      </x:c>
      <x:c r="N24" s="41" t="n">
        <x:f>J24-L24</x:f>
        <x:v>1108.025</x:v>
      </x:c>
      <x:c r="O24" s="41" t="n">
        <x:f>K24-M24</x:f>
        <x:v>-6743.8499999999985</x:v>
      </x:c>
      <x:c r="P24" s="41" t="n">
        <x:f>20000+O24</x:f>
        <x:v>13256.150000000001</x:v>
      </x:c>
      <x:c r="Q24" s="43" t="n">
        <x:v>1880</x:v>
      </x:c>
      <x:c r="R24" s="43" t="n">
        <x:v>95</x:v>
      </x:c>
      <x:c r="S24" s="15" t="str"/>
    </x:row>
    <x:row r="25">
      <x:c r="A25" s="45" t="n">
        <x:v>1</x:v>
      </x:c>
      <x:c r="B25" s="43" t="str">
        <x:v>大寒</x:v>
      </x:c>
      <x:c r="C25" s="43" t="n">
        <x:v>4</x:v>
      </x:c>
      <x:c r="D25" s="41" t="n">
        <x:v>0</x:v>
      </x:c>
      <x:c r="E25" s="41" t="n">
        <x:v>2000</x:v>
      </x:c>
      <x:c r="F25" s="41" t="n">
        <x:v>427.625</x:v>
      </x:c>
      <x:c r="G25" s="41" t="n">
        <x:v>230.4</x:v>
      </x:c>
      <x:c r="H25" s="41" t="n">
        <x:v>0</x:v>
      </x:c>
      <x:c r="I25" s="41" t="n">
        <x:v>0</x:v>
      </x:c>
      <x:c r="J25" s="41" t="n">
        <x:f>SUM(D25:I25)</x:f>
        <x:v>2658.025</x:v>
      </x:c>
      <x:c r="K25" s="41" t="n">
        <x:f>K24+J25</x:f>
        <x:v>62354.57500000001</x:v>
      </x:c>
      <x:c r="L25" s="41" t="n">
        <x:v>3376.4</x:v>
      </x:c>
      <x:c r="M25" s="41" t="n">
        <x:f>M24+L25</x:f>
        <x:v>69816.8</x:v>
      </x:c>
      <x:c r="N25" s="41" t="n">
        <x:f>J25-L25</x:f>
        <x:v>-718.375</x:v>
      </x:c>
      <x:c r="O25" s="41" t="n">
        <x:f>K25-M25</x:f>
        <x:v>-7462.224999999991</x:v>
      </x:c>
      <x:c r="P25" s="41" t="n">
        <x:f>20000+O25</x:f>
        <x:v>12537.775000000009</x:v>
      </x:c>
      <x:c r="Q25" s="43" t="n">
        <x:v>1920</x:v>
      </x:c>
      <x:c r="R25" s="43" t="n">
        <x:v>99</x:v>
      </x:c>
      <x:c r="S25" s="15" t="str"/>
    </x:row>
    <x:row r="26">
      <x:c r="A26" s="57" t="n">
        <x:v>2</x:v>
      </x:c>
      <x:c r="B26" s="58" t="str">
        <x:v>立春</x:v>
      </x:c>
      <x:c r="C26" s="58" t="n">
        <x:v>4</x:v>
      </x:c>
      <x:c r="D26" s="59" t="n">
        <x:v>0</x:v>
      </x:c>
      <x:c r="E26" s="59" t="n">
        <x:v>2000</x:v>
      </x:c>
      <x:c r="F26" s="59" t="n">
        <x:v>427.625</x:v>
      </x:c>
      <x:c r="G26" s="59" t="n">
        <x:v>230.4</x:v>
      </x:c>
      <x:c r="H26" s="59" t="n">
        <x:v>0</x:v>
      </x:c>
      <x:c r="I26" s="81" t="n">
        <x:v>2000</x:v>
      </x:c>
      <x:c r="J26" s="81" t="n">
        <x:f>SUM(D26:I26)</x:f>
        <x:v>4658.025</x:v>
      </x:c>
      <x:c r="K26" s="81" t="n">
        <x:f>K25+J26</x:f>
        <x:v>67012.6</x:v>
      </x:c>
      <x:c r="L26" s="81" t="n">
        <x:v>2650</x:v>
      </x:c>
      <x:c r="M26" s="81" t="n">
        <x:f>M25+L26</x:f>
        <x:v>72466.8</x:v>
      </x:c>
      <x:c r="N26" s="81" t="n">
        <x:f>J26-L26</x:f>
        <x:v>2008.0249999999996</x:v>
      </x:c>
      <x:c r="O26" s="81" t="n">
        <x:f>K26-M26</x:f>
        <x:v>-5454.199999999997</x:v>
      </x:c>
      <x:c r="P26" s="81" t="n">
        <x:f>20000+O26</x:f>
        <x:v>14545.800000000003</x:v>
      </x:c>
      <x:c r="Q26" s="82" t="n">
        <x:v>1960</x:v>
      </x:c>
      <x:c r="R26" s="82" t="n">
        <x:v>103</x:v>
      </x:c>
      <x:c r="S26" s="83" t="str">
        <x:v>025_02 和尚肾精不足（银钱+2000）</x:v>
      </x:c>
    </x:row>
    <x:row r="27">
      <x:c r="A27" s="45" t="n">
        <x:v>2</x:v>
      </x:c>
      <x:c r="B27" s="43" t="str">
        <x:v>雨水</x:v>
      </x:c>
      <x:c r="C27" s="43" t="n">
        <x:v>4</x:v>
      </x:c>
      <x:c r="D27" s="41" t="n">
        <x:v>0</x:v>
      </x:c>
      <x:c r="E27" s="41" t="n">
        <x:v>2000</x:v>
      </x:c>
      <x:c r="F27" s="41" t="n">
        <x:v>427.625</x:v>
      </x:c>
      <x:c r="G27" s="41" t="n">
        <x:v>230.4</x:v>
      </x:c>
      <x:c r="H27" s="41" t="n">
        <x:v>0</x:v>
      </x:c>
      <x:c r="I27" s="41" t="n">
        <x:v>0</x:v>
      </x:c>
      <x:c r="J27" s="41" t="n">
        <x:f>SUM(D27:I27)</x:f>
        <x:v>2658.025</x:v>
      </x:c>
      <x:c r="K27" s="41" t="n">
        <x:f>K26+J27</x:f>
        <x:v>69670.625</x:v>
      </x:c>
      <x:c r="L27" s="41" t="n">
        <x:v>2776.4</x:v>
      </x:c>
      <x:c r="M27" s="41" t="n">
        <x:f>M26+L27</x:f>
        <x:v>75243.2</x:v>
      </x:c>
      <x:c r="N27" s="41" t="n">
        <x:f>J27-L27</x:f>
        <x:v>-118.375</x:v>
      </x:c>
      <x:c r="O27" s="41" t="n">
        <x:f>K27-M27</x:f>
        <x:v>-5572.574999999997</x:v>
      </x:c>
      <x:c r="P27" s="41" t="n">
        <x:f>20000+O27</x:f>
        <x:v>14427.425000000003</x:v>
      </x:c>
      <x:c r="Q27" s="43" t="n">
        <x:v>2000</x:v>
      </x:c>
      <x:c r="R27" s="43" t="n">
        <x:v>107</x:v>
      </x:c>
      <x:c r="S27" s="15" t="str"/>
    </x:row>
    <x:row r="28">
      <x:c r="A28" s="45" t="n">
        <x:v>2</x:v>
      </x:c>
      <x:c r="B28" s="43" t="str">
        <x:v>惊蛰</x:v>
      </x:c>
      <x:c r="C28" s="43" t="n">
        <x:v>4</x:v>
      </x:c>
      <x:c r="D28" s="41" t="n">
        <x:v>0</x:v>
      </x:c>
      <x:c r="E28" s="41" t="n">
        <x:v>3500</x:v>
      </x:c>
      <x:c r="F28" s="41" t="n">
        <x:v>427.625</x:v>
      </x:c>
      <x:c r="G28" s="41" t="n">
        <x:v>230.4</x:v>
      </x:c>
      <x:c r="H28" s="41" t="n">
        <x:v>0</x:v>
      </x:c>
      <x:c r="I28" s="41" t="n">
        <x:v>0</x:v>
      </x:c>
      <x:c r="J28" s="41" t="n">
        <x:f>SUM(D28:I28)</x:f>
        <x:v>4158.025</x:v>
      </x:c>
      <x:c r="K28" s="41" t="n">
        <x:f>K27+J28</x:f>
        <x:v>73828.65</x:v>
      </x:c>
      <x:c r="L28" s="41" t="n">
        <x:v>1550</x:v>
      </x:c>
      <x:c r="M28" s="41" t="n">
        <x:f>M27+L28</x:f>
        <x:v>76793.2</x:v>
      </x:c>
      <x:c r="N28" s="41" t="n">
        <x:f>J28-L28</x:f>
        <x:v>2608.0249999999996</x:v>
      </x:c>
      <x:c r="O28" s="41" t="n">
        <x:f>K28-M28</x:f>
        <x:v>-2964.550000000003</x:v>
      </x:c>
      <x:c r="P28" s="41" t="n">
        <x:f>20000+O28</x:f>
        <x:v>17035.449999999997</x:v>
      </x:c>
      <x:c r="Q28" s="43" t="n">
        <x:v>2040</x:v>
      </x:c>
      <x:c r="R28" s="43" t="n">
        <x:v>111</x:v>
      </x:c>
      <x:c r="S28" s="15" t="str"/>
    </x:row>
    <x:row r="29">
      <x:c r="A29" s="45" t="n">
        <x:v>2</x:v>
      </x:c>
      <x:c r="B29" s="43" t="str">
        <x:v>春分</x:v>
      </x:c>
      <x:c r="C29" s="43" t="n">
        <x:v>4</x:v>
      </x:c>
      <x:c r="D29" s="41" t="n">
        <x:v>0</x:v>
      </x:c>
      <x:c r="E29" s="41" t="n">
        <x:v>4000</x:v>
      </x:c>
      <x:c r="F29" s="41" t="n">
        <x:v>427.625</x:v>
      </x:c>
      <x:c r="G29" s="41" t="n">
        <x:v>230.4</x:v>
      </x:c>
      <x:c r="H29" s="41" t="n">
        <x:v>0</x:v>
      </x:c>
      <x:c r="I29" s="41" t="n">
        <x:v>0</x:v>
      </x:c>
      <x:c r="J29" s="41" t="n">
        <x:f>SUM(D29:I29)</x:f>
        <x:v>4658.025</x:v>
      </x:c>
      <x:c r="K29" s="41" t="n">
        <x:f>K28+J29</x:f>
        <x:v>78486.67499999999</x:v>
      </x:c>
      <x:c r="L29" s="41" t="n">
        <x:v>3376.4</x:v>
      </x:c>
      <x:c r="M29" s="41" t="n">
        <x:f>M28+L29</x:f>
        <x:v>80169.59999999999</x:v>
      </x:c>
      <x:c r="N29" s="41" t="n">
        <x:f>J29-L29</x:f>
        <x:v>1281.6249999999995</x:v>
      </x:c>
      <x:c r="O29" s="41" t="n">
        <x:f>K29-M29</x:f>
        <x:v>-1682.925000000003</x:v>
      </x:c>
      <x:c r="P29" s="41" t="n">
        <x:f>20000+O29</x:f>
        <x:v>18317.074999999997</x:v>
      </x:c>
      <x:c r="Q29" s="43" t="n">
        <x:v>2080</x:v>
      </x:c>
      <x:c r="R29" s="43" t="n">
        <x:v>115</x:v>
      </x:c>
      <x:c r="S29" s="15" t="str"/>
    </x:row>
    <x:row r="30">
      <x:c r="A30" s="45" t="n">
        <x:v>2</x:v>
      </x:c>
      <x:c r="B30" s="43" t="str">
        <x:v>清明</x:v>
      </x:c>
      <x:c r="C30" s="43" t="n">
        <x:v>4</x:v>
      </x:c>
      <x:c r="D30" s="41" t="n">
        <x:v>0</x:v>
      </x:c>
      <x:c r="E30" s="41" t="n">
        <x:v>4000</x:v>
      </x:c>
      <x:c r="F30" s="41" t="n">
        <x:v>427.625</x:v>
      </x:c>
      <x:c r="G30" s="41" t="n">
        <x:v>230.4</x:v>
      </x:c>
      <x:c r="H30" s="41" t="n">
        <x:v>0</x:v>
      </x:c>
      <x:c r="I30" s="41" t="n">
        <x:v>0</x:v>
      </x:c>
      <x:c r="J30" s="41" t="n">
        <x:f>SUM(D30:I30)</x:f>
        <x:v>4658.025</x:v>
      </x:c>
      <x:c r="K30" s="41" t="n">
        <x:f>K29+J30</x:f>
        <x:v>83144.69999999998</x:v>
      </x:c>
      <x:c r="L30" s="41" t="n">
        <x:v>3550</x:v>
      </x:c>
      <x:c r="M30" s="41" t="n">
        <x:f>M29+L30</x:f>
        <x:v>83719.59999999999</x:v>
      </x:c>
      <x:c r="N30" s="41" t="n">
        <x:f>J30-L30</x:f>
        <x:v>1108.0249999999996</x:v>
      </x:c>
      <x:c r="O30" s="41" t="n">
        <x:f>K30-M30</x:f>
        <x:v>-574.9000000000087</x:v>
      </x:c>
      <x:c r="P30" s="41" t="n">
        <x:f>20000+O30</x:f>
        <x:v>19425.09999999999</x:v>
      </x:c>
      <x:c r="Q30" s="43" t="n">
        <x:v>2120</x:v>
      </x:c>
      <x:c r="R30" s="43" t="n">
        <x:v>119</x:v>
      </x:c>
      <x:c r="S30" s="15" t="str"/>
    </x:row>
    <x:row r="31">
      <x:c r="A31" s="45" t="n">
        <x:v>2</x:v>
      </x:c>
      <x:c r="B31" s="43" t="str">
        <x:v>谷雨</x:v>
      </x:c>
      <x:c r="C31" s="43" t="n">
        <x:v>4</x:v>
      </x:c>
      <x:c r="D31" s="41" t="n">
        <x:v>0</x:v>
      </x:c>
      <x:c r="E31" s="41" t="n">
        <x:v>4000</x:v>
      </x:c>
      <x:c r="F31" s="41" t="n">
        <x:v>427.625</x:v>
      </x:c>
      <x:c r="G31" s="41" t="n">
        <x:v>230.4</x:v>
      </x:c>
      <x:c r="H31" s="41" t="n">
        <x:v>0</x:v>
      </x:c>
      <x:c r="I31" s="41" t="n">
        <x:v>0</x:v>
      </x:c>
      <x:c r="J31" s="41" t="n">
        <x:f>SUM(D31:I31)</x:f>
        <x:v>4658.025</x:v>
      </x:c>
      <x:c r="K31" s="41" t="n">
        <x:f>K30+J31</x:f>
        <x:v>87802.72499999998</x:v>
      </x:c>
      <x:c r="L31" s="41" t="n">
        <x:v>2776.4</x:v>
      </x:c>
      <x:c r="M31" s="41" t="n">
        <x:f>M30+L31</x:f>
        <x:v>86495.99999999999</x:v>
      </x:c>
      <x:c r="N31" s="41" t="n">
        <x:f>J31-L31</x:f>
        <x:v>1881.6249999999995</x:v>
      </x:c>
      <x:c r="O31" s="41" t="n">
        <x:f>K31-M31</x:f>
        <x:v>1306.7249999999913</x:v>
      </x:c>
      <x:c r="P31" s="41" t="n">
        <x:f>20000+O31</x:f>
        <x:v>21306.72499999999</x:v>
      </x:c>
      <x:c r="Q31" s="43" t="n">
        <x:v>2160</x:v>
      </x:c>
      <x:c r="R31" s="43" t="n">
        <x:v>123</x:v>
      </x:c>
      <x:c r="S31" s="15" t="str"/>
    </x:row>
    <x:row r="32">
      <x:c r="A32" s="45" t="n">
        <x:v>2</x:v>
      </x:c>
      <x:c r="B32" s="43" t="str">
        <x:v>立夏</x:v>
      </x:c>
      <x:c r="C32" s="43" t="n">
        <x:v>4</x:v>
      </x:c>
      <x:c r="D32" s="41" t="n">
        <x:v>0</x:v>
      </x:c>
      <x:c r="E32" s="41" t="n">
        <x:v>4000</x:v>
      </x:c>
      <x:c r="F32" s="41" t="n">
        <x:v>427.625</x:v>
      </x:c>
      <x:c r="G32" s="41" t="n">
        <x:v>230.4</x:v>
      </x:c>
      <x:c r="H32" s="41" t="n">
        <x:v>0</x:v>
      </x:c>
      <x:c r="I32" s="41" t="n">
        <x:v>0</x:v>
      </x:c>
      <x:c r="J32" s="41" t="n">
        <x:f>SUM(D32:I32)</x:f>
        <x:v>4658.025</x:v>
      </x:c>
      <x:c r="K32" s="41" t="n">
        <x:f>K31+J32</x:f>
        <x:v>92460.74999999997</x:v>
      </x:c>
      <x:c r="L32" s="41" t="n">
        <x:v>2650</x:v>
      </x:c>
      <x:c r="M32" s="41" t="n">
        <x:f>M31+L32</x:f>
        <x:v>89145.99999999999</x:v>
      </x:c>
      <x:c r="N32" s="41" t="n">
        <x:f>J32-L32</x:f>
        <x:v>2008.0249999999996</x:v>
      </x:c>
      <x:c r="O32" s="41" t="n">
        <x:f>K32-M32</x:f>
        <x:v>3314.7499999999854</x:v>
      </x:c>
      <x:c r="P32" s="41" t="n">
        <x:f>20000+O32</x:f>
        <x:v>23314.749999999985</x:v>
      </x:c>
      <x:c r="Q32" s="43" t="n">
        <x:v>2200</x:v>
      </x:c>
      <x:c r="R32" s="43" t="n">
        <x:v>127</x:v>
      </x:c>
      <x:c r="S32" s="15" t="str"/>
    </x:row>
    <x:row r="33">
      <x:c r="A33" s="45" t="n">
        <x:v>2</x:v>
      </x:c>
      <x:c r="B33" s="43" t="str">
        <x:v>小满</x:v>
      </x:c>
      <x:c r="C33" s="43" t="n">
        <x:v>4</x:v>
      </x:c>
      <x:c r="D33" s="41" t="n">
        <x:v>0</x:v>
      </x:c>
      <x:c r="E33" s="41" t="n">
        <x:v>4000</x:v>
      </x:c>
      <x:c r="F33" s="41" t="n">
        <x:v>427.625</x:v>
      </x:c>
      <x:c r="G33" s="41" t="n">
        <x:v>230.4</x:v>
      </x:c>
      <x:c r="H33" s="41" t="n">
        <x:v>0</x:v>
      </x:c>
      <x:c r="I33" s="41" t="n">
        <x:v>0</x:v>
      </x:c>
      <x:c r="J33" s="41" t="n">
        <x:f>SUM(D33:I33)</x:f>
        <x:v>4658.025</x:v>
      </x:c>
      <x:c r="K33" s="41" t="n">
        <x:f>K32+J33</x:f>
        <x:v>97118.77499999997</x:v>
      </x:c>
      <x:c r="L33" s="41" t="n">
        <x:v>3676.4</x:v>
      </x:c>
      <x:c r="M33" s="41" t="n">
        <x:f>M32+L33</x:f>
        <x:v>92822.39999999998</x:v>
      </x:c>
      <x:c r="N33" s="41" t="n">
        <x:f>J33-L33</x:f>
        <x:v>981.6249999999995</x:v>
      </x:c>
      <x:c r="O33" s="41" t="n">
        <x:f>K33-M33</x:f>
        <x:v>4296.374999999985</x:v>
      </x:c>
      <x:c r="P33" s="41" t="n">
        <x:f>20000+O33</x:f>
        <x:v>24296.374999999985</x:v>
      </x:c>
      <x:c r="Q33" s="43" t="n">
        <x:v>2240</x:v>
      </x:c>
      <x:c r="R33" s="43" t="n">
        <x:v>131</x:v>
      </x:c>
      <x:c r="S33" s="15" t="str"/>
    </x:row>
    <x:row r="34">
      <x:c r="A34" s="45" t="n">
        <x:v>2</x:v>
      </x:c>
      <x:c r="B34" s="43" t="str">
        <x:v>芒种</x:v>
      </x:c>
      <x:c r="C34" s="43" t="n">
        <x:v>4</x:v>
      </x:c>
      <x:c r="D34" s="41" t="n">
        <x:v>0</x:v>
      </x:c>
      <x:c r="E34" s="41" t="n">
        <x:v>4000</x:v>
      </x:c>
      <x:c r="F34" s="41" t="n">
        <x:v>427.625</x:v>
      </x:c>
      <x:c r="G34" s="41" t="n">
        <x:v>230.4</x:v>
      </x:c>
      <x:c r="H34" s="41" t="n">
        <x:v>0</x:v>
      </x:c>
      <x:c r="I34" s="41" t="n">
        <x:v>0</x:v>
      </x:c>
      <x:c r="J34" s="41" t="n">
        <x:f>SUM(D34:I34)</x:f>
        <x:v>4658.025</x:v>
      </x:c>
      <x:c r="K34" s="41" t="n">
        <x:f>K33+J34</x:f>
        <x:v>101776.79999999996</x:v>
      </x:c>
      <x:c r="L34" s="41" t="n">
        <x:v>2450</x:v>
      </x:c>
      <x:c r="M34" s="41" t="n">
        <x:f>M33+L34</x:f>
        <x:v>95272.39999999998</x:v>
      </x:c>
      <x:c r="N34" s="41" t="n">
        <x:f>J34-L34</x:f>
        <x:v>2208.0249999999996</x:v>
      </x:c>
      <x:c r="O34" s="41" t="n">
        <x:f>K34-M34</x:f>
        <x:v>6504.39999999998</x:v>
      </x:c>
      <x:c r="P34" s="41" t="n">
        <x:f>20000+O34</x:f>
        <x:v>26504.39999999998</x:v>
      </x:c>
      <x:c r="Q34" s="43" t="n">
        <x:v>2280</x:v>
      </x:c>
      <x:c r="R34" s="43" t="n">
        <x:v>135</x:v>
      </x:c>
      <x:c r="S34" s="15" t="str"/>
    </x:row>
    <x:row r="35">
      <x:c r="A35" s="45" t="n">
        <x:v>2</x:v>
      </x:c>
      <x:c r="B35" s="43" t="str">
        <x:v>夏至</x:v>
      </x:c>
      <x:c r="C35" s="43" t="n">
        <x:v>4</x:v>
      </x:c>
      <x:c r="D35" s="41" t="n">
        <x:v>0</x:v>
      </x:c>
      <x:c r="E35" s="41" t="n">
        <x:v>4000</x:v>
      </x:c>
      <x:c r="F35" s="41" t="n">
        <x:v>427.625</x:v>
      </x:c>
      <x:c r="G35" s="41" t="n">
        <x:v>230.4</x:v>
      </x:c>
      <x:c r="H35" s="41" t="n">
        <x:v>0</x:v>
      </x:c>
      <x:c r="I35" s="41" t="n">
        <x:v>0</x:v>
      </x:c>
      <x:c r="J35" s="41" t="n">
        <x:f>SUM(D35:I35)</x:f>
        <x:v>4658.025</x:v>
      </x:c>
      <x:c r="K35" s="41" t="n">
        <x:f>K34+J35</x:f>
        <x:v>106434.82499999995</x:v>
      </x:c>
      <x:c r="L35" s="41" t="n">
        <x:v>3676.4</x:v>
      </x:c>
      <x:c r="M35" s="41" t="n">
        <x:f>M34+L35</x:f>
        <x:v>98948.79999999997</x:v>
      </x:c>
      <x:c r="N35" s="41" t="n">
        <x:f>J35-L35</x:f>
        <x:v>981.6249999999995</x:v>
      </x:c>
      <x:c r="O35" s="41" t="n">
        <x:f>K35-M35</x:f>
        <x:v>7486.02499999998</x:v>
      </x:c>
      <x:c r="P35" s="41" t="n">
        <x:f>20000+O35</x:f>
        <x:v>27486.02499999998</x:v>
      </x:c>
      <x:c r="Q35" s="43" t="n">
        <x:v>2320</x:v>
      </x:c>
      <x:c r="R35" s="43" t="n">
        <x:v>139</x:v>
      </x:c>
      <x:c r="S35" s="15" t="str"/>
    </x:row>
    <x:row r="36">
      <x:c r="A36" s="45" t="n">
        <x:v>2</x:v>
      </x:c>
      <x:c r="B36" s="43" t="str">
        <x:v>小暑</x:v>
      </x:c>
      <x:c r="C36" s="43" t="n">
        <x:v>4</x:v>
      </x:c>
      <x:c r="D36" s="41" t="n">
        <x:v>0</x:v>
      </x:c>
      <x:c r="E36" s="41" t="n">
        <x:v>4000</x:v>
      </x:c>
      <x:c r="F36" s="41" t="n">
        <x:v>427.625</x:v>
      </x:c>
      <x:c r="G36" s="41" t="n">
        <x:v>230.4</x:v>
      </x:c>
      <x:c r="H36" s="41" t="n">
        <x:v>0</x:v>
      </x:c>
      <x:c r="I36" s="41" t="n">
        <x:v>0</x:v>
      </x:c>
      <x:c r="J36" s="41" t="n">
        <x:f>SUM(D36:I36)</x:f>
        <x:v>4658.025</x:v>
      </x:c>
      <x:c r="K36" s="41" t="n">
        <x:f>K35+J36</x:f>
        <x:v>111092.84999999995</x:v>
      </x:c>
      <x:c r="L36" s="41" t="n">
        <x:v>2450</x:v>
      </x:c>
      <x:c r="M36" s="41" t="n">
        <x:f>M35+L36</x:f>
        <x:v>101398.79999999997</x:v>
      </x:c>
      <x:c r="N36" s="41" t="n">
        <x:f>J36-L36</x:f>
        <x:v>2208.0249999999996</x:v>
      </x:c>
      <x:c r="O36" s="41" t="n">
        <x:f>K36-M36</x:f>
        <x:v>9694.049999999974</x:v>
      </x:c>
      <x:c r="P36" s="41" t="n">
        <x:f>20000+O36</x:f>
        <x:v>29694.049999999974</x:v>
      </x:c>
      <x:c r="Q36" s="43" t="n">
        <x:v>2360</x:v>
      </x:c>
      <x:c r="R36" s="43" t="n">
        <x:v>143</x:v>
      </x:c>
      <x:c r="S36" s="15" t="str"/>
    </x:row>
    <x:row r="37">
      <x:c r="A37" s="45" t="n">
        <x:v>2</x:v>
      </x:c>
      <x:c r="B37" s="43" t="str">
        <x:v>大暑</x:v>
      </x:c>
      <x:c r="C37" s="43" t="n">
        <x:v>4</x:v>
      </x:c>
      <x:c r="D37" s="41" t="n">
        <x:v>0</x:v>
      </x:c>
      <x:c r="E37" s="41" t="n">
        <x:v>4000</x:v>
      </x:c>
      <x:c r="F37" s="41" t="n">
        <x:v>427.625</x:v>
      </x:c>
      <x:c r="G37" s="41" t="n">
        <x:v>230.4</x:v>
      </x:c>
      <x:c r="H37" s="41" t="n">
        <x:v>5000</x:v>
      </x:c>
      <x:c r="I37" s="41" t="n">
        <x:v>0</x:v>
      </x:c>
      <x:c r="J37" s="41" t="n">
        <x:f>SUM(D37:I37)</x:f>
        <x:v>9658.025</x:v>
      </x:c>
      <x:c r="K37" s="41" t="n">
        <x:f>K36+J37</x:f>
        <x:v>120750.87499999994</x:v>
      </x:c>
      <x:c r="L37" s="41" t="n">
        <x:v>3276.4</x:v>
      </x:c>
      <x:c r="M37" s="41" t="n">
        <x:f>M36+L37</x:f>
        <x:v>104675.19999999997</x:v>
      </x:c>
      <x:c r="N37" s="41" t="n">
        <x:f>J37-L37</x:f>
        <x:v>6381.625</x:v>
      </x:c>
      <x:c r="O37" s="41" t="n">
        <x:f>K37-M37</x:f>
        <x:v>16075.674999999974</x:v>
      </x:c>
      <x:c r="P37" s="41" t="n">
        <x:f>20000+O37</x:f>
        <x:v>36075.674999999974</x:v>
      </x:c>
      <x:c r="Q37" s="43" t="n">
        <x:v>2400</x:v>
      </x:c>
      <x:c r="R37" s="43" t="n">
        <x:v>147</x:v>
      </x:c>
      <x:c r="S37" s="15" t="str"/>
    </x:row>
    <x:row r="38">
      <x:c r="A38" s="45" t="n">
        <x:v>2</x:v>
      </x:c>
      <x:c r="B38" s="43" t="str">
        <x:v>立秋</x:v>
      </x:c>
      <x:c r="C38" s="43" t="n">
        <x:v>4</x:v>
      </x:c>
      <x:c r="D38" s="41" t="n">
        <x:v>0</x:v>
      </x:c>
      <x:c r="E38" s="41" t="n">
        <x:v>4000</x:v>
      </x:c>
      <x:c r="F38" s="41" t="n">
        <x:v>427.625</x:v>
      </x:c>
      <x:c r="G38" s="41" t="n">
        <x:v>230.4</x:v>
      </x:c>
      <x:c r="H38" s="41" t="n">
        <x:v>0</x:v>
      </x:c>
      <x:c r="I38" s="69" t="n">
        <x:v>1000</x:v>
      </x:c>
      <x:c r="J38" s="69" t="n">
        <x:f>SUM(D38:I38)</x:f>
        <x:v>5658.025</x:v>
      </x:c>
      <x:c r="K38" s="69" t="n">
        <x:f>K37+J38</x:f>
        <x:v>126408.89999999994</x:v>
      </x:c>
      <x:c r="L38" s="69" t="n">
        <x:v>2650</x:v>
      </x:c>
      <x:c r="M38" s="69" t="n">
        <x:f>M37+L38</x:f>
        <x:v>107325.19999999997</x:v>
      </x:c>
      <x:c r="N38" s="69" t="n">
        <x:f>J38-L38</x:f>
        <x:v>3008.0249999999996</x:v>
      </x:c>
      <x:c r="O38" s="69" t="n">
        <x:f>K38-M38</x:f>
        <x:v>19083.699999999968</x:v>
      </x:c>
      <x:c r="P38" s="69" t="n">
        <x:f>20000+O38</x:f>
        <x:v>39083.69999999997</x:v>
      </x:c>
      <x:c r="Q38" s="70" t="n">
        <x:v>2440</x:v>
      </x:c>
      <x:c r="R38" s="70" t="n">
        <x:v>151</x:v>
      </x:c>
      <x:c r="S38" s="71" t="str">
        <x:v>014_02 沈修文治疗成功（银钱+1000）</x:v>
      </x:c>
    </x:row>
    <x:row r="39">
      <x:c r="A39" s="45" t="n">
        <x:v>2</x:v>
      </x:c>
      <x:c r="B39" s="43" t="str">
        <x:v>处暑</x:v>
      </x:c>
      <x:c r="C39" s="43" t="n">
        <x:v>4</x:v>
      </x:c>
      <x:c r="D39" s="41" t="n">
        <x:v>0</x:v>
      </x:c>
      <x:c r="E39" s="41" t="n">
        <x:v>4000</x:v>
      </x:c>
      <x:c r="F39" s="41" t="n">
        <x:v>427.625</x:v>
      </x:c>
      <x:c r="G39" s="41" t="n">
        <x:v>230.4</x:v>
      </x:c>
      <x:c r="H39" s="41" t="n">
        <x:v>0</x:v>
      </x:c>
      <x:c r="I39" s="41" t="n">
        <x:v>0</x:v>
      </x:c>
      <x:c r="J39" s="41" t="n">
        <x:f>SUM(D39:I39)</x:f>
        <x:v>4658.025</x:v>
      </x:c>
      <x:c r="K39" s="41" t="n">
        <x:f>K38+J39</x:f>
        <x:v>131066.92499999993</x:v>
      </x:c>
      <x:c r="L39" s="41" t="n">
        <x:v>4776.4</x:v>
      </x:c>
      <x:c r="M39" s="41" t="n">
        <x:f>M38+L39</x:f>
        <x:v>112101.59999999996</x:v>
      </x:c>
      <x:c r="N39" s="41" t="n">
        <x:f>J39-L39</x:f>
        <x:v>-118.375</x:v>
      </x:c>
      <x:c r="O39" s="41" t="n">
        <x:f>K39-M39</x:f>
        <x:v>18965.324999999968</x:v>
      </x:c>
      <x:c r="P39" s="41" t="n">
        <x:f>20000+O39</x:f>
        <x:v>38965.32499999997</x:v>
      </x:c>
      <x:c r="Q39" s="43" t="n">
        <x:v>2480</x:v>
      </x:c>
      <x:c r="R39" s="43" t="n">
        <x:v>155</x:v>
      </x:c>
      <x:c r="S39" s="15" t="str"/>
    </x:row>
    <x:row r="40">
      <x:c r="A40" s="45" t="n">
        <x:v>2</x:v>
      </x:c>
      <x:c r="B40" s="43" t="str">
        <x:v>白露</x:v>
      </x:c>
      <x:c r="C40" s="43" t="n">
        <x:v>4</x:v>
      </x:c>
      <x:c r="D40" s="41" t="n">
        <x:v>0</x:v>
      </x:c>
      <x:c r="E40" s="41" t="n">
        <x:v>4000</x:v>
      </x:c>
      <x:c r="F40" s="41" t="n">
        <x:v>427.625</x:v>
      </x:c>
      <x:c r="G40" s="41" t="n">
        <x:v>230.4</x:v>
      </x:c>
      <x:c r="H40" s="41" t="n">
        <x:v>0</x:v>
      </x:c>
      <x:c r="I40" s="41" t="n">
        <x:v>0</x:v>
      </x:c>
      <x:c r="J40" s="41" t="n">
        <x:f>SUM(D40:I40)</x:f>
        <x:v>4658.025</x:v>
      </x:c>
      <x:c r="K40" s="41" t="n">
        <x:f>K39+J40</x:f>
        <x:v>135724.94999999992</x:v>
      </x:c>
      <x:c r="L40" s="41" t="n">
        <x:v>1550</x:v>
      </x:c>
      <x:c r="M40" s="41" t="n">
        <x:f>M39+L40</x:f>
        <x:v>113651.59999999996</x:v>
      </x:c>
      <x:c r="N40" s="41" t="n">
        <x:f>J40-L40</x:f>
        <x:v>3108.0249999999996</x:v>
      </x:c>
      <x:c r="O40" s="41" t="n">
        <x:f>K40-M40</x:f>
        <x:v>22073.349999999962</x:v>
      </x:c>
      <x:c r="P40" s="41" t="n">
        <x:f>20000+O40</x:f>
        <x:v>42073.34999999996</x:v>
      </x:c>
      <x:c r="Q40" s="43" t="n">
        <x:v>2520</x:v>
      </x:c>
      <x:c r="R40" s="43" t="n">
        <x:v>159</x:v>
      </x:c>
      <x:c r="S40" s="15" t="str"/>
    </x:row>
    <x:row r="41">
      <x:c r="A41" s="45" t="n">
        <x:v>2</x:v>
      </x:c>
      <x:c r="B41" s="43" t="str">
        <x:v>秋分</x:v>
      </x:c>
      <x:c r="C41" s="43" t="n">
        <x:v>4</x:v>
      </x:c>
      <x:c r="D41" s="41" t="n">
        <x:v>0</x:v>
      </x:c>
      <x:c r="E41" s="41" t="n">
        <x:v>4000</x:v>
      </x:c>
      <x:c r="F41" s="41" t="n">
        <x:v>427.625</x:v>
      </x:c>
      <x:c r="G41" s="41" t="n">
        <x:v>230.4</x:v>
      </x:c>
      <x:c r="H41" s="41" t="n">
        <x:v>0</x:v>
      </x:c>
      <x:c r="I41" s="41" t="n">
        <x:v>0</x:v>
      </x:c>
      <x:c r="J41" s="41" t="n">
        <x:f>SUM(D41:I41)</x:f>
        <x:v>4658.025</x:v>
      </x:c>
      <x:c r="K41" s="41" t="n">
        <x:f>K40+J41</x:f>
        <x:v>140382.97499999992</x:v>
      </x:c>
      <x:c r="L41" s="41" t="n">
        <x:v>3376.4</x:v>
      </x:c>
      <x:c r="M41" s="41" t="n">
        <x:f>M40+L41</x:f>
        <x:v>117027.99999999996</x:v>
      </x:c>
      <x:c r="N41" s="41" t="n">
        <x:f>J41-L41</x:f>
        <x:v>1281.6249999999995</x:v>
      </x:c>
      <x:c r="O41" s="41" t="n">
        <x:f>K41-M41</x:f>
        <x:v>23354.974999999962</x:v>
      </x:c>
      <x:c r="P41" s="41" t="n">
        <x:f>20000+O41</x:f>
        <x:v>43354.97499999996</x:v>
      </x:c>
      <x:c r="Q41" s="43" t="n">
        <x:v>2560</x:v>
      </x:c>
      <x:c r="R41" s="43" t="n">
        <x:v>163</x:v>
      </x:c>
      <x:c r="S41" s="15" t="str"/>
    </x:row>
    <x:row r="42">
      <x:c r="A42" s="45" t="n">
        <x:v>2</x:v>
      </x:c>
      <x:c r="B42" s="43" t="str">
        <x:v>寒露</x:v>
      </x:c>
      <x:c r="C42" s="43" t="n">
        <x:v>4</x:v>
      </x:c>
      <x:c r="D42" s="41" t="n">
        <x:v>0</x:v>
      </x:c>
      <x:c r="E42" s="41" t="n">
        <x:v>4000</x:v>
      </x:c>
      <x:c r="F42" s="41" t="n">
        <x:v>427.625</x:v>
      </x:c>
      <x:c r="G42" s="41" t="n">
        <x:v>230.4</x:v>
      </x:c>
      <x:c r="H42" s="41" t="n">
        <x:v>0</x:v>
      </x:c>
      <x:c r="I42" s="41" t="n">
        <x:v>0</x:v>
      </x:c>
      <x:c r="J42" s="41" t="n">
        <x:f>SUM(D42:I42)</x:f>
        <x:v>4658.025</x:v>
      </x:c>
      <x:c r="K42" s="41" t="n">
        <x:f>K41+J42</x:f>
        <x:v>145040.9999999999</x:v>
      </x:c>
      <x:c r="L42" s="41" t="n">
        <x:v>1550</x:v>
      </x:c>
      <x:c r="M42" s="41" t="n">
        <x:f>M41+L42</x:f>
        <x:v>118577.99999999996</x:v>
      </x:c>
      <x:c r="N42" s="41" t="n">
        <x:f>J42-L42</x:f>
        <x:v>3108.0249999999996</x:v>
      </x:c>
      <x:c r="O42" s="41" t="n">
        <x:f>K42-M42</x:f>
        <x:v>26462.999999999956</x:v>
      </x:c>
      <x:c r="P42" s="41" t="n">
        <x:f>20000+O42</x:f>
        <x:v>46462.999999999956</x:v>
      </x:c>
      <x:c r="Q42" s="43" t="n">
        <x:v>2600</x:v>
      </x:c>
      <x:c r="R42" s="43" t="n">
        <x:v>167</x:v>
      </x:c>
      <x:c r="S42" s="15" t="str"/>
    </x:row>
    <x:row r="43">
      <x:c r="A43" s="45" t="n">
        <x:v>2</x:v>
      </x:c>
      <x:c r="B43" s="43" t="str">
        <x:v>霜降</x:v>
      </x:c>
      <x:c r="C43" s="43" t="n">
        <x:v>4</x:v>
      </x:c>
      <x:c r="D43" s="41" t="n">
        <x:v>0</x:v>
      </x:c>
      <x:c r="E43" s="41" t="n">
        <x:v>4000</x:v>
      </x:c>
      <x:c r="F43" s="41" t="n">
        <x:v>427.625</x:v>
      </x:c>
      <x:c r="G43" s="41" t="n">
        <x:v>230.4</x:v>
      </x:c>
      <x:c r="H43" s="41" t="n">
        <x:v>15000</x:v>
      </x:c>
      <x:c r="I43" s="69" t="n">
        <x:v>1000</x:v>
      </x:c>
      <x:c r="J43" s="69" t="n">
        <x:f>SUM(D43:I43)</x:f>
        <x:v>20658.025</x:v>
      </x:c>
      <x:c r="K43" s="69" t="n">
        <x:f>K42+J43</x:f>
        <x:v>165699.0249999999</x:v>
      </x:c>
      <x:c r="L43" s="69" t="n">
        <x:v>4276.4</x:v>
      </x:c>
      <x:c r="M43" s="69" t="n">
        <x:f>M42+L43</x:f>
        <x:v>122854.39999999995</x:v>
      </x:c>
      <x:c r="N43" s="69" t="n">
        <x:f>J43-L43</x:f>
        <x:v>16381.625000000002</x:v>
      </x:c>
      <x:c r="O43" s="69" t="n">
        <x:f>K43-M43</x:f>
        <x:v>42844.624999999956</x:v>
      </x:c>
      <x:c r="P43" s="69" t="n">
        <x:f>20000+O43</x:f>
        <x:v>62844.624999999956</x:v>
      </x:c>
      <x:c r="Q43" s="70" t="n">
        <x:v>2640</x:v>
      </x:c>
      <x:c r="R43" s="70" t="n">
        <x:v>171</x:v>
      </x:c>
      <x:c r="S43" s="71" t="str">
        <x:v>017_02 杨善泉治疗成功（银钱+1000）</x:v>
      </x:c>
    </x:row>
    <x:row r="44">
      <x:c r="A44" s="45" t="n">
        <x:v>2</x:v>
      </x:c>
      <x:c r="B44" s="43" t="str">
        <x:v>立冬</x:v>
      </x:c>
      <x:c r="C44" s="43" t="n">
        <x:v>4</x:v>
      </x:c>
      <x:c r="D44" s="41" t="n">
        <x:v>0</x:v>
      </x:c>
      <x:c r="E44" s="41" t="n">
        <x:v>4000</x:v>
      </x:c>
      <x:c r="F44" s="41" t="n">
        <x:v>427.625</x:v>
      </x:c>
      <x:c r="G44" s="41" t="n">
        <x:v>230.4</x:v>
      </x:c>
      <x:c r="H44" s="41" t="n">
        <x:v>0</x:v>
      </x:c>
      <x:c r="I44" s="41" t="n">
        <x:v>0</x:v>
      </x:c>
      <x:c r="J44" s="41" t="n">
        <x:f>SUM(D44:I44)</x:f>
        <x:v>4658.025</x:v>
      </x:c>
      <x:c r="K44" s="41" t="n">
        <x:f>K43+J44</x:f>
        <x:v>170357.0499999999</x:v>
      </x:c>
      <x:c r="L44" s="41" t="n">
        <x:v>4750</x:v>
      </x:c>
      <x:c r="M44" s="41" t="n">
        <x:f>M43+L44</x:f>
        <x:v>127604.39999999995</x:v>
      </x:c>
      <x:c r="N44" s="41" t="n">
        <x:f>J44-L44</x:f>
        <x:v>-91.97500000000036</x:v>
      </x:c>
      <x:c r="O44" s="41" t="n">
        <x:f>K44-M44</x:f>
        <x:v>42752.64999999995</x:v>
      </x:c>
      <x:c r="P44" s="41" t="n">
        <x:f>20000+O44</x:f>
        <x:v>62752.64999999995</x:v>
      </x:c>
      <x:c r="Q44" s="43" t="n">
        <x:v>2680</x:v>
      </x:c>
      <x:c r="R44" s="43" t="n">
        <x:v>175</x:v>
      </x:c>
      <x:c r="S44" s="15" t="str"/>
    </x:row>
    <x:row r="45">
      <x:c r="A45" s="45" t="n">
        <x:v>2</x:v>
      </x:c>
      <x:c r="B45" s="43" t="str">
        <x:v>小雪</x:v>
      </x:c>
      <x:c r="C45" s="43" t="n">
        <x:v>4</x:v>
      </x:c>
      <x:c r="D45" s="41" t="n">
        <x:v>0</x:v>
      </x:c>
      <x:c r="E45" s="41" t="n">
        <x:v>4000</x:v>
      </x:c>
      <x:c r="F45" s="41" t="n">
        <x:v>427.625</x:v>
      </x:c>
      <x:c r="G45" s="41" t="n">
        <x:v>230.4</x:v>
      </x:c>
      <x:c r="H45" s="41" t="n">
        <x:v>0</x:v>
      </x:c>
      <x:c r="I45" s="41" t="n">
        <x:v>0</x:v>
      </x:c>
      <x:c r="J45" s="41" t="n">
        <x:f>SUM(D45:I45)</x:f>
        <x:v>4658.025</x:v>
      </x:c>
      <x:c r="K45" s="41" t="n">
        <x:f>K44+J45</x:f>
        <x:v>175015.0749999999</x:v>
      </x:c>
      <x:c r="L45" s="41" t="n">
        <x:v>2776.4</x:v>
      </x:c>
      <x:c r="M45" s="41" t="n">
        <x:f>M44+L45</x:f>
        <x:v>130380.79999999994</x:v>
      </x:c>
      <x:c r="N45" s="41" t="n">
        <x:f>J45-L45</x:f>
        <x:v>1881.6249999999995</x:v>
      </x:c>
      <x:c r="O45" s="41" t="n">
        <x:f>K45-M45</x:f>
        <x:v>44634.27499999995</x:v>
      </x:c>
      <x:c r="P45" s="41" t="n">
        <x:f>20000+O45</x:f>
        <x:v>64634.27499999995</x:v>
      </x:c>
      <x:c r="Q45" s="43" t="n">
        <x:v>2720</x:v>
      </x:c>
      <x:c r="R45" s="43" t="n">
        <x:v>179</x:v>
      </x:c>
      <x:c r="S45" s="15" t="str"/>
    </x:row>
    <x:row r="46">
      <x:c r="A46" s="45" t="n">
        <x:v>2</x:v>
      </x:c>
      <x:c r="B46" s="43" t="str">
        <x:v>大雪</x:v>
      </x:c>
      <x:c r="C46" s="43" t="n">
        <x:v>4</x:v>
      </x:c>
      <x:c r="D46" s="41" t="n">
        <x:v>0</x:v>
      </x:c>
      <x:c r="E46" s="41" t="n">
        <x:v>4000</x:v>
      </x:c>
      <x:c r="F46" s="41" t="n">
        <x:v>427.625</x:v>
      </x:c>
      <x:c r="G46" s="41" t="n">
        <x:v>230.4</x:v>
      </x:c>
      <x:c r="H46" s="41" t="n">
        <x:v>0</x:v>
      </x:c>
      <x:c r="I46" s="41" t="n">
        <x:v>0</x:v>
      </x:c>
      <x:c r="J46" s="41" t="n">
        <x:f>SUM(D46:I46)</x:f>
        <x:v>4658.025</x:v>
      </x:c>
      <x:c r="K46" s="41" t="n">
        <x:f>K45+J46</x:f>
        <x:v>179673.0999999999</x:v>
      </x:c>
      <x:c r="L46" s="41" t="n">
        <x:v>1550</x:v>
      </x:c>
      <x:c r="M46" s="41" t="n">
        <x:f>M45+L46</x:f>
        <x:v>131930.79999999993</x:v>
      </x:c>
      <x:c r="N46" s="41" t="n">
        <x:f>J46-L46</x:f>
        <x:v>3108.0249999999996</x:v>
      </x:c>
      <x:c r="O46" s="41" t="n">
        <x:f>K46-M46</x:f>
        <x:v>47742.29999999996</x:v>
      </x:c>
      <x:c r="P46" s="41" t="n">
        <x:f>20000+O46</x:f>
        <x:v>67742.29999999996</x:v>
      </x:c>
      <x:c r="Q46" s="43" t="n">
        <x:v>2760</x:v>
      </x:c>
      <x:c r="R46" s="43" t="n">
        <x:v>183</x:v>
      </x:c>
      <x:c r="S46" s="15" t="str"/>
    </x:row>
    <x:row r="47">
      <x:c r="A47" s="45" t="n">
        <x:v>2</x:v>
      </x:c>
      <x:c r="B47" s="43" t="str">
        <x:v>冬至</x:v>
      </x:c>
      <x:c r="C47" s="43" t="n">
        <x:v>4</x:v>
      </x:c>
      <x:c r="D47" s="41" t="n">
        <x:v>0</x:v>
      </x:c>
      <x:c r="E47" s="41" t="n">
        <x:v>4000</x:v>
      </x:c>
      <x:c r="F47" s="41" t="n">
        <x:v>427.625</x:v>
      </x:c>
      <x:c r="G47" s="41" t="n">
        <x:v>230.4</x:v>
      </x:c>
      <x:c r="H47" s="41" t="n">
        <x:v>0</x:v>
      </x:c>
      <x:c r="I47" s="41" t="n">
        <x:v>0</x:v>
      </x:c>
      <x:c r="J47" s="41" t="n">
        <x:f>SUM(D47:I47)</x:f>
        <x:v>4658.025</x:v>
      </x:c>
      <x:c r="K47" s="41" t="n">
        <x:f>K46+J47</x:f>
        <x:v>184331.12499999988</x:v>
      </x:c>
      <x:c r="L47" s="41" t="n">
        <x:v>2776.4</x:v>
      </x:c>
      <x:c r="M47" s="41" t="n">
        <x:f>M46+L47</x:f>
        <x:v>134707.19999999992</x:v>
      </x:c>
      <x:c r="N47" s="41" t="n">
        <x:f>J47-L47</x:f>
        <x:v>1881.6249999999995</x:v>
      </x:c>
      <x:c r="O47" s="41" t="n">
        <x:f>K47-M47</x:f>
        <x:v>49623.92499999996</x:v>
      </x:c>
      <x:c r="P47" s="41" t="n">
        <x:f>20000+O47</x:f>
        <x:v>69623.92499999996</x:v>
      </x:c>
      <x:c r="Q47" s="43" t="n">
        <x:v>2800</x:v>
      </x:c>
      <x:c r="R47" s="43" t="n">
        <x:v>187</x:v>
      </x:c>
      <x:c r="S47" s="15" t="str"/>
    </x:row>
    <x:row r="48">
      <x:c r="A48" s="45" t="n">
        <x:v>2</x:v>
      </x:c>
      <x:c r="B48" s="43" t="str">
        <x:v>小寒</x:v>
      </x:c>
      <x:c r="C48" s="43" t="n">
        <x:v>4</x:v>
      </x:c>
      <x:c r="D48" s="41" t="n">
        <x:v>0</x:v>
      </x:c>
      <x:c r="E48" s="41" t="n">
        <x:v>4000</x:v>
      </x:c>
      <x:c r="F48" s="41" t="n">
        <x:v>427.625</x:v>
      </x:c>
      <x:c r="G48" s="41" t="n">
        <x:v>230.4</x:v>
      </x:c>
      <x:c r="H48" s="41" t="n">
        <x:v>0</x:v>
      </x:c>
      <x:c r="I48" s="41" t="n">
        <x:v>0</x:v>
      </x:c>
      <x:c r="J48" s="41" t="n">
        <x:f>SUM(D48:I48)</x:f>
        <x:v>4658.025</x:v>
      </x:c>
      <x:c r="K48" s="41" t="n">
        <x:f>K47+J48</x:f>
        <x:v>188989.14999999988</x:v>
      </x:c>
      <x:c r="L48" s="41" t="n">
        <x:v>1550</x:v>
      </x:c>
      <x:c r="M48" s="41" t="n">
        <x:f>M47+L48</x:f>
        <x:v>136257.19999999992</x:v>
      </x:c>
      <x:c r="N48" s="41" t="n">
        <x:f>J48-L48</x:f>
        <x:v>3108.0249999999996</x:v>
      </x:c>
      <x:c r="O48" s="41" t="n">
        <x:f>K48-M48</x:f>
        <x:v>52731.94999999995</x:v>
      </x:c>
      <x:c r="P48" s="41" t="n">
        <x:f>20000+O48</x:f>
        <x:v>72731.94999999995</x:v>
      </x:c>
      <x:c r="Q48" s="43" t="n">
        <x:v>2840</x:v>
      </x:c>
      <x:c r="R48" s="43" t="n">
        <x:v>191</x:v>
      </x:c>
      <x:c r="S48" s="15" t="str"/>
    </x:row>
    <x:row r="49">
      <x:c r="A49" s="46" t="n">
        <x:v>2</x:v>
      </x:c>
      <x:c r="B49" s="47" t="str">
        <x:v>大寒</x:v>
      </x:c>
      <x:c r="C49" s="47" t="n">
        <x:v>4</x:v>
      </x:c>
      <x:c r="D49" s="48" t="n">
        <x:v>0</x:v>
      </x:c>
      <x:c r="E49" s="48" t="n">
        <x:v>4000</x:v>
      </x:c>
      <x:c r="F49" s="48" t="n">
        <x:v>427.625</x:v>
      </x:c>
      <x:c r="G49" s="48" t="n">
        <x:v>230.4</x:v>
      </x:c>
      <x:c r="H49" s="48" t="n">
        <x:v>0</x:v>
      </x:c>
      <x:c r="I49" s="48" t="n">
        <x:v>0</x:v>
      </x:c>
      <x:c r="J49" s="48" t="n">
        <x:f>SUM(D49:I49)</x:f>
        <x:v>4658.025</x:v>
      </x:c>
      <x:c r="K49" s="48" t="n">
        <x:f>K48+J49</x:f>
        <x:v>193647.17499999987</x:v>
      </x:c>
      <x:c r="L49" s="48" t="n">
        <x:v>3376.4</x:v>
      </x:c>
      <x:c r="M49" s="48" t="n">
        <x:f>M48+L49</x:f>
        <x:v>139633.59999999992</x:v>
      </x:c>
      <x:c r="N49" s="48" t="n">
        <x:f>J49-L49</x:f>
        <x:v>1281.6249999999995</x:v>
      </x:c>
      <x:c r="O49" s="48" t="n">
        <x:f>K49-M49</x:f>
        <x:v>54013.57499999995</x:v>
      </x:c>
      <x:c r="P49" s="48" t="n">
        <x:f>20000+O49</x:f>
        <x:v>74013.57499999995</x:v>
      </x:c>
      <x:c r="Q49" s="47" t="n">
        <x:v>2880</x:v>
      </x:c>
      <x:c r="R49" s="47" t="n">
        <x:v>195</x:v>
      </x:c>
      <x:c r="S49" s="17" t="str"/>
    </x:row>
  </x:sheetData>
  <x:conditionalFormatting sqref="P2:P49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4" hidden="0" customWidth="1"/>
    <x:col min="5" max="5" width="18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6" hidden="0" customWidth="1"/>
  </x:cols>
  <x:sheetData>
    <x:row r="1">
      <x:c r="A1" s="12" t="str">
        <x:v>难度</x:v>
      </x:c>
      <x:c r="B1" s="32" t="str">
        <x:v>每天妙手回春</x:v>
      </x:c>
      <x:c r="C1" s="32" t="str">
        <x:v>李言闻/节气</x:v>
      </x:c>
      <x:c r="D1" s="32" t="str">
        <x:v>谢飞燕两笔触发</x:v>
      </x:c>
      <x:c r="E1" s="32" t="str">
        <x:v>世子触发</x:v>
      </x:c>
      <x:c r="F1" s="32" t="str">
        <x:v>前两年剧情银钱合计</x:v>
      </x:c>
      <x:c r="G1" s="32" t="str">
        <x:v>第一年收入</x:v>
      </x:c>
      <x:c r="H1" s="32" t="str">
        <x:v>第一年支出</x:v>
      </x:c>
      <x:c r="I1" s="32" t="str">
        <x:v>第一年收支差</x:v>
      </x:c>
      <x:c r="J1" s="32" t="str">
        <x:v>第一年末余额</x:v>
      </x:c>
      <x:c r="K1" s="32" t="str">
        <x:v>两年总收入</x:v>
      </x:c>
      <x:c r="L1" s="32" t="str">
        <x:v>两年总支出</x:v>
      </x:c>
      <x:c r="M1" s="32" t="str">
        <x:v>两年收支差</x:v>
      </x:c>
      <x:c r="N1" s="32" t="str">
        <x:v>两年末余额</x:v>
      </x:c>
      <x:c r="O1" s="32" t="str">
        <x:v>最低余额</x:v>
      </x:c>
      <x:c r="P1" s="13" t="str">
        <x:v>最低点</x:v>
      </x:c>
    </x:row>
    <x:row r="2">
      <x:c r="A2" s="45" t="str">
        <x:v>简单</x:v>
      </x:c>
      <x:c r="B2" s="43" t="n">
        <x:v>2</x:v>
      </x:c>
      <x:c r="C2" s="43" t="n">
        <x:v>1000</x:v>
      </x:c>
      <x:c r="D2" s="43" t="str">
        <x:v>第1年冬至、第1年大寒</x:v>
      </x:c>
      <x:c r="E2" s="43" t="str">
        <x:v>第2年惊蛰</x:v>
      </x:c>
      <x:c r="F2" s="41" t="n">
        <x:v>5000</x:v>
      </x:c>
      <x:c r="G2" s="41" t="n">
        <x:v>57787.28749999999</x:v>
      </x:c>
      <x:c r="H2" s="41" t="n">
        <x:v>69816.8</x:v>
      </x:c>
      <x:c r="I2" s="41" t="n">
        <x:v>-12029.512500000012</x:v>
      </x:c>
      <x:c r="J2" s="41" t="n">
        <x:v>7970.487499999988</x:v>
      </x:c>
      <x:c r="K2" s="41" t="n">
        <x:v>134883.58749999994</x:v>
      </x:c>
      <x:c r="L2" s="41" t="n">
        <x:v>139633.59999999992</x:v>
      </x:c>
      <x:c r="M2" s="41" t="n">
        <x:v>-4750.0124999999825</x:v>
      </x:c>
      <x:c r="N2" s="41" t="n">
        <x:v>15249.987500000017</x:v>
      </x:c>
      <x:c r="O2" s="41" t="n">
        <x:v>-106.01250000000437</x:v>
      </x:c>
      <x:c r="P2" s="87" t="str">
        <x:v>第1年秋分</x:v>
      </x:c>
    </x:row>
    <x:row r="3">
      <x:c r="A3" s="45" t="str">
        <x:v>普通</x:v>
      </x:c>
      <x:c r="B3" s="43" t="n">
        <x:v>3</x:v>
      </x:c>
      <x:c r="C3" s="43" t="n">
        <x:v>500</x:v>
      </x:c>
      <x:c r="D3" s="43" t="str">
        <x:v>第1年秋分、第1年寒露</x:v>
      </x:c>
      <x:c r="E3" s="43" t="str">
        <x:v>第1年小雪</x:v>
      </x:c>
      <x:c r="F3" s="41" t="n">
        <x:v>6000</x:v>
      </x:c>
      <x:c r="G3" s="41" t="n">
        <x:v>58770.93125000001</x:v>
      </x:c>
      <x:c r="H3" s="41" t="n">
        <x:v>69816.8</x:v>
      </x:c>
      <x:c r="I3" s="41" t="n">
        <x:v>-11045.868749999994</x:v>
      </x:c>
      <x:c r="J3" s="41" t="n">
        <x:v>8954.131250000006</x:v>
      </x:c>
      <x:c r="K3" s="41" t="n">
        <x:v>161615.38124999998</x:v>
      </x:c>
      <x:c r="L3" s="41" t="n">
        <x:v>139633.59999999992</x:v>
      </x:c>
      <x:c r="M3" s="41" t="n">
        <x:v>21981.78125000006</x:v>
      </x:c>
      <x:c r="N3" s="41" t="n">
        <x:v>41981.78125000006</x:v>
      </x:c>
      <x:c r="O3" s="41" t="n">
        <x:v>-1788.4187500000044</x:v>
      </x:c>
      <x:c r="P3" s="87" t="str">
        <x:v>第1年秋分</x:v>
      </x:c>
    </x:row>
    <x:row r="4">
      <x:c r="A4" s="46" t="str">
        <x:v>困难</x:v>
      </x:c>
      <x:c r="B4" s="47" t="n">
        <x:v>4</x:v>
      </x:c>
      <x:c r="C4" s="47" t="n">
        <x:v>0</x:v>
      </x:c>
      <x:c r="D4" s="47" t="str">
        <x:v>第1年大暑、第1年立秋</x:v>
      </x:c>
      <x:c r="E4" s="47" t="str">
        <x:v>第1年白露</x:v>
      </x:c>
      <x:c r="F4" s="48" t="n">
        <x:v>7000</x:v>
      </x:c>
      <x:c r="G4" s="48" t="n">
        <x:v>62354.57500000001</x:v>
      </x:c>
      <x:c r="H4" s="48" t="n">
        <x:v>69816.8</x:v>
      </x:c>
      <x:c r="I4" s="48" t="n">
        <x:v>-7462.224999999991</x:v>
      </x:c>
      <x:c r="J4" s="48" t="n">
        <x:v>12537.775000000009</x:v>
      </x:c>
      <x:c r="K4" s="48" t="n">
        <x:v>193647.17499999987</x:v>
      </x:c>
      <x:c r="L4" s="48" t="n">
        <x:v>139633.59999999992</x:v>
      </x:c>
      <x:c r="M4" s="48" t="n">
        <x:v>54013.57499999995</x:v>
      </x:c>
      <x:c r="N4" s="48" t="n">
        <x:v>74013.57499999995</x:v>
      </x:c>
      <x:c r="O4" s="48" t="n">
        <x:v>-1981.7500000000036</x:v>
      </x:c>
      <x:c r="P4" s="88" t="str">
        <x:v>第1年小暑</x:v>
      </x:c>
    </x:row>
    <x:row r="7">
      <x:c r="A7" s="99" t="str">
        <x:v>难度</x:v>
      </x:c>
      <x:c r="B7" s="100" t="str">
        <x:v>剧情</x:v>
      </x:c>
      <x:c r="C7" s="100" t="str">
        <x:v>触发节气</x:v>
      </x:c>
      <x:c r="D7" s="100" t="str">
        <x:v>银钱奖励</x:v>
      </x:c>
      <x:c r="E7" s="100" t="str">
        <x:v>名望/心得影响</x:v>
      </x:c>
      <x:c r="F7" s="101" t="str">
        <x:v>说明</x:v>
      </x:c>
    </x:row>
    <x:row r="8">
      <x:c r="A8" s="105" t="str">
        <x:v>简单</x:v>
      </x:c>
      <x:c r="B8" s="106" t="str">
        <x:v>023_02 谢飞燕肺气虚</x:v>
      </x:c>
      <x:c r="C8" s="106" t="str">
        <x:v>第1年冬至</x:v>
      </x:c>
      <x:c r="D8" s="107" t="n">
        <x:v>1000</x:v>
      </x:c>
      <x:c r="E8" s="106" t="str"/>
      <x:c r="F8" s="24" t="str">
        <x:v>同一节气若有多个剧情，奖励合并计入该节气</x:v>
      </x:c>
    </x:row>
    <x:row r="9">
      <x:c r="A9" s="105" t="str">
        <x:v>简单</x:v>
      </x:c>
      <x:c r="B9" s="106" t="str">
        <x:v>024_02 谢飞燕肺阴虚</x:v>
      </x:c>
      <x:c r="C9" s="106" t="str">
        <x:v>第1年大寒</x:v>
      </x:c>
      <x:c r="D9" s="107" t="n">
        <x:v>1000</x:v>
      </x:c>
      <x:c r="E9" s="106" t="str"/>
      <x:c r="F9" s="24" t="str">
        <x:v>同一节气若有多个剧情，奖励合并计入该节气</x:v>
      </x:c>
    </x:row>
    <x:row r="10">
      <x:c r="A10" s="105" t="str">
        <x:v>简单</x:v>
      </x:c>
      <x:c r="B10" s="106" t="str">
        <x:v>024_04 王百堂来访（心得+7）；005_02 治愈世子（银钱+1000，名望+1000）</x:v>
      </x:c>
      <x:c r="C10" s="106" t="str">
        <x:v>第2年惊蛰</x:v>
      </x:c>
      <x:c r="D10" s="107" t="n">
        <x:v>1000</x:v>
      </x:c>
      <x:c r="E10" s="106" t="str">
        <x:v>名望+1000、心得+7</x:v>
      </x:c>
      <x:c r="F10" s="24" t="str">
        <x:v>同一节气若有多个剧情，奖励合并计入该节气</x:v>
      </x:c>
    </x:row>
    <x:row r="11">
      <x:c r="A11" s="105" t="str">
        <x:v>简单</x:v>
      </x:c>
      <x:c r="B11" s="106" t="str">
        <x:v>025_02 和尚肾精不足</x:v>
      </x:c>
      <x:c r="C11" s="106" t="str">
        <x:v>第2年大寒</x:v>
      </x:c>
      <x:c r="D11" s="107" t="n">
        <x:v>2000</x:v>
      </x:c>
      <x:c r="E11" s="106" t="str"/>
      <x:c r="F11" s="24" t="str">
        <x:v>同一节气若有多个剧情，奖励合并计入该节气</x:v>
      </x:c>
    </x:row>
    <x:row r="12">
      <x:c r="A12" s="105" t="str">
        <x:v>普通</x:v>
      </x:c>
      <x:c r="B12" s="106" t="str">
        <x:v>023_02 谢飞燕肺气虚</x:v>
      </x:c>
      <x:c r="C12" s="106" t="str">
        <x:v>第1年秋分</x:v>
      </x:c>
      <x:c r="D12" s="107" t="n">
        <x:v>1000</x:v>
      </x:c>
      <x:c r="E12" s="106" t="str"/>
      <x:c r="F12" s="24" t="str">
        <x:v>同一节气若有多个剧情，奖励合并计入该节气</x:v>
      </x:c>
    </x:row>
    <x:row r="13">
      <x:c r="A13" s="105" t="str">
        <x:v>普通</x:v>
      </x:c>
      <x:c r="B13" s="106" t="str">
        <x:v>024_02 谢飞燕肺阴虚</x:v>
      </x:c>
      <x:c r="C13" s="106" t="str">
        <x:v>第1年寒露</x:v>
      </x:c>
      <x:c r="D13" s="107" t="n">
        <x:v>1000</x:v>
      </x:c>
      <x:c r="E13" s="106" t="str"/>
      <x:c r="F13" s="24" t="str">
        <x:v>同一节气若有多个剧情，奖励合并计入该节气</x:v>
      </x:c>
    </x:row>
    <x:row r="14">
      <x:c r="A14" s="105" t="str">
        <x:v>普通</x:v>
      </x:c>
      <x:c r="B14" s="106" t="str">
        <x:v>024_04 王百堂来访（心得+7）；005_02 治愈世子（银钱+1000，名望+1000）</x:v>
      </x:c>
      <x:c r="C14" s="106" t="str">
        <x:v>第1年小雪</x:v>
      </x:c>
      <x:c r="D14" s="107" t="n">
        <x:v>1000</x:v>
      </x:c>
      <x:c r="E14" s="106" t="str">
        <x:v>名望+1000、心得+7</x:v>
      </x:c>
      <x:c r="F14" s="24" t="str">
        <x:v>同一节气若有多个剧情，奖励合并计入该节气</x:v>
      </x:c>
    </x:row>
    <x:row r="15">
      <x:c r="A15" s="105" t="str">
        <x:v>普通</x:v>
      </x:c>
      <x:c r="B15" s="106" t="str">
        <x:v>025_02 和尚肾精不足</x:v>
      </x:c>
      <x:c r="C15" s="106" t="str">
        <x:v>第2年芒种</x:v>
      </x:c>
      <x:c r="D15" s="107" t="n">
        <x:v>2000</x:v>
      </x:c>
      <x:c r="E15" s="106" t="str"/>
      <x:c r="F15" s="24" t="str">
        <x:v>同一节气若有多个剧情，奖励合并计入该节气</x:v>
      </x:c>
    </x:row>
    <x:row r="16">
      <x:c r="A16" s="105" t="str">
        <x:v>普通</x:v>
      </x:c>
      <x:c r="B16" s="106" t="str">
        <x:v>014_02 沈修文治疗成功</x:v>
      </x:c>
      <x:c r="C16" s="106" t="str">
        <x:v>第2年小雪</x:v>
      </x:c>
      <x:c r="D16" s="107" t="n">
        <x:v>1000</x:v>
      </x:c>
      <x:c r="E16" s="106" t="str"/>
      <x:c r="F16" s="24" t="str">
        <x:v>同一节气若有多个剧情，奖励合并计入该节气</x:v>
      </x:c>
    </x:row>
    <x:row r="17">
      <x:c r="A17" s="105" t="str">
        <x:v>困难</x:v>
      </x:c>
      <x:c r="B17" s="106" t="str">
        <x:v>023_02 谢飞燕肺气虚</x:v>
      </x:c>
      <x:c r="C17" s="106" t="str">
        <x:v>第1年大暑</x:v>
      </x:c>
      <x:c r="D17" s="107" t="n">
        <x:v>1000</x:v>
      </x:c>
      <x:c r="E17" s="106" t="str"/>
      <x:c r="F17" s="24" t="str">
        <x:v>同一节气若有多个剧情，奖励合并计入该节气</x:v>
      </x:c>
    </x:row>
    <x:row r="18">
      <x:c r="A18" s="105" t="str">
        <x:v>困难</x:v>
      </x:c>
      <x:c r="B18" s="106" t="str">
        <x:v>024_02 谢飞燕肺阴虚</x:v>
      </x:c>
      <x:c r="C18" s="106" t="str">
        <x:v>第1年立秋</x:v>
      </x:c>
      <x:c r="D18" s="107" t="n">
        <x:v>1000</x:v>
      </x:c>
      <x:c r="E18" s="106" t="str"/>
      <x:c r="F18" s="24" t="str">
        <x:v>同一节气若有多个剧情，奖励合并计入该节气</x:v>
      </x:c>
    </x:row>
    <x:row r="19">
      <x:c r="A19" s="105" t="str">
        <x:v>困难</x:v>
      </x:c>
      <x:c r="B19" s="106" t="str">
        <x:v>005_02 治愈世子</x:v>
      </x:c>
      <x:c r="C19" s="106" t="str">
        <x:v>第1年白露</x:v>
      </x:c>
      <x:c r="D19" s="107" t="n">
        <x:v>1000</x:v>
      </x:c>
      <x:c r="E19" s="106" t="str">
        <x:v>名望+1000</x:v>
      </x:c>
      <x:c r="F19" s="24" t="str">
        <x:v>同一节气若有多个剧情，奖励合并计入该节气</x:v>
      </x:c>
    </x:row>
    <x:row r="20">
      <x:c r="A20" s="105" t="str">
        <x:v>困难</x:v>
      </x:c>
      <x:c r="B20" s="106" t="str">
        <x:v>024_04 王百堂来访</x:v>
      </x:c>
      <x:c r="C20" s="106" t="str">
        <x:v>第1年秋分</x:v>
      </x:c>
      <x:c r="D20" s="107" t="n">
        <x:v>0</x:v>
      </x:c>
      <x:c r="E20" s="106" t="str">
        <x:v>心得+7</x:v>
      </x:c>
      <x:c r="F20" s="24" t="str">
        <x:v>同一节气若有多个剧情，奖励合并计入该节气</x:v>
      </x:c>
    </x:row>
    <x:row r="21">
      <x:c r="A21" s="105" t="str">
        <x:v>困难</x:v>
      </x:c>
      <x:c r="B21" s="106" t="str">
        <x:v>025_02 和尚肾精不足</x:v>
      </x:c>
      <x:c r="C21" s="106" t="str">
        <x:v>第2年立春</x:v>
      </x:c>
      <x:c r="D21" s="107" t="n">
        <x:v>2000</x:v>
      </x:c>
      <x:c r="E21" s="106" t="str"/>
      <x:c r="F21" s="24" t="str">
        <x:v>同一节气若有多个剧情，奖励合并计入该节气</x:v>
      </x:c>
    </x:row>
    <x:row r="22">
      <x:c r="A22" s="105" t="str">
        <x:v>困难</x:v>
      </x:c>
      <x:c r="B22" s="106" t="str">
        <x:v>014_02 沈修文治疗成功</x:v>
      </x:c>
      <x:c r="C22" s="106" t="str">
        <x:v>第2年立秋</x:v>
      </x:c>
      <x:c r="D22" s="107" t="n">
        <x:v>1000</x:v>
      </x:c>
      <x:c r="E22" s="106" t="str"/>
      <x:c r="F22" s="24" t="str">
        <x:v>同一节气若有多个剧情，奖励合并计入该节气</x:v>
      </x:c>
    </x:row>
    <x:row r="23">
      <x:c r="A23" s="108" t="str">
        <x:v>困难</x:v>
      </x:c>
      <x:c r="B23" s="109" t="str">
        <x:v>017_02 杨善泉治疗成功</x:v>
      </x:c>
      <x:c r="C23" s="109" t="str">
        <x:v>第2年霜降</x:v>
      </x:c>
      <x:c r="D23" s="110" t="n">
        <x:v>1000</x:v>
      </x:c>
      <x:c r="E23" s="109" t="str"/>
      <x:c r="F23" s="25" t="str">
        <x:v>同一节气若有多个剧情，奖励合并计入该节气</x:v>
      </x:c>
    </x:row>
  </x:sheetData>
  <x:pageMargins left="0.7" right="0.7" top="0.75" bottom="0.75" header="0.3" footer="0.3"/>
</x:worksheet>
</file>