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c6e77565aa4179" /></Relationships>
</file>

<file path=xl/workbook.xml><?xml version="1.0" encoding="utf-8"?>
<x:workbook xmlns:x="http://schemas.openxmlformats.org/spreadsheetml/2006/main">
  <x:sheets>
    <x:sheet xmlns:r="http://schemas.openxmlformats.org/officeDocument/2006/relationships" name="Npc" sheetId="1" r:id="Rdaf3c36c0d604366"/>
    <x:sheet xmlns:r="http://schemas.openxmlformats.org/officeDocument/2006/relationships" name="Story" sheetId="2" r:id="Rc4bda24b0f4346ec"/>
    <x:sheet xmlns:r="http://schemas.openxmlformats.org/officeDocument/2006/relationships" name="StoryLine" sheetId="3" r:id="R18becd09d0dd4775"/>
    <x:sheet xmlns:r="http://schemas.openxmlformats.org/officeDocument/2006/relationships" name="Disease" sheetId="4" r:id="Re02295f4c6ac4890"/>
    <x:sheet xmlns:r="http://schemas.openxmlformats.org/officeDocument/2006/relationships" name="Pulse" sheetId="5" r:id="R34c262b0a5a84ccb"/>
    <x:sheet xmlns:r="http://schemas.openxmlformats.org/officeDocument/2006/relationships" name="Formula" sheetId="6" r:id="Rb2bb13e1acdb4a20"/>
    <x:sheet xmlns:r="http://schemas.openxmlformats.org/officeDocument/2006/relationships" name="FormulaIngredient" sheetId="7" r:id="R5c75ffb1e80343b1"/>
    <x:sheet xmlns:r="http://schemas.openxmlformats.org/officeDocument/2006/relationships" name="Herb" sheetId="8" r:id="R8dc1b50f46dd457d"/>
    <x:sheet xmlns:r="http://schemas.openxmlformats.org/officeDocument/2006/relationships" name="Book" sheetId="9" r:id="R58553e9c1e294875"/>
    <x:sheet xmlns:r="http://schemas.openxmlformats.org/officeDocument/2006/relationships" name="Theory" sheetId="10" r:id="Ra8e553cf5f5948ea"/>
  </x:sheets>
</x:workbook>
</file>

<file path=xl/sharedStrings.xml><?xml version="1.0" encoding="utf-8"?>
<x:sst xmlns:x="http://schemas.openxmlformats.org/spreadsheetml/2006/main">
  <x:si>
    <x:t xml:space="preserve">NpcID</x:t>
  </x:si>
  <x:si>
    <x:t xml:space="preserve">NpcName</x:t>
  </x:si>
  <x:si>
    <x:t xml:space="preserve">NpcType</x:t>
  </x:si>
  <x:si>
    <x:t xml:space="preserve">Gender</x:t>
  </x:si>
  <x:si>
    <x:t xml:space="preserve">Age</x:t>
  </x:si>
  <x:si>
    <x:t xml:space="preserve">DialoguePrefix</x:t>
  </x:si>
  <x:si>
    <x:t xml:space="preserve">DialogueSuffix</x:t>
  </x:si>
  <x:si>
    <x:t xml:space="preserve">DialogueAfterTreatment</x:t>
  </x:si>
  <x:si>
    <x:t xml:space="preserve">dialogueTreatmentFailed</x:t>
  </x:si>
  <x:si>
    <x:t xml:space="preserve">shen_xiu_wen</x:t>
  </x:si>
  <x:si>
    <x:t xml:space="preserve">沈修文</x:t>
  </x:si>
  <x:si>
    <x:t xml:space="preserve">story</x:t>
  </x:si>
  <x:si>
    <x:t xml:space="preserve">男</x:t>
  </x:si>
  <x:si>
    <x:t xml:space="preserve">lei_wan_jun</x:t>
  </x:si>
  <x:si>
    <x:t xml:space="preserve">雷万钧</x:t>
  </x:si>
  <x:si>
    <x:t xml:space="preserve">li_dong_bi</x:t>
  </x:si>
  <x:si>
    <x:t xml:space="preserve">李东璧</x:t>
  </x:si>
  <x:si>
    <x:t xml:space="preserve">li_yan_wen</x:t>
  </x:si>
  <x:si>
    <x:t xml:space="preserve">李言闻</x:t>
  </x:si>
  <x:si>
    <x:t xml:space="preserve">wu_zhi_lan</x:t>
  </x:si>
  <x:si>
    <x:t xml:space="preserve">吴芷兰</x:t>
  </x:si>
  <x:si>
    <x:t xml:space="preserve">女</x:t>
  </x:si>
  <x:si>
    <x:t xml:space="preserve">chen_pi</x:t>
  </x:si>
  <x:si>
    <x:t xml:space="preserve">陈皮</x:t>
  </x:si>
  <x:si>
    <x:t xml:space="preserve">ban_xia</x:t>
  </x:si>
  <x:si>
    <x:t xml:space="preserve">半夏</x:t>
  </x:si>
  <x:si>
    <x:t xml:space="preserve">gu_wen</x:t>
  </x:si>
  <x:si>
    <x:t xml:space="preserve">顾问</x:t>
  </x:si>
  <x:si>
    <x:t xml:space="preserve">chu_wang</x:t>
  </x:si>
  <x:si>
    <x:t xml:space="preserve">楚王</x:t>
  </x:si>
  <x:si>
    <x:t xml:space="preserve">shi_zi</x:t>
  </x:si>
  <x:si>
    <x:t xml:space="preserve">世子</x:t>
  </x:si>
  <x:si>
    <x:t xml:space="preserve">wang_fu_hu_wei</x:t>
  </x:si>
  <x:si>
    <x:t xml:space="preserve">王府护卫</x:t>
  </x:si>
  <x:si>
    <x:t xml:space="preserve">jia_quan</x:t>
  </x:si>
  <x:si>
    <x:t xml:space="preserve">贾荃</x:t>
  </x:si>
  <x:si>
    <x:t xml:space="preserve">lu_zhong</x:t>
  </x:si>
  <x:si>
    <x:t xml:space="preserve">陆忠</x:t>
  </x:si>
  <x:si>
    <x:t xml:space="preserve">wu_shi_liang</x:t>
  </x:si>
  <x:si>
    <x:t xml:space="preserve">吴世良</x:t>
  </x:si>
  <x:si>
    <x:t xml:space="preserve">ya_yi</x:t>
  </x:si>
  <x:si>
    <x:t xml:space="preserve">衙役</x:t>
  </x:si>
  <x:si>
    <x:t xml:space="preserve">yang_shan_quan</x:t>
  </x:si>
  <x:si>
    <x:t xml:space="preserve">杨善泉</x:t>
  </x:si>
  <x:si>
    <x:t xml:space="preserve">zhao_shun</x:t>
  </x:si>
  <x:si>
    <x:t xml:space="preserve">赵顺</x:t>
  </x:si>
  <x:si>
    <x:t xml:space="preserve">hei_yi_ren</x:t>
  </x:si>
  <x:si>
    <x:t xml:space="preserve">黑衣人</x:t>
  </x:si>
  <x:si>
    <x:t xml:space="preserve">lu_ding</x:t>
  </x:si>
  <x:si>
    <x:t xml:space="preserve">陆丁</x:t>
  </x:si>
  <x:si>
    <x:t xml:space="preserve">xing_kong</x:t>
  </x:si>
  <x:si>
    <x:t xml:space="preserve">性空</x:t>
  </x:si>
  <x:si>
    <x:t xml:space="preserve">liu_jing_ting</x:t>
  </x:si>
  <x:si>
    <x:t xml:space="preserve">柳敬亭</x:t>
  </x:si>
  <x:si>
    <x:t xml:space="preserve">xie_fei_yan</x:t>
  </x:si>
  <x:si>
    <x:t xml:space="preserve">谢飞燕</x:t>
  </x:si>
  <x:si>
    <x:t xml:space="preserve">wang_bai_tang</x:t>
  </x:si>
  <x:si>
    <x:t xml:space="preserve">王百堂</x:t>
  </x:si>
  <x:si>
    <x:t xml:space="preserve">jin_yi_ma</x:t>
  </x:si>
  <x:si>
    <x:t xml:space="preserve">金姨妈</x:t>
  </x:si>
  <x:si>
    <x:t xml:space="preserve">wang_wu</x:t>
  </x:si>
  <x:si>
    <x:t xml:space="preserve">王五</x:t>
  </x:si>
  <x:si>
    <x:t xml:space="preserve">random</x:t>
  </x:si>
  <x:si>
    <x:t xml:space="preserve">大夫，我这两天</x:t>
  </x:si>
  <x:si>
    <x:t xml:space="preserve">给我看看吧。</x:t>
  </x:si>
  <x:si>
    <x:t xml:space="preserve">多谢大夫，感觉好多了。</x:t>
  </x:si>
  <x:si>
    <x:t xml:space="preserve">还是好难受啊…</x:t>
  </x:si>
  <x:si>
    <x:t xml:space="preserve">wang_da_sao</x:t>
  </x:si>
  <x:si>
    <x:t xml:space="preserve">王大嫂</x:t>
  </x:si>
  <x:si>
    <x:t xml:space="preserve">先生，俺这两天</x:t>
  </x:si>
  <x:si>
    <x:t xml:space="preserve">您帮俺瞧瞧吧。</x:t>
  </x:si>
  <x:si>
    <x:t xml:space="preserve">麻烦先生了，我感觉好多了</x:t>
  </x:si>
  <x:si>
    <x:t xml:space="preserve">哎哟...哎哟…</x:t>
  </x:si>
  <x:si>
    <x:t xml:space="preserve">wang_chao_feng</x:t>
  </x:si>
  <x:si>
    <x:t xml:space="preserve">王朝奉</x:t>
  </x:si>
  <x:si>
    <x:t xml:space="preserve">咳咳，我最近</x:t>
  </x:si>
  <x:si>
    <x:t xml:space="preserve">您帮老夫瞧瞧吧。</x:t>
  </x:si>
  <x:si>
    <x:t xml:space="preserve">好多了，多谢大夫。</x:t>
  </x:si>
  <x:si>
    <x:t xml:space="preserve">你给我开的什么药啊…</x:t>
  </x:si>
  <x:si>
    <x:t xml:space="preserve">wang_lao_an_ren</x:t>
  </x:si>
  <x:si>
    <x:t xml:space="preserve">王老安人</x:t>
  </x:si>
  <x:si>
    <x:t xml:space="preserve">先生，老妇这两天</x:t>
  </x:si>
  <x:si>
    <x:t xml:space="preserve">劳烦您给我看看。</x:t>
  </x:si>
  <x:si>
    <x:t xml:space="preserve">真是多谢先生了，好多了</x:t>
  </x:si>
  <x:si>
    <x:t xml:space="preserve">咳咳咳，哎哟...</x:t>
  </x:si>
  <x:si>
    <x:t xml:space="preserve">huang_niu_er</x:t>
  </x:si>
  <x:si>
    <x:t xml:space="preserve">黄牛儿</x:t>
  </x:si>
  <x:si>
    <x:t xml:space="preserve">哎哟大夫，我</x:t>
  </x:si>
  <x:si>
    <x:t xml:space="preserve">快给我看看吧。</x:t>
  </x:si>
  <x:si>
    <x:t xml:space="preserve">真是太谢谢大夫了。</x:t>
  </x:si>
  <x:si>
    <x:t xml:space="preserve">感觉不太对啊…</x:t>
  </x:si>
  <x:si>
    <x:t xml:space="preserve">huang_qiu_ju</x:t>
  </x:si>
  <x:si>
    <x:t xml:space="preserve">黄秋菊</x:t>
  </x:si>
  <x:si>
    <x:t xml:space="preserve">我这两天</x:t>
  </x:si>
  <x:si>
    <x:t xml:space="preserve">请您给小女看看吧。</x:t>
  </x:si>
  <x:si>
    <x:t xml:space="preserve">多谢先生，我好多了。</x:t>
  </x:si>
  <x:si>
    <x:t xml:space="preserve">he_zhang_shao</x:t>
  </x:si>
  <x:si>
    <x:t xml:space="preserve">何掌勺</x:t>
  </x:si>
  <x:si>
    <x:t xml:space="preserve">先生，我最近</x:t>
  </x:si>
  <x:si>
    <x:t xml:space="preserve">大夫快给我看看吧。</x:t>
  </x:si>
  <x:si>
    <x:t xml:space="preserve">多谢先生了。</x:t>
  </x:si>
  <x:si>
    <x:t xml:space="preserve">zhou_lu_an</x:t>
  </x:si>
  <x:si>
    <x:t xml:space="preserve">周炉安</x:t>
  </x:si>
  <x:si>
    <x:t xml:space="preserve">先生，我这几天</x:t>
  </x:si>
  <x:si>
    <x:t xml:space="preserve">麻烦您给我看看。</x:t>
  </x:si>
  <x:si>
    <x:t xml:space="preserve">先生，我这病怎么还不见好？</x:t>
  </x:si>
  <x:si>
    <x:t xml:space="preserve">jiang_chuan_er</x:t>
  </x:si>
  <x:si>
    <x:t xml:space="preserve">蒋船儿</x:t>
  </x:si>
  <x:si>
    <x:t xml:space="preserve">大夫，我这几天</x:t>
  </x:si>
  <x:si>
    <x:t xml:space="preserve">嗯…哎哟…</x:t>
  </x:si>
  <x:si>
    <x:t xml:space="preserve">qin_san_niang</x:t>
  </x:si>
  <x:si>
    <x:t xml:space="preserve">秦三娘</x:t>
  </x:si>
  <x:si>
    <x:t xml:space="preserve">咳咳，大夫，我这几日</x:t>
  </x:si>
  <x:si>
    <x:t xml:space="preserve">多谢先生，感觉好多了。</x:t>
  </x:si>
  <x:si>
    <x:t xml:space="preserve">shi_gan</x:t>
  </x:si>
  <x:si>
    <x:t xml:space="preserve">石敢</x:t>
  </x:si>
  <x:si>
    <x:t xml:space="preserve">咳咳，先生我这两天</x:t>
  </x:si>
  <x:si>
    <x:t xml:space="preserve">您快帮我看看吧。</x:t>
  </x:si>
  <x:si>
    <x:t xml:space="preserve">哎呀，真是太感谢了，好多了。</x:t>
  </x:si>
  <x:si>
    <x:t xml:space="preserve">哎…奇怪…</x:t>
  </x:si>
  <x:si>
    <x:t xml:space="preserve">cha_bo_shi</x:t>
  </x:si>
  <x:si>
    <x:t xml:space="preserve">茶博士</x:t>
  </x:si>
  <x:si>
    <x:t xml:space="preserve">我最近几日</x:t>
  </x:si>
  <x:si>
    <x:t xml:space="preserve">劳烦先生给小可看看。</x:t>
  </x:si>
  <x:si>
    <x:t xml:space="preserve">哎呀，真是多谢先生了。</x:t>
  </x:si>
  <x:si>
    <x:t xml:space="preserve">感觉更不舒服了…</x:t>
  </x:si>
  <x:si>
    <x:t xml:space="preserve">shen_gui</x:t>
  </x:si>
  <x:si>
    <x:t xml:space="preserve">沈贵</x:t>
  </x:si>
  <x:si>
    <x:t xml:space="preserve">哎哟哟，我</x:t>
  </x:si>
  <x:si>
    <x:t xml:space="preserve">多谢多谢。</x:t>
  </x:si>
  <x:si>
    <x:t xml:space="preserve">你会不会看病啊？</x:t>
  </x:si>
  <x:si>
    <x:t xml:space="preserve">li_gou_dan</x:t>
  </x:si>
  <x:si>
    <x:t xml:space="preserve">李狗蛋</x:t>
  </x:si>
  <x:si>
    <x:t xml:space="preserve">请您给俺看看吧。</x:t>
  </x:si>
  <x:si>
    <x:t xml:space="preserve">li_si</x:t>
  </x:si>
  <x:si>
    <x:t xml:space="preserve">李四</x:t>
  </x:si>
  <x:si>
    <x:t xml:space="preserve">麻烦您帮我看看吧。</x:t>
  </x:si>
  <x:si>
    <x:t xml:space="preserve">多谢先生，我感觉好多了。</x:t>
  </x:si>
  <x:si>
    <x:t xml:space="preserve">大夫，我这病怎么还不见好？</x:t>
  </x:si>
  <x:si>
    <x:t xml:space="preserve">li_jiang_shi</x:t>
  </x:si>
  <x:si>
    <x:t xml:space="preserve">李姜氏</x:t>
  </x:si>
  <x:si>
    <x:t xml:space="preserve">我这几日</x:t>
  </x:si>
  <x:si>
    <x:t xml:space="preserve">劳烦先生给我看看。</x:t>
  </x:si>
  <x:si>
    <x:t xml:space="preserve">先生医术真是高明，多谢了</x:t>
  </x:si>
  <x:si>
    <x:t xml:space="preserve">嗯？感觉好奇怪啊…</x:t>
  </x:si>
  <x:si>
    <x:t xml:space="preserve">li_yuan_wai</x:t>
  </x:si>
  <x:si>
    <x:t xml:space="preserve">李员外</x:t>
  </x:si>
  <x:si>
    <x:t xml:space="preserve">小郎中啊，老夫这几日</x:t>
  </x:si>
  <x:si>
    <x:t xml:space="preserve">你给老夫瞧瞧。</x:t>
  </x:si>
  <x:si>
    <x:t xml:space="preserve">嗯，不错不错，医术高明啊。</x:t>
  </x:si>
  <x:si>
    <x:t xml:space="preserve">你这庸医，招摇撞骗！</x:t>
  </x:si>
  <x:si>
    <x:t xml:space="preserve">yan_po</x:t>
  </x:si>
  <x:si>
    <x:t xml:space="preserve">严婆</x:t>
  </x:si>
  <x:si>
    <x:t xml:space="preserve">请您帮我看看吧。</x:t>
  </x:si>
  <x:si>
    <x:t xml:space="preserve">感觉好多了，多谢先生。</x:t>
  </x:si>
  <x:si>
    <x:t xml:space="preserve">yan_bu_tou</x:t>
  </x:si>
  <x:si>
    <x:t xml:space="preserve">严捕头</x:t>
  </x:si>
  <x:si>
    <x:t xml:space="preserve">烦请先生给看看。</x:t>
  </x:si>
  <x:si>
    <x:t xml:space="preserve">好多了，多谢先生。</x:t>
  </x:si>
  <x:si>
    <x:t xml:space="preserve">feng_jun_bao</x:t>
  </x:si>
  <x:si>
    <x:t xml:space="preserve">冯军保</x:t>
  </x:si>
  <x:si>
    <x:t xml:space="preserve">liu_tai_gong</x:t>
  </x:si>
  <x:si>
    <x:t xml:space="preserve">刘太公</x:t>
  </x:si>
  <x:si>
    <x:t xml:space="preserve">先生啊，老朽这几日</x:t>
  </x:si>
  <x:si>
    <x:t xml:space="preserve">麻烦大夫啦，好多了。</x:t>
  </x:si>
  <x:si>
    <x:t xml:space="preserve">咳咳咳，哎哟…</x:t>
  </x:si>
  <x:si>
    <x:t xml:space="preserve">liu_da</x:t>
  </x:si>
  <x:si>
    <x:t xml:space="preserve">刘大</x:t>
  </x:si>
  <x:si>
    <x:t xml:space="preserve">大夫，俺这两天</x:t>
  </x:si>
  <x:si>
    <x:t xml:space="preserve">麻烦您帮俺看看吧。</x:t>
  </x:si>
  <x:si>
    <x:t xml:space="preserve">liu_wen_po</x:t>
  </x:si>
  <x:si>
    <x:t xml:space="preserve">刘稳婆</x:t>
  </x:si>
  <x:si>
    <x:t xml:space="preserve">先生啊，俺这几天</x:t>
  </x:si>
  <x:si>
    <x:t xml:space="preserve">哎哟，谢谢先生，您真是神医啊！</x:t>
  </x:si>
  <x:si>
    <x:t xml:space="preserve">哎，不对啊…</x:t>
  </x:si>
  <x:si>
    <x:t xml:space="preserve">liu_fu</x:t>
  </x:si>
  <x:si>
    <x:t xml:space="preserve">刘福</x:t>
  </x:si>
  <x:si>
    <x:t xml:space="preserve">大夫，我最近</x:t>
  </x:si>
  <x:si>
    <x:t xml:space="preserve">呃...不对啊。</x:t>
  </x:si>
  <x:si>
    <x:t xml:space="preserve">hua_jin_niang</x:t>
  </x:si>
  <x:si>
    <x:t xml:space="preserve">华锦娘</x:t>
  </x:si>
  <x:si>
    <x:t xml:space="preserve">劳烦先生您给小妇看看吧。</x:t>
  </x:si>
  <x:si>
    <x:t xml:space="preserve">您给我开的这是什么药啊…</x:t>
  </x:si>
  <x:si>
    <x:t xml:space="preserve">lv_tai_jun</x:t>
  </x:si>
  <x:si>
    <x:t xml:space="preserve">吕太君</x:t>
  </x:si>
  <x:si>
    <x:t xml:space="preserve">小先生啊，老婆子我最近</x:t>
  </x:si>
  <x:si>
    <x:t xml:space="preserve">您给我瞧瞧。</x:t>
  </x:si>
  <x:si>
    <x:t xml:space="preserve">多谢小先生，老婆子我好多啦。</x:t>
  </x:si>
  <x:si>
    <x:t xml:space="preserve">咳咳咳，你这开的是什么药啊？</x:t>
  </x:si>
  <x:si>
    <x:t xml:space="preserve">wu_ban_tou</x:t>
  </x:si>
  <x:si>
    <x:t xml:space="preserve">吴班头</x:t>
  </x:si>
  <x:si>
    <x:t xml:space="preserve">有劳先生了，感觉好多了。</x:t>
  </x:si>
  <x:si>
    <x:t xml:space="preserve">他娘的，你给我吃的是什么？</x:t>
  </x:si>
  <x:si>
    <x:t xml:space="preserve">sun_jiang_er</x:t>
  </x:si>
  <x:si>
    <x:t xml:space="preserve">孙匠儿</x:t>
  </x:si>
  <x:si>
    <x:t xml:space="preserve">先生，我这几日</x:t>
  </x:si>
  <x:si>
    <x:t xml:space="preserve">呃…不对啊</x:t>
  </x:si>
  <x:si>
    <x:t xml:space="preserve">sun_xiao_mei</x:t>
  </x:si>
  <x:si>
    <x:t xml:space="preserve">孙小妹</x:t>
  </x:si>
  <x:si>
    <x:t xml:space="preserve">咳咳咳，好难受啊</x:t>
  </x:si>
  <x:si>
    <x:t xml:space="preserve">zhang_san</x:t>
  </x:si>
  <x:si>
    <x:t xml:space="preserve">张三</x:t>
  </x:si>
  <x:si>
    <x:t xml:space="preserve">帮我看看吧。</x:t>
  </x:si>
  <x:si>
    <x:t xml:space="preserve">多谢大夫，我好多了。</x:t>
  </x:si>
  <x:si>
    <x:t xml:space="preserve">zhang_tu</x:t>
  </x:si>
  <x:si>
    <x:t xml:space="preserve">张屠</x:t>
  </x:si>
  <x:si>
    <x:t xml:space="preserve">哎哟大夫，俺</x:t>
  </x:si>
  <x:si>
    <x:t xml:space="preserve">快给俺看看吧。</x:t>
  </x:si>
  <x:si>
    <x:t xml:space="preserve">哈哈哈，太谢谢了。</x:t>
  </x:si>
  <x:si>
    <x:t xml:space="preserve">他娘的怎么感觉怪怪的</x:t>
  </x:si>
  <x:si>
    <x:t xml:space="preserve">zhang_you_shi</x:t>
  </x:si>
  <x:si>
    <x:t xml:space="preserve">张尤氏</x:t>
  </x:si>
  <x:si>
    <x:t xml:space="preserve">我最近几天</x:t>
  </x:si>
  <x:si>
    <x:t xml:space="preserve">请先生给我看看吧</x:t>
  </x:si>
  <x:si>
    <x:t xml:space="preserve">yang_xiu_cai</x:t>
  </x:si>
  <x:si>
    <x:t xml:space="preserve">杨秀才</x:t>
  </x:si>
  <x:si>
    <x:t xml:space="preserve">大夫，学生这几日</x:t>
  </x:si>
  <x:si>
    <x:t xml:space="preserve">请您给看看吧。</x:t>
  </x:si>
  <x:si>
    <x:t xml:space="preserve">有劳大夫了，我好多了。</x:t>
  </x:si>
  <x:si>
    <x:t xml:space="preserve">su_xiu_he</x:t>
  </x:si>
  <x:si>
    <x:t xml:space="preserve">苏绣荷</x:t>
  </x:si>
  <x:si>
    <x:t xml:space="preserve">麻烦您给小女子看看吧。</x:t>
  </x:si>
  <x:si>
    <x:t xml:space="preserve">好多了，真是太谢谢先生了。</x:t>
  </x:si>
  <x:si>
    <x:t xml:space="preserve">xu_xiang_jun</x:t>
  </x:si>
  <x:si>
    <x:t xml:space="preserve">许香君</x:t>
  </x:si>
  <x:si>
    <x:t xml:space="preserve">烦请先生给奴家看看。</x:t>
  </x:si>
  <x:si>
    <x:t xml:space="preserve">多谢先生了，我好多了。</x:t>
  </x:si>
  <x:si>
    <x:t xml:space="preserve">zhao_ya_po</x:t>
  </x:si>
  <x:si>
    <x:t xml:space="preserve">赵牙婆</x:t>
  </x:si>
  <x:si>
    <x:t xml:space="preserve">大夫，老婆子我这几日</x:t>
  </x:si>
  <x:si>
    <x:t xml:space="preserve">zhao_liu</x:t>
  </x:si>
  <x:si>
    <x:t xml:space="preserve">赵六</x:t>
  </x:si>
  <x:si>
    <x:t xml:space="preserve">zheng_er_jie</x:t>
  </x:si>
  <x:si>
    <x:t xml:space="preserve">郑二姐</x:t>
  </x:si>
  <x:si>
    <x:t xml:space="preserve">qian_bu_lou</x:t>
  </x:si>
  <x:si>
    <x:t xml:space="preserve">钱不漏</x:t>
  </x:si>
  <x:si>
    <x:t xml:space="preserve">我最近</x:t>
  </x:si>
  <x:si>
    <x:t xml:space="preserve">快快，快给我看看。</x:t>
  </x:si>
  <x:si>
    <x:t xml:space="preserve">谢啦。</x:t>
  </x:si>
  <x:si>
    <x:t xml:space="preserve">这开的是什么药，我要到官府告你！</x:t>
  </x:si>
  <x:si>
    <x:t xml:space="preserve">chen_shan_zhang</x:t>
  </x:si>
  <x:si>
    <x:t xml:space="preserve">陈山长</x:t>
  </x:si>
  <x:si>
    <x:t xml:space="preserve">大夫，我这几日</x:t>
  </x:si>
  <x:si>
    <x:t xml:space="preserve">大夫真是妙手回春啊。</x:t>
  </x:si>
  <x:si>
    <x:t xml:space="preserve">医术不精，还敢自称郎中！</x:t>
  </x:si>
  <x:si>
    <x:t xml:space="preserve">chen_er</x:t>
  </x:si>
  <x:si>
    <x:t xml:space="preserve">陈二</x:t>
  </x:si>
  <x:si>
    <x:t xml:space="preserve">chen_po</x:t>
  </x:si>
  <x:si>
    <x:t xml:space="preserve">陈婆</x:t>
  </x:si>
  <x:si>
    <x:t xml:space="preserve">先生，老婆子我这几日</x:t>
  </x:si>
  <x:si>
    <x:t xml:space="preserve">真是太谢谢先生了。</x:t>
  </x:si>
  <x:si>
    <x:t xml:space="preserve">han_zhang_gui</x:t>
  </x:si>
  <x:si>
    <x:t xml:space="preserve">韩掌柜</x:t>
  </x:si>
  <x:si>
    <x:t xml:space="preserve">多谢大夫啦。</x:t>
  </x:si>
  <x:si>
    <x:t xml:space="preserve">yao_zhang_gui</x:t>
  </x:si>
  <x:si>
    <x:t xml:space="preserve">姚掌柜</x:t>
  </x:si>
  <x:si>
    <x:t xml:space="preserve">先生，我这两天</x:t>
  </x:si>
  <x:si>
    <x:t xml:space="preserve">请您给看看。</x:t>
  </x:si>
  <x:si>
    <x:t xml:space="preserve">StoryID</x:t>
  </x:si>
  <x:si>
    <x:t xml:space="preserve">StoryName</x:t>
  </x:si>
  <x:si>
    <x:t xml:space="preserve">TriggerType</x:t>
  </x:si>
  <x:si>
    <x:t xml:space="preserve">TriggerScene</x:t>
  </x:si>
  <x:si>
    <x:t xml:space="preserve">ReturnScene</x:t>
  </x:si>
  <x:si>
    <x:t xml:space="preserve">TriggerDay</x:t>
  </x:si>
  <x:si>
    <x:t xml:space="preserve">TriggerReputation</x:t>
  </x:si>
  <x:si>
    <x:t xml:space="preserve">TriggerStoryID</x:t>
  </x:si>
  <x:si>
    <x:t xml:space="preserve">TriggerEntryId</x:t>
  </x:si>
  <x:si>
    <x:t xml:space="preserve">Disease</x:t>
  </x:si>
  <x:si>
    <x:t xml:space="preserve">ClinicNpcPortraitPath</x:t>
  </x:si>
  <x:si>
    <x:t xml:space="preserve">Reputation</x:t>
  </x:si>
  <x:si>
    <x:t xml:space="preserve">Experience</x:t>
  </x:si>
  <x:si>
    <x:t xml:space="preserve">PlayOnce</x:t>
  </x:si>
  <x:si>
    <x:t xml:space="preserve">SortIndex</x:t>
  </x:si>
  <x:si>
    <x:t xml:space="preserve">001</x:t>
  </x:si>
  <x:si>
    <x:t xml:space="preserve">落榜</x:t>
  </x:si>
  <x:si>
    <x:t xml:space="preserve">scene_enter</x:t>
  </x:si>
  <x:si>
    <x:t xml:space="preserve">clinic</x:t>
  </x:si>
  <x:si>
    <x:t xml:space="preserve">night</x:t>
  </x:si>
  <x:si>
    <x:t xml:space="preserve">002</x:t>
  </x:si>
  <x:si>
    <x:t xml:space="preserve">初学医术</x:t>
  </x:si>
  <x:si>
    <x:t xml:space="preserve">003</x:t>
  </x:si>
  <x:si>
    <x:t xml:space="preserve">第一次行医</x:t>
  </x:si>
  <x:si>
    <x:t xml:space="preserve">004_01</x:t>
  </x:si>
  <x:si>
    <x:t xml:space="preserve">老师心阳虚</x:t>
  </x:si>
  <x:si>
    <x:t xml:space="preserve">心阳虚</x:t>
  </x:si>
  <x:si>
    <x:t xml:space="preserve">res://Assets/Portrait/StoryNpc/gu_wen/gu_wen.png</x:t>
  </x:si>
  <x:si>
    <x:t xml:space="preserve">004_02</x:t>
  </x:si>
  <x:si>
    <x:t xml:space="preserve">004治疗成功</x:t>
  </x:si>
  <x:si>
    <x:t xml:space="preserve">story_npc_cured</x:t>
  </x:si>
  <x:si>
    <x:t xml:space="preserve">004_03</x:t>
  </x:si>
  <x:si>
    <x:t xml:space="preserve">004治疗失败</x:t>
  </x:si>
  <x:si>
    <x:t xml:space="preserve">story_npc_failed_retry</x:t>
  </x:si>
  <x:si>
    <x:t xml:space="preserve">004_04</x:t>
  </x:si>
  <x:si>
    <x:t xml:space="preserve">辞别老师</x:t>
  </x:si>
  <x:si>
    <x:t xml:space="preserve">005_01</x:t>
  </x:si>
  <x:si>
    <x:t xml:space="preserve">世子脾虚湿盛</x:t>
  </x:si>
  <x:si>
    <x:t xml:space="preserve">night_end</x:t>
  </x:si>
  <x:si>
    <x:t xml:space="preserve">脾虚湿盛</x:t>
  </x:si>
  <x:si>
    <x:t xml:space="preserve">res://Assets/Portrait/StoryNpc/shi_zi/shi_zi_sick.png</x:t>
  </x:si>
  <x:si>
    <x:t xml:space="preserve">005_02</x:t>
  </x:si>
  <x:si>
    <x:t xml:space="preserve">005治疗成功</x:t>
  </x:si>
  <x:si>
    <x:t xml:space="preserve">005_03</x:t>
  </x:si>
  <x:si>
    <x:t xml:space="preserve">005治疗失败</x:t>
  </x:si>
  <x:si>
    <x:t xml:space="preserve">story_npc_failed_over</x:t>
  </x:si>
  <x:si>
    <x:t xml:space="preserve">006</x:t>
  </x:si>
  <x:si>
    <x:t xml:space="preserve">药商来访</x:t>
  </x:si>
  <x:si>
    <x:t xml:space="preserve">人参</x:t>
  </x:si>
  <x:si>
    <x:t xml:space="preserve">007_01</x:t>
  </x:si>
  <x:si>
    <x:t xml:space="preserve">雷万钧肝阳上亢</x:t>
  </x:si>
  <x:si>
    <x:t xml:space="preserve">肝阳上亢</x:t>
  </x:si>
  <x:si>
    <x:t xml:space="preserve">res://Assets/Portrait/StoryNpc/lei_wan_jun/lei_wan_jun.png</x:t>
  </x:si>
  <x:si>
    <x:t xml:space="preserve">007_02</x:t>
  </x:si>
  <x:si>
    <x:t xml:space="preserve">007治疗成功</x:t>
  </x:si>
  <x:si>
    <x:t xml:space="preserve">007_03</x:t>
  </x:si>
  <x:si>
    <x:t xml:space="preserve">007治疗失败</x:t>
  </x:si>
  <x:si>
    <x:t xml:space="preserve">008_01</x:t>
  </x:si>
  <x:si>
    <x:t xml:space="preserve">贾荃痰火扰心</x:t>
  </x:si>
  <x:si>
    <x:t xml:space="preserve">痰火扰心</x:t>
  </x:si>
  <x:si>
    <x:t xml:space="preserve">res://Assets/Portrait/StoryNpc/jia_quan/jia_quan_sick.png</x:t>
  </x:si>
  <x:si>
    <x:t xml:space="preserve">008_02</x:t>
  </x:si>
  <x:si>
    <x:t xml:space="preserve">008治疗成功</x:t>
  </x:si>
  <x:si>
    <x:t xml:space="preserve">008_03</x:t>
  </x:si>
  <x:si>
    <x:t xml:space="preserve">008治疗失败</x:t>
  </x:si>
  <x:si>
    <x:t xml:space="preserve">009</x:t>
  </x:si>
  <x:si>
    <x:t xml:space="preserve">知州有请</x:t>
  </x:si>
  <x:si>
    <x:t xml:space="preserve">010</x:t>
  </x:si>
  <x:si>
    <x:t xml:space="preserve">药材到货</x:t>
  </x:si>
  <x:si>
    <x:t xml:space="preserve">011</x:t>
  </x:si>
  <x:si>
    <x:t xml:space="preserve">药材有假</x:t>
  </x:si>
  <x:si>
    <x:t xml:space="preserve">012</x:t>
  </x:si>
  <x:si>
    <x:t xml:space="preserve">孙大夫被抓</x:t>
  </x:si>
  <x:si>
    <x:t xml:space="preserve">013</x:t>
  </x:si>
  <x:si>
    <x:t xml:space="preserve">雷万钧来访</x:t>
  </x:si>
  <x:si>
    <x:t xml:space="preserve">014_01</x:t>
  </x:si>
  <x:si>
    <x:t xml:space="preserve">沈修文心脾两虚</x:t>
  </x:si>
  <x:si>
    <x:t xml:space="preserve">心脾两虚</x:t>
  </x:si>
  <x:si>
    <x:t xml:space="preserve">res://Assets/Portrait/StoryNpc/shen_xiu_wen/shen_xiu_wen.png</x:t>
  </x:si>
  <x:si>
    <x:t xml:space="preserve">014_02</x:t>
  </x:si>
  <x:si>
    <x:t xml:space="preserve">015治疗成功</x:t>
  </x:si>
  <x:si>
    <x:t xml:space="preserve">014_03</x:t>
  </x:si>
  <x:si>
    <x:t xml:space="preserve">015治疗失败</x:t>
  </x:si>
  <x:si>
    <x:t xml:space="preserve">015</x:t>
  </x:si>
  <x:si>
    <x:t xml:space="preserve">雷万钧归来</x:t>
  </x:si>
  <x:si>
    <x:t xml:space="preserve">016</x:t>
  </x:si>
  <x:si>
    <x:t xml:space="preserve">沈修文来访</x:t>
  </x:si>
  <x:si>
    <x:t xml:space="preserve">017_01</x:t>
  </x:si>
  <x:si>
    <x:t xml:space="preserve">杨善泉肾气不固</x:t>
  </x:si>
  <x:si>
    <x:t xml:space="preserve">肾气不固</x:t>
  </x:si>
  <x:si>
    <x:t xml:space="preserve">res://Assets/Portrait/StoryNpc/yang_shan_quan/yang_shan_quan_sick.png</x:t>
  </x:si>
  <x:si>
    <x:t xml:space="preserve">017_02</x:t>
  </x:si>
  <x:si>
    <x:t xml:space="preserve">018治疗成功</x:t>
  </x:si>
  <x:si>
    <x:t xml:space="preserve">017_03</x:t>
  </x:si>
  <x:si>
    <x:t xml:space="preserve">018治疗失败</x:t>
  </x:si>
  <x:si>
    <x:t xml:space="preserve">018</x:t>
  </x:si>
  <x:si>
    <x:t xml:space="preserve">库房失火</x:t>
  </x:si>
  <x:si>
    <x:t xml:space="preserve">019</x:t>
  </x:si>
  <x:si>
    <x:t xml:space="preserve">赵顺来访</x:t>
  </x:si>
  <x:si>
    <x:t xml:space="preserve">020</x:t>
  </x:si>
  <x:si>
    <x:t xml:space="preserve">夜晚遇刺</x:t>
  </x:si>
  <x:si>
    <x:t xml:space="preserve">021</x:t>
  </x:si>
  <x:si>
    <x:t xml:space="preserve">结案</x:t>
  </x:si>
  <x:si>
    <x:t xml:space="preserve">022_01</x:t>
  </x:si>
  <x:si>
    <x:t xml:space="preserve">柳敬亭温燥证</x:t>
  </x:si>
  <x:si>
    <x:t xml:space="preserve">温燥证</x:t>
  </x:si>
  <x:si>
    <x:t xml:space="preserve">res://Assets/Portrait/StoryNpc/liu_jing_ting/liu_jing_ting.png</x:t>
  </x:si>
  <x:si>
    <x:t xml:space="preserve">022_02</x:t>
  </x:si>
  <x:si>
    <x:t xml:space="preserve">022治疗成功</x:t>
  </x:si>
  <x:si>
    <x:t xml:space="preserve">022_03</x:t>
  </x:si>
  <x:si>
    <x:t xml:space="preserve">022治疗失败</x:t>
  </x:si>
  <x:si>
    <x:t xml:space="preserve">023_01</x:t>
  </x:si>
  <x:si>
    <x:t xml:space="preserve">谢飞燕肺气虚</x:t>
  </x:si>
  <x:si>
    <x:t xml:space="preserve">肺气虚</x:t>
  </x:si>
  <x:si>
    <x:t xml:space="preserve">res://Assets/Portrait/StoryNpc/xie_fei_yan/xie_fei_yan_sick.png</x:t>
  </x:si>
  <x:si>
    <x:t xml:space="preserve">023_02</x:t>
  </x:si>
  <x:si>
    <x:t xml:space="preserve">023治疗成功</x:t>
  </x:si>
  <x:si>
    <x:t xml:space="preserve">023_03</x:t>
  </x:si>
  <x:si>
    <x:t xml:space="preserve">023治疗失败</x:t>
  </x:si>
  <x:si>
    <x:t xml:space="preserve">024_01</x:t>
  </x:si>
  <x:si>
    <x:t xml:space="preserve">谢飞燕肺阴虚</x:t>
  </x:si>
  <x:si>
    <x:t xml:space="preserve">肺阴虚</x:t>
  </x:si>
  <x:si>
    <x:t xml:space="preserve">024_02</x:t>
  </x:si>
  <x:si>
    <x:t xml:space="preserve">024治疗成功</x:t>
  </x:si>
  <x:si>
    <x:t xml:space="preserve">024_03</x:t>
  </x:si>
  <x:si>
    <x:t xml:space="preserve">024治疗失败</x:t>
  </x:si>
  <x:si>
    <x:t xml:space="preserve">025_01</x:t>
  </x:si>
  <x:si>
    <x:t xml:space="preserve">和尚肾精不足</x:t>
  </x:si>
  <x:si>
    <x:t xml:space="preserve">肾精不足</x:t>
  </x:si>
  <x:si>
    <x:t xml:space="preserve">res://Assets/Portrait/StoryNpc/xing_kong/xing_kong_sick.png</x:t>
  </x:si>
  <x:si>
    <x:t xml:space="preserve">025_02</x:t>
  </x:si>
  <x:si>
    <x:t xml:space="preserve">025治疗成功</x:t>
  </x:si>
  <x:si>
    <x:t xml:space="preserve">025_03</x:t>
  </x:si>
  <x:si>
    <x:t xml:space="preserve">025治疗失败</x:t>
  </x:si>
  <x:si>
    <x:t xml:space="preserve">026_01</x:t>
  </x:si>
  <x:si>
    <x:t xml:space="preserve">吴芷兰妊娠</x:t>
  </x:si>
  <x:si>
    <x:t xml:space="preserve">妊娠</x:t>
  </x:si>
  <x:si>
    <x:t xml:space="preserve">res://Assets/Portrait/StoryNpc/wu_zhi_lan/wu_zhi_lan_sick.png</x:t>
  </x:si>
  <x:si>
    <x:t xml:space="preserve">026_02</x:t>
  </x:si>
  <x:si>
    <x:t xml:space="preserve">026治疗成功</x:t>
  </x:si>
  <x:si>
    <x:t xml:space="preserve">026_03</x:t>
  </x:si>
  <x:si>
    <x:t xml:space="preserve">026治疗失败</x:t>
  </x:si>
  <x:si>
    <x:t xml:space="preserve">LineIndex</x:t>
  </x:si>
  <x:si>
    <x:t xml:space="preserve">LineType</x:t>
  </x:si>
  <x:si>
    <x:t xml:space="preserve">Speaker</x:t>
  </x:si>
  <x:si>
    <x:t xml:space="preserve">PortraitSide</x:t>
  </x:si>
  <x:si>
    <x:t xml:space="preserve">PortraitPath</x:t>
  </x:si>
  <x:si>
    <x:t xml:space="preserve">Hide</x:t>
  </x:si>
  <x:si>
    <x:t xml:space="preserve">BackgroundPath</x:t>
  </x:si>
  <x:si>
    <x:t xml:space="preserve">Text</x:t>
  </x:si>
  <x:si>
    <x:t xml:space="preserve">subtitle</x:t>
  </x:si>
  <x:si>
    <x:t xml:space="preserve">res://Assets/Background/001/001.png</x:t>
  </x:si>
  <x:si>
    <x:t xml:space="preserve">明嘉靖十九年，武昌府放榜处</x:t>
  </x:si>
  <x:si>
    <x:t xml:space="preserve">dialogue</x:t>
  </x:si>
  <x:si>
    <x:t xml:space="preserve">right</x:t>
  </x:si>
  <x:si>
    <x:t xml:space="preserve">老爷，榜上没找到少爷的名字。</x:t>
  </x:si>
  <x:si>
    <x:t xml:space="preserve">left</x:t>
  </x:si>
  <x:si>
    <x:t xml:space="preserve">嘶...... 又没中......</x:t>
  </x:si>
  <x:si>
    <x:t xml:space="preserve">mid</x:t>
  </x:si>
  <x:si>
    <x:t xml:space="preserve">你们再仔细看看。</x:t>
  </x:si>
  <x:si>
    <x:t xml:space="preserve">我看了好几遍了，确实没有少爷的名字...</x:t>
  </x:si>
  <x:si>
    <x:t xml:space="preserve">考了三次都没中举，爹，看来我不是读书的材料...</x:t>
  </x:si>
  <x:si>
    <x:t xml:space="preserve">这说的是什么话，你看隔壁村那个老范，考了大半辈子童试，年过半百才中秀才，后来又中了举人，你这才哪儿到哪儿。</x:t>
  </x:si>
  <x:si>
    <x:t xml:space="preserve">我看我还是跟您学医吧，科举八股什么的，孩儿实在是学不来…</x:t>
  </x:si>
  <x:si>
    <x:t xml:space="preserve">学医哪里比得上做官有前途啊，你爹我行医一辈子，辛苦又赚不到钱不说，医得不好了还要受人白眼。</x:t>
  </x:si>
  <x:si>
    <x:t xml:space="preserve">可我真心喜欢研究那些药材方子，考证典籍，不赚钱我也愿意干。</x:t>
  </x:si>
  <x:si>
    <x:t xml:space="preserve">......也罢，科举考功名的学子千千万，可真能博取个功名的又有几人呢？东璧呀，你若真的想从医，今日起便随为父从《内经》、《本草》学起吧。</x:t>
  </x:si>
  <x:si>
    <x:t xml:space="preserve">李东璧十四岁考中秀才，可之后九年间三次参加乡试均告落榜，本就无心科举的李东璧决定开始随父亲学医</x:t>
  </x:si>
  <x:si>
    <x:t xml:space="preserve">res://Assets/Background/clinic/spring_night.png</x:t>
  </x:si>
  <x:si>
    <x:t xml:space="preserve">麻桂相须，增强发汗散寒之力，专治表实无汗。麻杏相使，宣降相配，专治寒邪闭肺之喘逆…</x:t>
  </x:si>
  <x:si>
    <x:t xml:space="preserve">相公，晚饭做好了，该吃饭了。</x:t>
  </x:si>
  <x:si>
    <x:t xml:space="preserve">来了来了。</x:t>
  </x:si>
  <x:si>
    <x:t xml:space="preserve">res://Assets/Background/002/002.png</x:t>
  </x:si>
  <x:si>
    <x:t xml:space="preserve">东璧啊，白天教你的都听明白了吗？</x:t>
  </x:si>
  <x:si>
    <x:t xml:space="preserve">都明白了，平常日子里看您治病，其实已经窥得些门道了。</x:t>
  </x:si>
  <x:si>
    <x:t xml:space="preserve">学医最要紧的是积累，吃完晚饭去把这些天教你的内容再看一遍，明日一早你随我一起出诊。</x:t>
  </x:si>
  <x:si>
    <x:t xml:space="preserve">哇，太好了！</x:t>
  </x:si>
  <x:si>
    <x:t xml:space="preserve">res://Assets/Background/clinic/spring.png</x:t>
  </x:si>
  <x:si>
    <x:t xml:space="preserve">从今天起，你就正式开始给病患治病。记住我教给你的，先把脉确定病性，辩证判断所患何病，再因病开方。如果记不住脉象，药方，就翻翻笔记。</x:t>
  </x:si>
  <x:si>
    <x:t xml:space="preserve">好了，病人已经在等着你了，快去吧。</x:t>
  </x:si>
  <x:si>
    <x:t xml:space="preserve">res://Assets/Background/004/004.png</x:t>
  </x:si>
  <x:si>
    <x:t xml:space="preserve">言闻兄别来无恙啊。</x:t>
  </x:si>
  <x:si>
    <x:t xml:space="preserve">哎哟，是日岩兄啊，失迎失迎。</x:t>
  </x:si>
  <x:si>
    <x:t xml:space="preserve">东璧近来如何啊？</x:t>
  </x:si>
  <x:si>
    <x:t xml:space="preserve">和我学了一年多医术，现在啊已经能自己出诊了。你还别说，这小子学得还挺快。</x:t>
  </x:si>
  <x:si>
    <x:t xml:space="preserve">顾先生，学生有礼了。</x:t>
  </x:si>
  <x:si>
    <x:t xml:space="preserve">正好我这几日不怎么舒服，东璧你给我看看。</x:t>
  </x:si>
  <x:si>
    <x:t xml:space="preserve">老师所患的是心阳虚之症，需注意休息，切勿过度操劳，学生这就去给您抓药。</x:t>
  </x:si>
  <x:si>
    <x:t xml:space="preserve">世人皆以为考取功名方为正途，你能认清本心承袭家学，济世安民，难得啊。</x:t>
  </x:si>
  <x:si>
    <x:t xml:space="preserve">学生愚钝，辜负了老师的教导…</x:t>
  </x:si>
  <x:si>
    <x:t xml:space="preserve">你是我最中意的门生，以前是，现在也是。</x:t>
  </x:si>
  <x:si>
    <x:t xml:space="preserve">人生在世不止科举取仕一条路，你能找到一条适合自己的路，为师很欣慰。</x:t>
  </x:si>
  <x:si>
    <x:t xml:space="preserve">承蒙老师教诲，学生定不负师恩，精进医术。</x:t>
  </x:si>
  <x:si>
    <x:t xml:space="preserve">不对，我需要好好想想这是什么病，该开什么方。</x:t>
  </x:si>
  <x:si>
    <x:t xml:space="preserve">current_scene</x:t>
  </x:si>
  <x:si>
    <x:t xml:space="preserve">哎呀，是老师来了，学生失迎。</x:t>
  </x:si>
  <x:si>
    <x:t xml:space="preserve">东璧啊，朝廷来了调令，命我去福建赴任。临走来看看你和你爹。</x:t>
  </x:si>
  <x:si>
    <x:t xml:space="preserve">老师请坐，我去给您泡壶茶。</x:t>
  </x:si>
  <x:si>
    <x:t xml:space="preserve">嗯，最近如何，学医有什么进展吗？</x:t>
  </x:si>
  <x:si>
    <x:t xml:space="preserve">学生行医时发现，医家经典所记载的药材方子，遗漏错误之处不可枚举。一方之误，害及数人，一药之讹，误尽苍生。</x:t>
  </x:si>
  <x:si>
    <x:t xml:space="preserve">学生想核对典籍，亲自验证药材方剂的功效，重新编写一部能为后人所用的医书。</x:t>
  </x:si>
  <x:si>
    <x:t xml:space="preserve">嗯，好啊东璧，你这想法甚好。</x:t>
  </x:si>
  <x:si>
    <x:t xml:space="preserve">宋儒张载有四句教："为天地立心，为生民立命，为往圣继绝学，为万世开太平"。</x:t>
  </x:si>
  <x:si>
    <x:t xml:space="preserve">若是能著成此书，真可谓是为生民立命，为往圣继绝学了啊。</x:t>
  </x:si>
  <x:si>
    <x:t xml:space="preserve">为生民立命，为往圣继绝学…学生记下了。</x:t>
  </x:si>
  <x:si>
    <x:t xml:space="preserve">res://Assets/Background/005/005_01.png</x:t>
  </x:si>
  <x:si>
    <x:t xml:space="preserve">咚咚咚...咚咚咚咚咚…</x:t>
  </x:si>
  <x:si>
    <x:t xml:space="preserve">大半夜的谁啊，谁在敲门啊？</x:t>
  </x:si>
  <x:si>
    <x:t xml:space="preserve">res://Assets/Background/005/005_02.png</x:t>
  </x:si>
  <x:si>
    <x:t xml:space="preserve">啊！！！我的妈呀！！</x:t>
  </x:si>
  <x:si>
    <x:t xml:space="preserve">出什么事儿了？</x:t>
  </x:si>
  <x:si>
    <x:t xml:space="preserve">啊！</x:t>
  </x:si>
  <x:si>
    <x:t xml:space="preserve">奉楚王谕令，请先生去王府走一趟。</x:t>
  </x:si>
  <x:si>
    <x:t xml:space="preserve">是什么人病了？要我去看病吗？</x:t>
  </x:si>
  <x:si>
    <x:t xml:space="preserve">事关重大您去了就知道了，马车已经备好了，请先生速速启程。</x:t>
  </x:si>
  <x:si>
    <x:t xml:space="preserve">res://Assets/Background/005/005_03.png</x:t>
  </x:si>
  <x:si>
    <x:t xml:space="preserve">一夜舟车劳顿，李东璧到了楚王府。</x:t>
  </x:si>
  <x:si>
    <x:t xml:space="preserve">您就是李神医啊，比我想得要年轻许多。请先生来，是小王有事相求。</x:t>
  </x:si>
  <x:si>
    <x:t xml:space="preserve">草民拜见王爷，有什么我能帮上忙的？</x:t>
  </x:si>
  <x:si>
    <x:t xml:space="preserve">res://Assets/Background/005/005_04.png</x:t>
  </x:si>
  <x:si>
    <x:t xml:space="preserve">犬子前些日子突然病倒了，卧床不起。精神萎靡，食欲不振。小王请了好几位大夫，给开了好多方子，都不见好转。眼见着人一天比一天瘦，再这么下去怕是要坏事了…</x:t>
  </x:si>
  <x:si>
    <x:t xml:space="preserve">听闻蕲州李先生医术高明，特请先生来给犬子医治。</x:t>
  </x:si>
  <x:si>
    <x:t xml:space="preserve">sick</x:t>
  </x:si>
  <x:si>
    <x:t xml:space="preserve">咳咳咳，父王…</x:t>
  </x:si>
  <x:si>
    <x:t xml:space="preserve">先生，小王就这么一个儿子，请您救救孩子吧。</x:t>
  </x:si>
  <x:si>
    <x:t xml:space="preserve">after</x:t>
  </x:si>
  <x:si>
    <x:t xml:space="preserve">父王，我觉得好多了</x:t>
  </x:si>
  <x:si>
    <x:t xml:space="preserve">世子所患的是脾虚湿盛之证，只要按方每日吃药，病情就无大碍了。</x:t>
  </x:si>
  <x:si>
    <x:t xml:space="preserve">先生真是华佗再世，小王无以为报。这一千两白银是我的一点心意，感谢先生救命之恩。</x:t>
  </x:si>
  <x:si>
    <x:t xml:space="preserve">草民行医只取诊费十文，这一千两小人不能收。</x:t>
  </x:si>
  <x:si>
    <x:t xml:space="preserve">少掌柜的那可是一千两白银啊！</x:t>
  </x:si>
  <x:si>
    <x:t xml:space="preserve">世子乃人中龙凤，但无论何人前来看病，草民眼里看到的都只有病人。十文是诊费，绝非世子命价。</x:t>
  </x:si>
  <x:si>
    <x:t xml:space="preserve">……先生好风骨，本王平日见的那些儒生满口仁义，可见了真金白银没几个不迷糊的。有您这样的大夫是天下苍生之福啊。</x:t>
  </x:si>
  <x:si>
    <x:t xml:space="preserve">先生的恩情本王记下了，日后有能帮到先生的地方尽管开口。</x:t>
  </x:si>
  <x:si>
    <x:t xml:space="preserve">名望+1000</x:t>
  </x:si>
  <x:si>
    <x:t xml:space="preserve">咳咳咳，啊…</x:t>
  </x:si>
  <x:si>
    <x:t xml:space="preserve">我的儿，你怎么了！</x:t>
  </x:si>
  <x:si>
    <x:t xml:space="preserve">哎呀，这个…王爷你听我解释…</x:t>
  </x:si>
  <x:si>
    <x:t xml:space="preserve">来人！把这个挨千刀的江湖骗子给我叉出去剁了！</x:t>
  </x:si>
  <x:si>
    <x:t xml:space="preserve">不好！啊啊啊啊！！！</x:t>
  </x:si>
  <x:si>
    <x:t xml:space="preserve">生意兴隆啊老板，嘿嘿嘿。</x:t>
  </x:si>
  <x:si>
    <x:t xml:space="preserve">敢问您是？(哎呀我的妈，吓我一跳，这人什么时候进来的...)</x:t>
  </x:si>
  <x:si>
    <x:t xml:space="preserve">在下贾荃，是做药材生意的，在湖广省小有一点名气，嘿嘿嘿。</x:t>
  </x:si>
  <x:si>
    <x:t xml:space="preserve">久闻久闻，不知今日来小馆所为何事？</x:t>
  </x:si>
  <x:si>
    <x:t xml:space="preserve">呃，呵呵，今日是想找李神医谈一桩好生意。</x:t>
  </x:si>
  <x:si>
    <x:t xml:space="preserve">哦？愿闻其详。</x:t>
  </x:si>
  <x:si>
    <x:t xml:space="preserve">小可上个月进了一批人参，想请李兄在医馆帮忙出货。</x:t>
  </x:si>
  <x:si>
    <x:t xml:space="preserve">小馆平时接待的病患多是平常百姓，人参这种名贵药材用量是不多的。</x:t>
  </x:si>
  <x:si>
    <x:t xml:space="preserve">李兄此言差矣，人参是补药，是病就得补。像那种头疼脑热的小病您也给加一点，这量不就有了嘛。</x:t>
  </x:si>
  <x:si>
    <x:t xml:space="preserve">按病开方岂能胡乱加药？</x:t>
  </x:si>
  <x:si>
    <x:t xml:space="preserve">不白加，每斤人参我给您一两白银的提成，怎么样，是桩好生意吧。</x:t>
  </x:si>
  <x:si>
    <x:t xml:space="preserve">您还是请回吧，陈皮，送客。</x:t>
  </x:si>
  <x:si>
    <x:t xml:space="preserve">贾老板，您这边请。</x:t>
  </x:si>
  <x:si>
    <x:t xml:space="preserve">哼，不知好歹。</x:t>
  </x:si>
  <x:si>
    <x:t xml:space="preserve">贤弟，别来无恙啊。</x:t>
  </x:si>
  <x:si>
    <x:t xml:space="preserve">雷总旗，好久不见啊。</x:t>
  </x:si>
  <x:si>
    <x:t xml:space="preserve">哎呀，老毛病犯了，又得麻烦你啦。</x:t>
  </x:si>
  <x:si>
    <x:t xml:space="preserve">哪里的话，请坐。</x:t>
  </x:si>
  <x:si>
    <x:t xml:space="preserve">雷兄，你这肝阳上亢的老毛病，除了吃药，还得注意控制情绪，切莫扰动肝火。</x:t>
  </x:si>
  <x:si>
    <x:t xml:space="preserve">哎呀，这都被你看出来啦。</x:t>
  </x:si>
  <x:si>
    <x:t xml:space="preserve">昨日我带着兄弟们和州府的征粮官去收粮，这帮狗腿子淋尖踢斛下脚那叫一个狠，气的我直接骂娘。</x:t>
  </x:si>
  <x:si>
    <x:t xml:space="preserve">什么叫"淋尖踢斛"呀？</x:t>
  </x:si>
  <x:si>
    <x:t xml:space="preserve">贤弟你有所不知，百姓交粮时，要把粮食倒进斛里，堆得高出斛口，堆成尖尖的，这叫"淋尖"。</x:t>
  </x:si>
  <x:si>
    <x:t xml:space="preserve">官吏再踢一脚斛，那些被震落、洒在斛外的粮食，不算入百姓缴纳的赋税，直接入了这帮狗腿子的口袋。</x:t>
  </x:si>
  <x:si>
    <x:t xml:space="preserve">啊…这也太过分了…</x:t>
  </x:si>
  <x:si>
    <x:t xml:space="preserve">现在这淋尖踢斛已经是各处不成文的规矩了，但昨天那帮混蛋踢的太狠，简直成明抢了。</x:t>
  </x:si>
  <x:si>
    <x:t xml:space="preserve">百姓的日子是越来越不好过了，我去给你抓药，雷兄稍候。</x:t>
  </x:si>
  <x:si>
    <x:t xml:space="preserve">有劳贤弟。</x:t>
  </x:si>
  <x:si>
    <x:t xml:space="preserve">大夫大夫！救命啊大夫！我家老爷要不行了！</x:t>
  </x:si>
  <x:si>
    <x:t xml:space="preserve">出什么事了？</x:t>
  </x:si>
  <x:si>
    <x:t xml:space="preserve">我家老爷刚才在醉仙楼喝酒，突然就开始胡言乱语，神志不清了。</x:t>
  </x:si>
  <x:si>
    <x:t xml:space="preserve">我是湖广首富！哈哈哈哈，我看谁再敢小看我！</x:t>
  </x:si>
  <x:si>
    <x:t xml:space="preserve">这不是贾老板吗，快把他抬过来。</x:t>
  </x:si>
  <x:si>
    <x:t xml:space="preserve">我有一单大买卖，天大的买卖！呕~</x:t>
  </x:si>
  <x:si>
    <x:t xml:space="preserve">哎哟，我的头好晕啊。</x:t>
  </x:si>
  <x:si>
    <x:t xml:space="preserve">贾老板的神志不清是由痰火扰心所致，心情大起大落再加上饮酒过度，使病情加剧。需要戒酒静养，按时服药。</x:t>
  </x:si>
  <x:si>
    <x:t xml:space="preserve">hide</x:t>
  </x:si>
  <x:si>
    <x:t xml:space="preserve">真是太谢谢先生了，老爷我们走吧。</x:t>
  </x:si>
  <x:si>
    <x:t xml:space="preserve">这贾老板怎么突然犯病了呀？我看是这个奸商干坏事儿遭报应了。</x:t>
  </x:si>
  <x:si>
    <x:t xml:space="preserve">别乱说，快去把他吐的地方收拾收拾，还有病患要看病呢。</x:t>
  </x:si>
  <x:si>
    <x:t xml:space="preserve">李大夫，知州大人请您去州衙有事商议。</x:t>
  </x:si>
  <x:si>
    <x:t xml:space="preserve">我知道了，我这就去。</x:t>
  </x:si>
  <x:si>
    <x:t xml:space="preserve">res://Assets/Background/009/009_01.png</x:t>
  </x:si>
  <x:si>
    <x:t xml:space="preserve">今日召诸位来，是朝廷有旨意下达。</x:t>
  </x:si>
  <x:si>
    <x:t xml:space="preserve">浙江省淳安建德两县突发水灾，周边各地已有瘟疫出现，朝廷为防止疫情扩散，特令周边州府发放赈灾药材。</x:t>
  </x:si>
  <x:si>
    <x:t xml:space="preserve">昨日，赈灾药材已采办完备，这次除了惠民药局，还要各医馆药铺配合诊治病患、发放药材。</x:t>
  </x:si>
  <x:si>
    <x:t xml:space="preserve">一会儿诸位就去库房画押登记，明日起官府会张贴榜文，通知百姓就近领取药材。</x:t>
  </x:si>
  <x:si>
    <x:t xml:space="preserve">res://Assets/Background/009/009_02.png</x:t>
  </x:si>
  <x:si>
    <x:t xml:space="preserve">诸位到我这画押，排好队一个一个来，写好收货地址，我们会专门派人运送。</x:t>
  </x:si>
  <x:si>
    <x:t xml:space="preserve">李大夫您在这画押，上面催得紧，我们赶着发运呢。</x:t>
  </x:si>
  <x:si>
    <x:t xml:space="preserve">好的好的。</x:t>
  </x:si>
  <x:si>
    <x:t xml:space="preserve">东璧回来啦，什么事儿啊，一大早就被叫去了？</x:t>
  </x:si>
  <x:si>
    <x:t xml:space="preserve">朝廷调拨了赈灾药材，这次不光惠民药局，咱们这些医馆药铺也要一起帮忙发放。</x:t>
  </x:si>
  <x:si>
    <x:t xml:space="preserve">这几日我去菜市街买菜的时候，看到不少流民在城东，大灾之后必有大疫，朝廷这次赈灾太及时了。</x:t>
  </x:si>
  <x:si>
    <x:t xml:space="preserve">陈皮，跟我去后院收拾收拾库房，一会儿药材就要送来了，得赶紧腾出地方。</x:t>
  </x:si>
  <x:si>
    <x:t xml:space="preserve">好嘞。</x:t>
  </x:si>
  <x:si>
    <x:t xml:space="preserve">res://Assets/Background/010/010.png</x:t>
  </x:si>
  <x:si>
    <x:t xml:space="preserve">数都对，有劳几位了，进来喝点水吧。</x:t>
  </x:si>
  <x:si>
    <x:t xml:space="preserve">还有公务在身，就不劳烦李太医啦，兄弟们，走了！</x:t>
  </x:si>
  <x:si>
    <x:t xml:space="preserve">爹，货都到齐了吗。</x:t>
  </x:si>
  <x:si>
    <x:t xml:space="preserve">嗯，我都点数过了，这次还是小包装，省得我们自己称了，不错不错。</x:t>
  </x:si>
  <x:si>
    <x:t xml:space="preserve">明日我带着芷兰他们发药，医馆的活计你好生照看。</x:t>
  </x:si>
  <x:si>
    <x:t xml:space="preserve">知道了爹。</x:t>
  </x:si>
  <x:si>
    <x:t xml:space="preserve">res://Assets/Background/011/011.png</x:t>
  </x:si>
  <x:si>
    <x:t xml:space="preserve">爹，药熬好了。</x:t>
  </x:si>
  <x:si>
    <x:t xml:space="preserve">忙活了一天，药材发得差不多了，咱们家也该把药喝了。我看看这次开的是什么方子。</x:t>
  </x:si>
  <x:si>
    <x:t xml:space="preserve">嗯…有藿香，有紫苏，应该是藿香正气散的方子。</x:t>
  </x:si>
  <x:si>
    <x:t xml:space="preserve">嗯？…味道不对啊，这药里怎么掺了面粉？厚朴里也混了杂树皮充数。</x:t>
  </x:si>
  <x:si>
    <x:t xml:space="preserve">我尝尝…藿香用的是梗，气味微薄。</x:t>
  </x:si>
  <x:si>
    <x:t xml:space="preserve">这…连赈灾药材都敢动手脚…</x:t>
  </x:si>
  <x:si>
    <x:t xml:space="preserve">赈灾药材事关重大，我们得上报官府。</x:t>
  </x:si>
  <x:si>
    <x:t xml:space="preserve">明日我去药剂局跟孙大夫商量商量。</x:t>
  </x:si>
  <x:si>
    <x:t xml:space="preserve">坏事了坏事了，孙大夫被抓了。</x:t>
  </x:si>
  <x:si>
    <x:t xml:space="preserve">孙大夫也发现赈灾药材有问题，去县衙找吴世良，谁知被扣了个私换药材的罪名，打了二十板子关进大狱里了。</x:t>
  </x:si>
  <x:si>
    <x:t xml:space="preserve">这个吴世良，平日里看着人模狗样的，真不是个东西啊。</x:t>
  </x:si>
  <x:si>
    <x:t xml:space="preserve">我们得给孙大夫讨回公道。</x:t>
  </x:si>
  <x:si>
    <x:t xml:space="preserve">儿啊，我看咱们还是别蹚浑水了，多一事不如少一事，明哲保身吧。这不是咱们平民百姓管得了的。</x:t>
  </x:si>
  <x:si>
    <x:t xml:space="preserve">…...</x:t>
  </x:si>
  <x:si>
    <x:t xml:space="preserve">贤弟，好久不见啊，今天来抓点药顺便来看看你。</x:t>
  </x:si>
  <x:si>
    <x:t xml:space="preserve">雷兄哪里不舒服？</x:t>
  </x:si>
  <x:si>
    <x:t xml:space="preserve">这次省内各州县的赈灾药材都要从咱们蕲州调拨，我奉命押送，全省各处跑，路上染了点风寒。</x:t>
  </x:si>
  <x:si>
    <x:t xml:space="preserve">全省都从蕲州调拨？</x:t>
  </x:si>
  <x:si>
    <x:t xml:space="preserve">是啊，这次的药材统一由蕲州采办存放，哪里缺药就从咱们这调拨。</x:t>
  </x:si>
  <x:si>
    <x:t xml:space="preserve">有件事儿你知道吗？这次的赈灾药材被人动了手脚，以次充好，根本治不了病。</x:t>
  </x:si>
  <x:si>
    <x:t xml:space="preserve">什么？有这事儿？</x:t>
  </x:si>
  <x:si>
    <x:t xml:space="preserve">药剂局的孙大夫去找吴世良理论，被关进大牢，知情的大夫们都不敢声张。</x:t>
  </x:si>
  <x:si>
    <x:t xml:space="preserve">他娘的，没有王法了！这州府衙门肯定是不能去了，我到武昌府湖广按察司，把这事报上去。</x:t>
  </x:si>
  <x:si>
    <x:t xml:space="preserve">雷兄这一趟要多加小心啊。</x:t>
  </x:si>
  <x:si>
    <x:t xml:space="preserve">李大夫，小生有礼了。</x:t>
  </x:si>
  <x:si>
    <x:t xml:space="preserve">是沈先生啊，请坐。</x:t>
  </x:si>
  <x:si>
    <x:t xml:space="preserve">最近有点失眠，没什么食欲，来请李大夫给看看。</x:t>
  </x:si>
  <x:si>
    <x:t xml:space="preserve">先生这是心脾两虚之症，思虑过度暗耗心血导致心血不足，脾气虚弱。给您开一服归脾汤，您可要注意休息啊。</x:t>
  </x:si>
  <x:si>
    <x:t xml:space="preserve">李神医名不虚传，这阵子确实是公务繁忙，做钱谷师爷这一行，一刻也不得闲啊。</x:t>
  </x:si>
  <x:si>
    <x:t xml:space="preserve">先生是操劳赈灾药材的采办之事？</x:t>
  </x:si>
  <x:si>
    <x:t xml:space="preserve">这是衙门公务，在下不方便说，也劝李大夫不要打听衙门的事。</x:t>
  </x:si>
  <x:si>
    <x:t xml:space="preserve">是在下唐突了。</x:t>
  </x:si>
  <x:si>
    <x:t xml:space="preserve">无妨，您和令尊医术高明，赈灾药材用的是什么，想必你们心里有数。</x:t>
  </x:si>
  <x:si>
    <x:t xml:space="preserve">但我得提醒您一句，赈灾药材不只是一两个州府的事，更不是你我能管的事。</x:t>
  </x:si>
  <x:si>
    <x:t xml:space="preserve">......</x:t>
  </x:si>
  <x:si>
    <x:t xml:space="preserve">先生医术闻名全省，在下十分钦佩，不要浪费了老天给您的才华。在下告辞。</x:t>
  </x:si>
  <x:si>
    <x:t xml:space="preserve">咚咚咚…</x:t>
  </x:si>
  <x:si>
    <x:t xml:space="preserve">谁？</x:t>
  </x:si>
  <x:si>
    <x:t xml:space="preserve">贤弟，是我。</x:t>
  </x:si>
  <x:si>
    <x:t xml:space="preserve">雷兄，怎么样，事情有眉目了吗？</x:t>
  </x:si>
  <x:si>
    <x:t xml:space="preserve">唉…按察司、布政司都不受理，去所部都指挥使司面见老宪台，他老人家说这里面水太深，让我别多管闲事…</x:t>
  </x:si>
  <x:si>
    <x:t xml:space="preserve">看来这事远比我们想的复杂…</x:t>
  </x:si>
  <x:si>
    <x:t xml:space="preserve">放任不管的话，是要出大事的...</x:t>
  </x:si>
  <x:si>
    <x:t xml:space="preserve">我想到了一个能帮上忙的人。</x:t>
  </x:si>
  <x:si>
    <x:t xml:space="preserve">哦？是谁？</x:t>
  </x:si>
  <x:si>
    <x:t xml:space="preserve">楚王。</x:t>
  </x:si>
  <x:si>
    <x:t xml:space="preserve">贤弟认识这么大的人物？</x:t>
  </x:si>
  <x:si>
    <x:t xml:space="preserve">之前医治过世子，应该能说得上话。</x:t>
  </x:si>
  <x:si>
    <x:t xml:space="preserve">那还等什么，我陪你现在就去！</x:t>
  </x:si>
  <x:si>
    <x:t xml:space="preserve">res://Assets/Background/015/015_01.png</x:t>
  </x:si>
  <x:si>
    <x:t xml:space="preserve">一路无话，两人来到了楚王府</x:t>
  </x:si>
  <x:si>
    <x:t xml:space="preserve">res://Assets/Background/015/015_02.png</x:t>
  </x:si>
  <x:si>
    <x:t xml:space="preserve">前日一别，先生别来无恙啊。</x:t>
  </x:si>
  <x:si>
    <x:t xml:space="preserve">草民拜见王爷，今日来是有一事请王爷帮忙。</x:t>
  </x:si>
  <x:si>
    <x:t xml:space="preserve">先生是犬子的救命恩人，若有本王能帮上忙的，一定尽力而为。</x:t>
  </x:si>
  <x:si>
    <x:t xml:space="preserve">李东璧将事情的前因后果如实告诉了楚王</x:t>
  </x:si>
  <x:si>
    <x:t xml:space="preserve">嗯…这些地方官胆子也太大了。可自成祖文皇帝之后，藩王不临民，不治事，干预地方军政是谋逆的大罪，本王也爱莫能助。</x:t>
  </x:si>
  <x:si>
    <x:t xml:space="preserve">这事儿要是您不管，就没人能管了…瘟病若起，湖广将民不聊生啊。</x:t>
  </x:si>
  <x:si>
    <x:t xml:space="preserve">此事牵扯甚广，先生就不怕引火烧身吗？</x:t>
  </x:si>
  <x:si>
    <x:t xml:space="preserve">草民自幼读四书五经，诸子百家，文章未成，功名未就，所学所求只有为生民立命，若以我一命换千万民生，吾往矣。</x:t>
  </x:si>
  <x:si>
    <x:t xml:space="preserve">先生所言让本王惭愧啊…待我会写一道密奏，向皇上禀明赈灾药材之事。先生也切莫再和别人提及此事。</x:t>
  </x:si>
  <x:si>
    <x:t xml:space="preserve">是沈先生啊，病好点了吗</x:t>
  </x:si>
  <x:si>
    <x:t xml:space="preserve">小生时日不多了。</x:t>
  </x:si>
  <x:si>
    <x:t xml:space="preserve">啊？您的病没那么严重，只要按时吃药好好休息肯定会好起来的。</x:t>
  </x:si>
  <x:si>
    <x:t xml:space="preserve">治得了病，治不了命。今天来是有样东西要交给李大夫。</x:t>
  </x:si>
  <x:si>
    <x:t xml:space="preserve">这是？</x:t>
  </x:si>
  <x:si>
    <x:t xml:space="preserve">这是吴世良让我写的账册抄本，交给您应该能派上用场。</x:t>
  </x:si>
  <x:si>
    <x:t xml:space="preserve">…....</x:t>
  </x:si>
  <x:si>
    <x:t xml:space="preserve">说实话我很羡慕李大夫，所学的本事能有处施展，唉…小生就此别过。</x:t>
  </x:si>
  <x:si>
    <x:t xml:space="preserve">沈先生…....</x:t>
  </x:si>
  <x:si>
    <x:t xml:space="preserve">李大夫，我这两天腰酸腿软，夜尿还多，给我开点药吧。</x:t>
  </x:si>
  <x:si>
    <x:t xml:space="preserve">杨大使请坐。</x:t>
  </x:si>
  <x:si>
    <x:t xml:space="preserve">杨大使所患的是肾气不固之症，要注意休养，最近是遇到什么事受了惊吗？</x:t>
  </x:si>
  <x:si>
    <x:t xml:space="preserve">您听说沈师爷的事了吗？</x:t>
  </x:si>
  <x:si>
    <x:t xml:space="preserve">沈师爷怎么了？</x:t>
  </x:si>
  <x:si>
    <x:t xml:space="preserve">昨天沈师爷在自己屋里死了…</x:t>
  </x:si>
  <x:si>
    <x:t xml:space="preserve">！！！</x:t>
  </x:si>
  <x:si>
    <x:t xml:space="preserve">他们开始灭口了...下一个就该轮到我了...</x:t>
  </x:si>
  <x:si>
    <x:t xml:space="preserve">"库房失火啦！快来人救火啊！"</x:t>
  </x:si>
  <x:si>
    <x:t xml:space="preserve">少掌柜的，惠民药局的药料库起火啦！</x:t>
  </x:si>
  <x:si>
    <x:t xml:space="preserve">走，去帮忙。</x:t>
  </x:si>
  <x:si>
    <x:t xml:space="preserve">res://Assets/Background/018/018.png</x:t>
  </x:si>
  <x:si>
    <x:t xml:space="preserve">这火烧得蹊跷。</x:t>
  </x:si>
  <x:si>
    <x:t xml:space="preserve">那边抬出来一个人。</x:t>
  </x:si>
  <x:si>
    <x:t xml:space="preserve">……是杨善泉。</x:t>
  </x:si>
  <x:si>
    <x:t xml:space="preserve">掌柜的生意兴隆啊(四处打量...)，那扇门是通后院的吧？</x:t>
  </x:si>
  <x:si>
    <x:t xml:space="preserve">敢问来小馆有何贵干？</x:t>
  </x:si>
  <x:si>
    <x:t xml:space="preserve">啊，哈哈，没事没事，就来看看，听说咱蕲州有一位李神医，来瞻仰瞻仰。</x:t>
  </x:si>
  <x:si>
    <x:t xml:space="preserve">小馆还要接待病患，无事便请回吧。</x:t>
  </x:si>
  <x:si>
    <x:t xml:space="preserve">切，那咱们就后会有期了。</x:t>
  </x:si>
  <x:si>
    <x:t xml:space="preserve">咯噔</x:t>
  </x:si>
  <x:si>
    <x:t xml:space="preserve">谁！</x:t>
  </x:si>
  <x:si>
    <x:t xml:space="preserve">res://Assets/Background/020/020_01.png</x:t>
  </x:si>
  <x:si>
    <x:t xml:space="preserve">李大夫，我来送你上路啦。</x:t>
  </x:si>
  <x:si>
    <x:t xml:space="preserve">res://Assets/Background/020/020_02.png</x:t>
  </x:si>
  <x:si>
    <x:t xml:space="preserve">res://Assets/Background/020/020_03.png</x:t>
  </x:si>
  <x:si>
    <x:t xml:space="preserve">砰！</x:t>
  </x:si>
  <x:si>
    <x:t xml:space="preserve">哎哟！</x:t>
  </x:si>
  <x:si>
    <x:t xml:space="preserve">贤弟，你没事吧。</x:t>
  </x:si>
  <x:si>
    <x:t xml:space="preserve">把他绑起来。</x:t>
  </x:si>
  <x:si>
    <x:t xml:space="preserve">hei</x:t>
  </x:si>
  <x:si>
    <x:t xml:space="preserve">误会啊大人，误会。</x:t>
  </x:si>
  <x:si>
    <x:t xml:space="preserve">res://Assets/Background/020/020.png</x:t>
  </x:si>
  <x:si>
    <x:t xml:space="preserve">一行人来到王府</x:t>
  </x:si>
  <x:si>
    <x:t xml:space="preserve">启禀王爷，人都带来了。</x:t>
  </x:si>
  <x:si>
    <x:t xml:space="preserve">这几位是朝廷派来查赈灾药材案的钦差。</x:t>
  </x:si>
  <x:si>
    <x:t xml:space="preserve">北镇抚司陆丁，你就是李东璧？</x:t>
  </x:si>
  <x:si>
    <x:t xml:space="preserve">正是草民。</x:t>
  </x:si>
  <x:si>
    <x:t xml:space="preserve">李东璧将前前后后发生的事情一五一十地禀明钦差</x:t>
  </x:si>
  <x:si>
    <x:t xml:space="preserve">res://Assets/Background/021/021.png</x:t>
  </x:si>
  <x:si>
    <x:t xml:space="preserve">蕲州赈灾药材贪污案惊动朝廷，锦衣卫奉旨查办，地方涉案官员数十人，贪污银钱近万两。</x:t>
  </x:si>
  <x:si>
    <x:t xml:space="preserve">主犯吴世良，赵顺等即刻斩首。湖广巡抚陈仕贤等，连坐失察，官降两级。</x:t>
  </x:si>
  <x:si>
    <x:t xml:space="preserve">蕲州所需赈灾药材由太医院调拨，重新发放。</x:t>
  </x:si>
  <x:si>
    <x:t xml:space="preserve">到头来这吴世良就是个背锅顶罪的。</x:t>
  </x:si>
  <x:si>
    <x:t xml:space="preserve">朝政被严党把持，这些做官的你中有我，我中有你，真细究起来又是一笔糊涂账。</x:t>
  </x:si>
  <x:si>
    <x:t xml:space="preserve">李先生。</x:t>
  </x:si>
  <x:si>
    <x:t xml:space="preserve">楚王殿下。</x:t>
  </x:si>
  <x:si>
    <x:t xml:space="preserve">这次我上奏皇上，除了赈灾药材一案，还将先生举荐给朝廷。正好太医院院判一职空缺，特批先生赴任。</x:t>
  </x:si>
  <x:si>
    <x:t xml:space="preserve">多谢王爷提拔，可草民荆楚鄙人，幼多羸疾，质成钝椎，实在是力不从心。</x:t>
  </x:si>
  <x:si>
    <x:t xml:space="preserve">……既然如此，那本王就不强人所难了。</x:t>
  </x:si>
  <x:si>
    <x:t xml:space="preserve">咳咳咳，咳咳，大夫，我这嗓子不知怎得，又疼又痒，咳得多，都哑了。</x:t>
  </x:si>
  <x:si>
    <x:t xml:space="preserve">是柳先生啊，快请坐。</x:t>
  </x:si>
  <x:si>
    <x:t xml:space="preserve">哎呀，舒服多了。</x:t>
  </x:si>
  <x:si>
    <x:t xml:space="preserve">您这是温燥证，整日说书久坐少动，伤津耗气，易生内热。</x:t>
  </x:si>
  <x:si>
    <x:t xml:space="preserve">给您开一副桑杏汤，一天三服，也记得多喝水。</x:t>
  </x:si>
  <x:si>
    <x:t xml:space="preserve">柳先生，我最喜欢听您说书啦，您真是啥都知道啥都会，讲什么像什么。</x:t>
  </x:si>
  <x:si>
    <x:t xml:space="preserve">诶嘿嘿，小兄弟过奖了，我只是说些王侯将相，才子佳人的故事，来听书的客官喜欢什么，我就讲什么。</x:t>
  </x:si>
  <x:si>
    <x:t xml:space="preserve">先生，您现在就在这讲一段吧。</x:t>
  </x:si>
  <x:si>
    <x:t xml:space="preserve">是啊是啊，讲一段吧。</x:t>
  </x:si>
  <x:si>
    <x:t xml:space="preserve">人家柳先生还病着呢，你们别在这胡闹。</x:t>
  </x:si>
  <x:si>
    <x:t xml:space="preserve">无妨，呵呵，那就说一个王道士胡诌妒妇方。</x:t>
  </x:si>
  <x:si>
    <x:t xml:space="preserve">说京城有一富商，娶了位善妒的夫人，家中鸡飞狗跳无一日安宁。他的朋友觉得这是病，得找人医治。</x:t>
  </x:si>
  <x:si>
    <x:t xml:space="preserve">正巧天齐庙有位摆摊卖膏药的王道士，因膏药灵验得名王一贴，富商的朋友便去求方问药。</x:t>
  </x:si>
  <x:si>
    <x:t xml:space="preserve">王一贴道：“这贴妒的膏药倒没经过。有一种汤药，或者可医，只是慢些儿，不能立刻见效的。”</x:t>
  </x:si>
  <x:si>
    <x:t xml:space="preserve">朋友问：“什么汤？怎么吃法？”</x:t>
  </x:si>
  <x:si>
    <x:t xml:space="preserve">王一贴道：“这叫做‘疗妒汤’。用极好的秋梨一个，二钱冰糖，一钱陈皮，水三碗，梨熟为度。每日清晨吃这一个梨，吃来吃去就好了。”</x:t>
  </x:si>
  <x:si>
    <x:t xml:space="preserve">朋友道：“这也不值什么。只怕未必见效。”</x:t>
  </x:si>
  <x:si>
    <x:t xml:space="preserve">王一贴道：“一剂不效，吃十剂；今日不效，明日再吃；今年不效，明年再吃。”</x:t>
  </x:si>
  <x:si>
    <x:t xml:space="preserve">“横竖这三味药都是润肺开胃不伤人的，甜丝丝的，又止咳嗽，又好吃。吃过一百岁，人横竖是要死的，死了还妒什么？那时就见效了。”</x:t>
  </x:si>
  <x:si>
    <x:t xml:space="preserve">哈哈哈，还有这种方子。</x:t>
  </x:si>
  <x:si>
    <x:t xml:space="preserve">哈哈哈，这道士说的也不无道理。</x:t>
  </x:si>
  <x:si>
    <x:t xml:space="preserve">李大夫，您快给我女儿瞧瞧吧，这孩子整日茶饭不进，愁眉苦脸咳个不停。</x:t>
  </x:si>
  <x:si>
    <x:t xml:space="preserve">…</x:t>
  </x:si>
  <x:si>
    <x:t xml:space="preserve">这是您女儿？</x:t>
  </x:si>
  <x:si>
    <x:t xml:space="preserve">哎呀，可不是嘛，这孩子随我学艺两年又半载，犹善歌舞，是咱柳月坊的花魁。</x:t>
  </x:si>
  <x:si>
    <x:t xml:space="preserve">可你看她现在这个样子，还怎么接待客人啊。</x:t>
  </x:si>
  <x:si>
    <x:t xml:space="preserve">姑娘你坐下，我给你把把脉。哎，半夏你在这干什么？</x:t>
  </x:si>
  <x:si>
    <x:t xml:space="preserve">我替少夫人来看着你。</x:t>
  </x:si>
  <x:si>
    <x:t xml:space="preserve">姑娘这病是肺气虚，平日注意避风避寒，开副补肺汤调养调养。早上练练六字诀中的呬字决，舒畅胸中气机。</x:t>
  </x:si>
  <x:si>
    <x:t xml:space="preserve">…多谢先生。</x:t>
  </x:si>
  <x:si>
    <x:t xml:space="preserve">姑娘可是有什么心事？</x:t>
  </x:si>
  <x:si>
    <x:t xml:space="preserve">成天好吃好喝的伺候着，她能有什么心事。</x:t>
  </x:si>
  <x:si>
    <x:t xml:space="preserve">那就多谢大夫了，走吧女儿。</x:t>
  </x:si>
  <x:si>
    <x:t xml:space="preserve">先生，刚才那姑娘是得了什么病啊？</x:t>
  </x:si>
  <x:si>
    <x:t xml:space="preserve">您是？</x:t>
  </x:si>
  <x:si>
    <x:t xml:space="preserve">小生是姑娘的一位相识，担心姑娘身体，来问问大夫。</x:t>
  </x:si>
  <x:si>
    <x:t xml:space="preserve">哦，那姑娘所患的是肺气虚，并无大碍，只是看起来似乎有心事。您可知其中原委？</x:t>
  </x:si>
  <x:si>
    <x:t xml:space="preserve">哎哟？这里面有事儿，快说来听听。</x:t>
  </x:si>
  <x:si>
    <x:t xml:space="preserve">实不相瞒，小生在柳月坊与飞燕相识，一见倾心，私底下定了终身。</x:t>
  </x:si>
  <x:si>
    <x:t xml:space="preserve">原想着凑够五百两白银，给她赎身。可她那老鸨坐地起价一千两，这让我们上哪去凑这么多银子啊…</x:t>
  </x:si>
  <x:si>
    <x:t xml:space="preserve">想必姑娘是因为这事急坏了身子。</x:t>
  </x:si>
  <x:si>
    <x:t xml:space="preserve">唉，又是一对儿苦命的鸳鸯。</x:t>
  </x:si>
  <x:si>
    <x:t xml:space="preserve">相公我们想办法帮帮他们吧。</x:t>
  </x:si>
  <x:si>
    <x:t xml:space="preserve">我也想帮他们，可怎么帮呢？</x:t>
  </x:si>
  <x:si>
    <x:t xml:space="preserve">姑娘你来啦，病好点了吗？</x:t>
  </x:si>
  <x:si>
    <x:t xml:space="preserve">唉，这些日子一直不太好，前天还咳出血丝来了…</x:t>
  </x:si>
  <x:si>
    <x:t xml:space="preserve">请坐，我再给你看看。</x:t>
  </x:si>
  <x:si>
    <x:t xml:space="preserve">姑娘你这病，因气虚日久，气不化津，已经恶化为肺阴虚了。给你开些沙参麦冬汤补津养肺。</x:t>
  </x:si>
  <x:si>
    <x:t xml:space="preserve">多谢先生…</x:t>
  </x:si>
  <x:si>
    <x:t xml:space="preserve">可这药只能医肺病，不能医心病，心病还须心药医。</x:t>
  </x:si>
  <x:si>
    <x:t xml:space="preserve">夫人这是何意味？</x:t>
  </x:si>
  <x:si>
    <x:t xml:space="preserve">前些天你来看病，你前脚刚走，李公子就来这问你的病情，很是担心你。</x:t>
  </x:si>
  <x:si>
    <x:t xml:space="preserve">唉，我们这行当是做不长久的，只盼着有个如意的郎君，趁着年轻嫁入好人家。</x:t>
  </x:si>
  <x:si>
    <x:t xml:space="preserve">李郎待我是真心诚意，我俩满心欢喜想着赎身之后拜堂成亲，可谁曾想干娘竟如此对我…</x:t>
  </x:si>
  <x:si>
    <x:t xml:space="preserve">我有一计，可使你二人有情人终成眷属。</x:t>
  </x:si>
  <x:si>
    <x:t xml:space="preserve">少夫人你有什么注意呀？快说快说！</x:t>
  </x:si>
  <x:si>
    <x:t xml:space="preserve">明日你带让金姨妈来，如此这般….</x:t>
  </x:si>
  <x:si>
    <x:t xml:space="preserve">吴芷兰和众人说出了自己的主意</x:t>
  </x:si>
  <x:si>
    <x:t xml:space="preserve">先生若是能帮我们渡此难关，便是再造父母。</x:t>
  </x:si>
  <x:si>
    <x:t xml:space="preserve">次日</x:t>
  </x:si>
  <x:si>
    <x:t xml:space="preserve">李大夫，你叫我来是什么事儿啊？</x:t>
  </x:si>
  <x:si>
    <x:t xml:space="preserve">昨日经我仔细检查，谢姑娘的病乃是肺痨，此病只能缓解，不能根治，而且身边之人都有可能沾染。</x:t>
  </x:si>
  <x:si>
    <x:t xml:space="preserve">啊？这可如何是好？</x:t>
  </x:si>
  <x:si>
    <x:t xml:space="preserve">您还是早做打算，给女儿寻觅个好归宿吧。</x:t>
  </x:si>
  <x:si>
    <x:t xml:space="preserve">(若是这样，不如趁那小子不知情，便宜与了他去….)</x:t>
  </x:si>
  <x:si>
    <x:t xml:space="preserve">阿弥陀佛，贫僧法号性空，《中论》曰："众因缘生发，我说即是空，亦为是假名，亦是中道义。"正所谓缘起性空是也。</x:t>
  </x:si>
  <x:si>
    <x:t xml:space="preserve">师傅请坐，今日来小馆是？(这和尚身上好大的酒味啊...)</x:t>
  </x:si>
  <x:si>
    <x:t xml:space="preserve">最近身体不太舒服，老是耳鸣头晕，请大夫给贫僧看看。</x:t>
  </x:si>
  <x:si>
    <x:t xml:space="preserve">师傅所患的乃是肾精不足之症，嗯…是房事过劳所致…</x:t>
  </x:si>
  <x:si>
    <x:t xml:space="preserve">哎哟，施主啊，这可不敢乱说啊，我可是出家人啊，怎么会干那种事呢。</x:t>
  </x:si>
  <x:si>
    <x:t xml:space="preserve">一定是我晚上念经太过用功，着凉了。</x:t>
  </x:si>
  <x:si>
    <x:t xml:space="preserve">是是是，师傅说的对，也不是没有这个可能。</x:t>
  </x:si>
  <x:si>
    <x:t xml:space="preserve">嗯，以后可别乱说啊，这小郎中真是…</x:t>
  </x:si>
  <x:si>
    <x:t xml:space="preserve">哇，这就是传说中的花和尚吗？</x:t>
  </x:si>
  <x:si>
    <x:t xml:space="preserve">他是花和尚，你是花痴，正好凑一对儿。</x:t>
  </x:si>
  <x:si>
    <x:t xml:space="preserve">找打！</x:t>
  </x:si>
  <x:si>
    <x:t xml:space="preserve">虽然这不是个正经和尚，但还是得好好想想他得的是什么病。</x:t>
  </x:si>
  <x:si>
    <x:t xml:space="preserve">少掌柜的，少夫人在屋里晕倒了，您快来看看啊！</x:t>
  </x:si>
  <x:si>
    <x:t xml:space="preserve">芷兰！！！</x:t>
  </x:si>
  <x:si>
    <x:t xml:space="preserve">res://Assets/Background/023/023.png</x:t>
  </x:si>
  <x:si>
    <x:t xml:space="preserve">相公，我最近头晕目眩，时不时的还恶心想吐，不知是怎么了…</x:t>
  </x:si>
  <x:si>
    <x:t xml:space="preserve">夫人一定是操持家务太过劳累，我给你把把脉。</x:t>
  </x:si>
  <x:si>
    <x:t xml:space="preserve">呜呜呜，少夫人到底是得了什么病啊。</x:t>
  </x:si>
  <x:si>
    <x:t xml:space="preserve">芷兰…我们有孩子了…</x:t>
  </x:si>
  <x:si>
    <x:t xml:space="preserve">真的吗！哎呀，太好了，是男孩儿女孩儿？</x:t>
  </x:si>
  <x:si>
    <x:t xml:space="preserve">现在还看不出来，男孩儿女孩儿都一样，我们要当爹当娘了。</x:t>
  </x:si>
  <x:si>
    <x:t xml:space="preserve">哇，恭喜恭喜，真是菩萨保佑，我去把这喜事告诉老爷去！</x:t>
  </x:si>
  <x:si>
    <x:t xml:space="preserve">不对不对，我在干什么呀，冷静冷静，再好好想想。</x:t>
  </x:si>
  <x:si>
    <x:t xml:space="preserve">DiseaseID</x:t>
  </x:si>
  <x:si>
    <x:t xml:space="preserve">DiseaseName</x:t>
  </x:si>
  <x:si>
    <x:t xml:space="preserve">Symptoms</x:t>
  </x:si>
  <x:si>
    <x:t xml:space="preserve">RecommendedFormulaName</x:t>
  </x:si>
  <x:si>
    <x:t xml:space="preserve">BookID</x:t>
  </x:si>
  <x:si>
    <x:t xml:space="preserve">DetailText</x:t>
  </x:si>
  <x:si>
    <x:t xml:space="preserve">feng_han_biao_shi_zheng</x:t>
  </x:si>
  <x:si>
    <x:t xml:space="preserve">风寒表实证</x:t>
  </x:si>
  <x:si>
    <x:t xml:space="preserve">不舒服|发烧|咳嗽</x:t>
  </x:si>
  <x:si>
    <x:t xml:space="preserve">麻黄汤</x:t>
  </x:si>
  <x:si>
    <x:t xml:space="preserve">zhu_bing_yuan_hou_lun</x:t>
  </x:si>
  <x:si>
    <x:t xml:space="preserve">风寒表实证
【病机】寒邪束表、腠理闭塞、卫阳被遏。
【症状】恶寒发热，头身酸疼，无汗而喘。
【脉象】
浮脉（表）：波峰高，波速慢
【标准方】麻黄汤</x:t>
  </x:si>
  <x:si>
    <x:t xml:space="preserve">feng_han_biao_xu_zheng</x:t>
  </x:si>
  <x:si>
    <x:t xml:space="preserve">风寒表虚证</x:t>
  </x:si>
  <x:si>
    <x:t xml:space="preserve">桂枝汤</x:t>
  </x:si>
  <x:si>
    <x:t xml:space="preserve">风寒表虚证
【病机】风寒袭表，卫气不固，营阴外泄。
【症状】恶风发热，头痛流清涕，出汗。
【脉象】
浮脉（表）：波峰低，波速慢
【标准方】桂枝汤</x:t>
  </x:si>
  <x:si>
    <x:t xml:space="preserve">feng_re_biao_zheng</x:t>
  </x:si>
  <x:si>
    <x:t xml:space="preserve">风热表证</x:t>
  </x:si>
  <x:si>
    <x:t xml:space="preserve">银翘散</x:t>
  </x:si>
  <x:si>
    <x:t xml:space="preserve">风热表证
【病机】风热之邪侵袭肺卫，卫气失和，肺失清肃。
【症状】发热重，咽喉红肿，痰涕黄稠。
【脉象】
浮脉（表）：波速快
【标准方】银翘散</x:t>
  </x:si>
  <x:si>
    <x:t xml:space="preserve">wen_zao_zheng</x:t>
  </x:si>
  <x:si>
    <x:t xml:space="preserve">桑杏汤</x:t>
  </x:si>
  <x:si>
    <x:t xml:space="preserve">温燥证
【病机】初秋燥热之邪侵袭肺卫，肺失清润。
【症状】发热恶风，口鼻干燥、咽干口渴、干咳少痰，痰涕黄稠。
【脉象】
浮脉（表）：波速快，波宽窄
【标准方】桑杏汤</x:t>
  </x:si>
  <x:si>
    <x:t xml:space="preserve">liang_zao_zheng</x:t>
  </x:si>
  <x:si>
    <x:t xml:space="preserve">凉燥证</x:t>
  </x:si>
  <x:si>
    <x:t xml:space="preserve">杏苏散</x:t>
  </x:si>
  <x:si>
    <x:t xml:space="preserve">凉燥证
【病机】深秋寒气渐生，燥邪兼风寒侵袭肺卫。
【症状】恶寒发热、鼻塞流清涕、干咳少痰、咽干唇燥、皮肤干燥。
【脉象】
浮脉（表）：波速慢，波宽窄
【标准方】杏苏散</x:t>
  </x:si>
  <x:si>
    <x:t xml:space="preserve">wei_qi_xu</x:t>
  </x:si>
  <x:si>
    <x:t xml:space="preserve">卫气虚</x:t>
  </x:si>
  <x:si>
    <x:t xml:space="preserve">不舒服|经常感冒</x:t>
  </x:si>
  <x:si>
    <x:t xml:space="preserve">玉屏风散</x:t>
  </x:si>
  <x:si>
    <x:t xml:space="preserve">卫气虚
【病机】素体虚弱、久病耗伤肺气，卫气不固、腠理疏松、防御固摄功能减退。
【症状】自汗：不活动也出汗，动则更甚；易感冒：怕风畏冷、不耐风寒，稍受凉即感冒；面色㿠白、气短乏力、神疲懒言；皮肤腠理疏松、常畏风。
【脉象】
浮脉（表）：波峰低
【标准方】玉屏风散</x:t>
  </x:si>
  <x:si>
    <x:t xml:space="preserve">tong_bi</x:t>
  </x:si>
  <x:si>
    <x:t xml:space="preserve">痛痹</x:t>
  </x:si>
  <x:si>
    <x:t xml:space="preserve">不舒服|关节疼</x:t>
  </x:si>
  <x:si>
    <x:t xml:space="preserve">乌头汤</x:t>
  </x:si>
  <x:si>
    <x:t xml:space="preserve">痛痹（寒痹）
【病机】风寒湿邪痹阻经络，寒邪偏盛。寒主收引、凝滞，气血不通则疼痛剧烈。
【症状】肢体关节疼痛剧烈、固定不移；遇寒加重、得温痛减；关节屈伸不利，局部怕冷。
【脉象】
浮脉（表）：波峰高（轻微），波速慢（剧烈），波宽宽（轻微）
【标准方】乌头汤</x:t>
  </x:si>
  <x:si>
    <x:t xml:space="preserve">re_bi</x:t>
  </x:si>
  <x:si>
    <x:t xml:space="preserve">热痹</x:t>
  </x:si>
  <x:si>
    <x:t xml:space="preserve">白虎桂枝汤</x:t>
  </x:si>
  <x:si>
    <x:t xml:space="preserve">热痹
【病机】风湿热邪侵袭经络关节，或风寒湿邪郁而化热，气血壅滞、经络痹阻。
【症状】关节红肿灼热、疼痛剧烈；触之发热、拒按，得冷稍舒；发热、口渴、烦躁；肢体屈伸不利。
【脉象】
浮脉（表）：波峰高（轻微），波速快（剧烈），波宽宽（轻微）
【标准方】白虎桂枝汤</x:t>
  </x:si>
  <x:si>
    <x:t xml:space="preserve">zhuo_bi</x:t>
  </x:si>
  <x:si>
    <x:t xml:space="preserve">着痹</x:t>
  </x:si>
  <x:si>
    <x:t xml:space="preserve">薏苡仁汤</x:t>
  </x:si>
  <x:si>
    <x:t xml:space="preserve">着痹（湿痹）
【病机】风寒湿邪侵袭，湿邪偏盛；湿性重浊、黏滞，阻滞经络、困遏气机。
【症状】关节沉重酸痛、重着如裹；痛处固定，肌肤麻木、肢体困重；关节肿胀、屈伸不利。
阴雨潮湿天气加重
【脉象】
浮脉（表）：波峰高（轻微），波速慢（轻微），波宽宽（剧烈）
【标准方】薏苡仁汤</x:t>
  </x:si>
  <x:si>
    <x:t xml:space="preserve">xing_bi</x:t>
  </x:si>
  <x:si>
    <x:t xml:space="preserve">行痹</x:t>
  </x:si>
  <x:si>
    <x:t xml:space="preserve">防风汤</x:t>
  </x:si>
  <x:si>
    <x:t xml:space="preserve">行痹（风痹）
【病机】风寒湿邪侵袭经络，以风邪偏盛为主。风性善行、走窜不定。
【症状】肢体关节酸痛，疼痛游走不定，窜走周身。
【脉象】
浮脉（表）：波峰高（剧烈），波速慢（轻微），波宽宽（轻微）
【标准方】防风汤</x:t>
  </x:si>
  <x:si>
    <x:t xml:space="preserve">fei_re_yong_sheng</x:t>
  </x:si>
  <x:si>
    <x:t xml:space="preserve">肺热壅盛</x:t>
  </x:si>
  <x:si>
    <x:t xml:space="preserve">麻杏石甘汤</x:t>
  </x:si>
  <x:si>
    <x:t xml:space="preserve">肺热壅盛
【病机】邪热壅滞于肺，肺失宣降，气机闭塞，热盛气逆。
【症状】咳嗽气粗、喘促胸闷；痰黄黏稠、不易咳出；发热、口渴咽痛；鼻翼煽动，大便偏干，小便黄。
【脉象】
右寸（肺）：波速快
【标准方】麻杏石甘汤</x:t>
  </x:si>
  <x:si>
    <x:t xml:space="preserve">fei_qi_xu</x:t>
  </x:si>
  <x:si>
    <x:t xml:space="preserve">不舒服|咳嗽|胸闷气短</x:t>
  </x:si>
  <x:si>
    <x:t xml:space="preserve">补肺汤</x:t>
  </x:si>
  <x:si>
    <x:t xml:space="preserve">肺气虚
【病机】肺气不足，宣降无力，卫外不固。
【症状】咳喘无力，气短懒言，动则加重；语声低微、少气乏力；自汗、怕风、易感冒；痰液清稀、量少。
【脉象】
右寸（肺）：波峰低
【标准方】补肺汤</x:t>
  </x:si>
  <x:si>
    <x:t xml:space="preserve">tan_shi_zu_fei</x:t>
  </x:si>
  <x:si>
    <x:t xml:space="preserve">痰湿阻肺</x:t>
  </x:si>
  <x:si>
    <x:t xml:space="preserve">不舒服|痰多|咳嗽</x:t>
  </x:si>
  <x:si>
    <x:t xml:space="preserve">二陈汤</x:t>
  </x:si>
  <x:si>
    <x:t xml:space="preserve">痰湿阻肺
【病机】脾失健运，痰湿内生，上壅于肺，肺失宣降。
【症状】咳嗽痰多，色白黏稠、量多易咯；胸闷、气喘、喉间痰鸣；肢体困重，口淡不渴。
【脉象】
右寸（肺）：波宽宽
【标准方】二陈汤</x:t>
  </x:si>
  <x:si>
    <x:t xml:space="preserve">fei_yin_xu</x:t>
  </x:si>
  <x:si>
    <x:t xml:space="preserve">不舒服|咳嗽</x:t>
  </x:si>
  <x:si>
    <x:t xml:space="preserve">沙参麦冬汤</x:t>
  </x:si>
  <x:si>
    <x:t xml:space="preserve">肺阴虚
【病机】肺阴亏虚，虚火内生，肺失滋润、清肃无权。
【症状】干咳无痰，或痰少黏稠难咯；咽干口燥、声音嘶哑；潮热盗汗、五心烦热；颧红、形体消瘦。
【脉象】
右寸（肺）：波速快，波宽窄
【标准方】沙参麦冬汤</x:t>
  </x:si>
  <x:si>
    <x:t xml:space="preserve">tan_re_yong_fei</x:t>
  </x:si>
  <x:si>
    <x:t xml:space="preserve">痰热壅肺</x:t>
  </x:si>
  <x:si>
    <x:t xml:space="preserve">不舒服|发烧|痰多|咳嗽</x:t>
  </x:si>
  <x:si>
    <x:t xml:space="preserve">清气化痰丸</x:t>
  </x:si>
  <x:si>
    <x:t xml:space="preserve">痰热壅肺
【病机】邪热入里，灼津成痰、痰热互结，壅遏肺气，肺失宣降。
【症状】咳嗽气喘，痰多黄稠、黏稠难咯；胸闷胸痛，甚则鼻翼煽动；发热口渴、烦躁、大便干结、小便黄。
【脉象】
右寸（肺）：波速快，波宽宽
【标准方】清气化痰丸</x:t>
  </x:si>
  <x:si>
    <x:t xml:space="preserve">biao_han_li_re</x:t>
  </x:si>
  <x:si>
    <x:t xml:space="preserve">表寒里热</x:t>
  </x:si>
  <x:si>
    <x:t xml:space="preserve">不舒服|时冷时热|痰多|咳嗽</x:t>
  </x:si>
  <x:si>
    <x:t xml:space="preserve">大青龙汤</x:t>
  </x:si>
  <x:si>
    <x:t xml:space="preserve">表寒里热
【病机】寒邪束表，里有郁热，寒热错杂。
【症状】怕冷无汗，口干咽痛，浑身酸痛怕冷，同时心烦燥热。
【脉象】
浮脉（表）：波速慢
右寸（肺）：波速快
【标准方】大青龙汤</x:t>
  </x:si>
  <x:si>
    <x:t xml:space="preserve">biao_han_li_yin</x:t>
  </x:si>
  <x:si>
    <x:t xml:space="preserve">表寒里饮</x:t>
  </x:si>
  <x:si>
    <x:t xml:space="preserve">小青龙汤</x:t>
  </x:si>
  <x:si>
    <x:t xml:space="preserve">表寒里饮
【病机】外感风寒，寒邪束表；内有水饮伏肺，表里寒邪相合，寒饮壅遏肺气。
【症状】恶寒发热，咳嗽气喘；痰多清稀，胸闷胸满，面部浮肿。
【脉象】
浮脉（表）：波速慢
右寸（肺）：波速慢，波宽宽
【标准方】小青龙汤</x:t>
  </x:si>
  <x:si>
    <x:t xml:space="preserve">pi_qi_xu</x:t>
  </x:si>
  <x:si>
    <x:t xml:space="preserve">脾气虚</x:t>
  </x:si>
  <x:si>
    <x:t xml:space="preserve">不舒服|拉肚子</x:t>
  </x:si>
  <x:si>
    <x:t xml:space="preserve">四君子汤</x:t>
  </x:si>
  <x:si>
    <x:t xml:space="preserve">脾气虚
【病机】饮食劳倦、久病耗伤，脾失健运、中气不足、运化失职。
【症状】食少纳呆、脘腹胀满，饭后尤甚；神疲乏力、少气懒言、肢体倦怠；面色萎黄、形体消瘦或浮肿；大便溏薄。
【脉象】
右关（脾）：波峰低
【标准方】四君子汤</x:t>
  </x:si>
  <x:si>
    <x:t xml:space="preserve">shi_sheng_kun_pi</x:t>
  </x:si>
  <x:si>
    <x:t xml:space="preserve">湿盛困脾</x:t>
  </x:si>
  <x:si>
    <x:t xml:space="preserve">平胃散</x:t>
  </x:si>
  <x:si>
    <x:t xml:space="preserve">湿盛困脾
【病机】外感湿邪、或嗜食生冷肥甘，湿邪壅滞、脾阳被困、运化失司，属实证。
【症状】脘腹痞闷、食少纳呆；恶心欲呕、口中黏腻、口淡不渴；头身困重、四肢酸楚、困倦嗜睡；大便溏稀不爽。
【脉象】
右关（脾）：波宽宽
【标准方】平胃散</x:t>
  </x:si>
  <x:si>
    <x:t xml:space="preserve">pi_yang_xu</x:t>
  </x:si>
  <x:si>
    <x:t xml:space="preserve">脾阳虚</x:t>
  </x:si>
  <x:si>
    <x:t xml:space="preserve">不舒服|拉肚子|肚子疼</x:t>
  </x:si>
  <x:si>
    <x:t xml:space="preserve">理中丸</x:t>
  </x:si>
  <x:si>
    <x:t xml:space="preserve">脾阳虚
【病机】脾气久虚，脾阳不足、虚寒内生、运化腐熟无权。
【症状】食少纳呆、脘腹冷痛，喜温喜按；大便清稀溏薄，甚至完谷不化；畏寒肢冷、四肢不温、神疲乏力；口淡不渴、面色㿠白或萎黄；或肢体浮肿、白带清稀量多。
【脉象】
右关（脾）：波峰低，波速慢，波宽宽
【标准方】理中丸</x:t>
  </x:si>
  <x:si>
    <x:t xml:space="preserve">pi_xu_shi_sheng</x:t>
  </x:si>
  <x:si>
    <x:t xml:space="preserve">参苓白术散</x:t>
  </x:si>
  <x:si>
    <x:t xml:space="preserve">脾虚湿盛
【病机】脾气本虚，运化无力，水湿内生，湿浊内停。
【症状】食少纳呆，脘腹痞闷，饭后胀甚；神疲乏力、少气懒言、四肢困重；大便溏薄、或泄泻、黏滞不爽；面色萎黄，或肢体浮肿、带下量多清稀。
【脉象】
右关（脾）：波峰低，波宽宽
【标准方】参苓白术散</x:t>
  </x:si>
  <x:si>
    <x:t xml:space="preserve">wai_gan_feng_han_nei_shang_shi_zhi</x:t>
  </x:si>
  <x:si>
    <x:t xml:space="preserve">外感风寒，内伤湿滞</x:t>
  </x:si>
  <x:si>
    <x:t xml:space="preserve">不舒服|发烧|拉肚子</x:t>
  </x:si>
  <x:si>
    <x:t xml:space="preserve">藿香正气散</x:t>
  </x:si>
  <x:si>
    <x:t xml:space="preserve">外感风寒，内伤湿滞
【病机】外感风寒之邪束表，内伤饮食湿浊阻滞中焦；表有风寒、里有湿滞。
【症状】外感风寒：恶寒发热、头痛身重、无汗、鼻塞流清涕；内伤湿滞：胸膈满闷、脘腹胀痛、恶心呕吐、肠鸣泄泻；怕冷发热 + 又吐又泻、身重胸闷。
【脉象】
浮脉（表）：波速慢
右关（脾）：波宽宽
【标准方】藿香正气散</x:t>
  </x:si>
  <x:si>
    <x:t xml:space="preserve">han_ning_xin_mai</x:t>
  </x:si>
  <x:si>
    <x:t xml:space="preserve">寒凝心脉</x:t>
  </x:si>
  <x:si>
    <x:t xml:space="preserve">不舒服|心神不宁|胸闷气短</x:t>
  </x:si>
  <x:si>
    <x:t xml:space="preserve">当归四逆汤</x:t>
  </x:si>
  <x:si>
    <x:t xml:space="preserve">寒凝心脉
【病机】素体阳虚，阴寒凝滞，寒邪痹阻心脉、胸阳不振，心脉拘急不通而痛。
【症状】猝然胸痛、痛势剧烈、遇寒加重、得温痛减；胸闷气短、心悸怔忡；畏寒肢冷、面色苍白、唇甲青紫。
【脉象】
左寸（心）：波速慢
【标准方】当归四逆汤</x:t>
  </x:si>
  <x:si>
    <x:t xml:space="preserve">xin_huo_kang_sheng</x:t>
  </x:si>
  <x:si>
    <x:t xml:space="preserve">心火亢盛</x:t>
  </x:si>
  <x:si>
    <x:t xml:space="preserve">不舒服|心神不宁|失眠多梦</x:t>
  </x:si>
  <x:si>
    <x:t xml:space="preserve">导赤散</x:t>
  </x:si>
  <x:si>
    <x:t xml:space="preserve">心火亢盛
【病机】心火内炽，火热扰心、灼伤脉络、下移小肠。
【症状】心胸烦热、心悸失眠、烦躁易怒；口舌生疮、舌尖红赤疼痛；口干口苦、面红目赤；小便短赤、灼热涩痛。
【脉象】
左寸（心）：波速快
【标准方】导赤散</x:t>
  </x:si>
  <x:si>
    <x:t xml:space="preserve">tan_mi_xin_qiao</x:t>
  </x:si>
  <x:si>
    <x:t xml:space="preserve">痰迷心窍</x:t>
  </x:si>
  <x:si>
    <x:t xml:space="preserve">不舒服|痰多|胸闷气短</x:t>
  </x:si>
  <x:si>
    <x:t xml:space="preserve">涤痰汤</x:t>
  </x:si>
  <x:si>
    <x:t xml:space="preserve">痰迷心窍
【病机】痰湿浊邪蒙蔽心窍，神明失主，多由情志郁结、脾失健运、痰浊内生，上蒙心神所致。
【症状】神志痴呆、精神抑郁、表情淡漠；喃喃自语、举止失常、昏不知人；喉中痰鸣、胸闷痰多、意识模糊；甚则突然昏仆、不省人事。
【脉象】
左寸（心）：波宽宽
【标准方】涤痰汤</x:t>
  </x:si>
  <x:si>
    <x:t xml:space="preserve">xin_qi_xu</x:t>
  </x:si>
  <x:si>
    <x:t xml:space="preserve">心气虚</x:t>
  </x:si>
  <x:si>
    <x:t xml:space="preserve">养心汤</x:t>
  </x:si>
  <x:si>
    <x:t xml:space="preserve">心气虚
【病机】心气不足，鼓动无力，心神失养。
【症状】心悸怔忡，活动后加重；气短、胸闷、精神疲倦；自汗，面色淡白。
【脉象】
左寸（心）：波峰低
【标准方】养心汤</x:t>
  </x:si>
  <x:si>
    <x:t xml:space="preserve">xin_mai_yu_zu</x:t>
  </x:si>
  <x:si>
    <x:t xml:space="preserve">心脉瘀阻</x:t>
  </x:si>
  <x:si>
    <x:t xml:space="preserve">不舒服|心神不宁|胸闷气短|胸口疼</x:t>
  </x:si>
  <x:si>
    <x:t xml:space="preserve">血府逐瘀汤</x:t>
  </x:si>
  <x:si>
    <x:t xml:space="preserve">心脉瘀阻
【病机】瘀血阻滞心之脉络，气血不通，心失濡养，不通则痛。
【症状】心胸疼痛，心悸心慌，胸闷气短，喘不得卧；面色晦暗、唇甲青紫。
【脉象】
左寸（心）：波线粗
【标准方】血府逐瘀汤</x:t>
  </x:si>
  <x:si>
    <x:t xml:space="preserve">xin_yin_xu</x:t>
  </x:si>
  <x:si>
    <x:t xml:space="preserve">心阴虚</x:t>
  </x:si>
  <x:si>
    <x:t xml:space="preserve">天王补心丹</x:t>
  </x:si>
  <x:si>
    <x:t xml:space="preserve">心阴虚
【病机】心阴亏虚，心神失养，虚火内扰。
【症状】心悸怔忡，心慌不安；心烦失眠、多梦易醒；五心烦热、潮热盗汗；口干咽燥、面色颧红。
【脉象】
左寸（心）：波线细，波速快，波宽窄
【标准方】天王补心丹</x:t>
  </x:si>
  <x:si>
    <x:t xml:space="preserve">xin_yang_xu</x:t>
  </x:si>
  <x:si>
    <x:t xml:space="preserve">桂枝甘草汤</x:t>
  </x:si>
  <x:si>
    <x:t xml:space="preserve">心阳虚
【病机】心阳不足，温煦、鼓动无力，虚寒内生。
【症状】心悸怔忡，心慌不安；胸闷气短、遇寒加重；畏寒怕冷、四肢不温；面色㿠白，精神疲乏，自汗。
【脉象】
左寸（心）：波峰低，波速慢
【标准方】桂枝甘草汤</x:t>
  </x:si>
  <x:si>
    <x:t xml:space="preserve">tan_huo_rao_xin</x:t>
  </x:si>
  <x:si>
    <x:t xml:space="preserve">黄连温胆汤</x:t>
  </x:si>
  <x:si>
    <x:t xml:space="preserve">痰火扰心
【病机】痰浊郁而化火，痰火互结、上扰心神，神明躁动不宁。
【症状】心烦失眠、躁扰不宁、狂躁易怒；多梦易惊、甚至胡言乱语、哭笑无常；胸闷痞满、口苦、痰多黄稠。
【脉象】
左寸（心）：波速快，波宽宽
【标准方】黄连温胆汤</x:t>
  </x:si>
  <x:si>
    <x:t xml:space="preserve">xin_pi_liang_xu</x:t>
  </x:si>
  <x:si>
    <x:t xml:space="preserve">不舒服|心神不宁|头晕|失眠多梦</x:t>
  </x:si>
  <x:si>
    <x:t xml:space="preserve">归脾汤</x:t>
  </x:si>
  <x:si>
    <x:t xml:space="preserve">心脾两虚
【病机】思虑过度、劳倦伤脾、久病体虚、失血过多；脾气虚弱，气血生化不足，心血亏虚、心神失养，属气血两虚、虚证。
【症状】心悸怔忡、失眠多梦、健忘头晕；食欲不振、腹胀便溏、神疲乏力；面色萎黄或苍白、肢体倦怠；女子月经量少色淡、淋漓不尽。
【脉象】
左寸（心）：波线细
右关（脾）：波峰低
【标准方】归脾汤</x:t>
  </x:si>
  <x:si>
    <x:t xml:space="preserve">gan_huo_shang_yan</x:t>
  </x:si>
  <x:si>
    <x:t xml:space="preserve">肝火上炎</x:t>
  </x:si>
  <x:si>
    <x:t xml:space="preserve">不舒服|头晕|失眠多梦</x:t>
  </x:si>
  <x:si>
    <x:t xml:space="preserve">龙胆泻肝汤</x:t>
  </x:si>
  <x:si>
    <x:t xml:space="preserve">肝火上炎
【病机】肝郁化火、暴怒伤肝，肝火炽盛、气火上逆，属实热证。
【症状】头晕胀痛、面红目赤、急躁易怒；口苦口干、耳鸣耳聋、胁肋灼痛；失眠多梦、甚至狂躁；吐血、衄血。
【脉象】
左关（肝）：波速快
【标准方】龙胆泻肝汤</x:t>
  </x:si>
  <x:si>
    <x:t xml:space="preserve">han_zhi_gan_mai</x:t>
  </x:si>
  <x:si>
    <x:t xml:space="preserve">寒滞肝脉</x:t>
  </x:si>
  <x:si>
    <x:t xml:space="preserve">不舒服|肚子疼|头晕</x:t>
  </x:si>
  <x:si>
    <x:t xml:space="preserve">暖肝煎</x:t>
  </x:si>
  <x:si>
    <x:t xml:space="preserve">寒滞肝脉
【病机】外感寒邪、凝滞肝经，肝脉拘急、气血阻滞、阳气被遏，属实寒证。
【症状】少腹冷痛、睾丸坠胀冷痛、疝气痛；巅顶头痛、畏寒喜暖、得温痛减、遇寒加重；四肢厥冷、面色青白。
【脉象】
左关（肝）：波速慢
【标准方】暖肝煎</x:t>
  </x:si>
  <x:si>
    <x:t xml:space="preserve">gan_qi_yu_jie</x:t>
  </x:si>
  <x:si>
    <x:t xml:space="preserve">肝气郁结</x:t>
  </x:si>
  <x:si>
    <x:t xml:space="preserve">不舒服|肚子疼|胸闷气短</x:t>
  </x:si>
  <x:si>
    <x:t xml:space="preserve">柴胡疏肝散</x:t>
  </x:si>
  <x:si>
    <x:t xml:space="preserve">肝气郁结
【病机】情志不遂，肝失疏泄，气机郁滞、经脉不畅。
【症状】胸胁、乳房、少腹胀痛走窜；情绪抑郁、易怒、善太息；咽部异物感（梅核气）、胸闷嗳气；女子月经不调、痛经。
【脉象】
左关（肝）：波峰高
【标准方】柴胡疏肝散</x:t>
  </x:si>
  <x:si>
    <x:t xml:space="preserve">gan_xue_xu</x:t>
  </x:si>
  <x:si>
    <x:t xml:space="preserve">肝血虚</x:t>
  </x:si>
  <x:si>
    <x:t xml:space="preserve">四物汤</x:t>
  </x:si>
  <x:si>
    <x:t xml:space="preserve">肝血虚
【病机】肝血不足，筋脉、目、爪甲、心神失于濡养。
【症状】头晕眼花、视力减退、视物模糊；爪甲干枯脆薄，肢体麻木、筋脉拘挛；面色淡白或萎黄，唇舌色淡；女子月经量少、色淡，甚则闭经；失眠多梦、易惊。
【脉象】
左关（肝）：波线细
【标准方】四物汤</x:t>
  </x:si>
  <x:si>
    <x:t xml:space="preserve">gan_xue_yu_zhi</x:t>
  </x:si>
  <x:si>
    <x:t xml:space="preserve">肝血瘀滞</x:t>
  </x:si>
  <x:si>
    <x:t xml:space="preserve">不舒服|胁下痛|心烦意乱</x:t>
  </x:si>
  <x:si>
    <x:t xml:space="preserve">膈下逐瘀汤</x:t>
  </x:si>
  <x:si>
    <x:t xml:space="preserve">肝血瘀滞
【病机】肝气失疏，血行凝滞，瘀血痹阻肝之脉络。
【症状】肌肤甲错，周身瘀斑、蛛丝红缕；胁肋刺痛胀满，情绪压抑、生气后疼痛加重。
【脉象】
左关（肝）：波线粗
【标准方】膈下逐瘀汤</x:t>
  </x:si>
  <x:si>
    <x:t xml:space="preserve">gan_yin_xu</x:t>
  </x:si>
  <x:si>
    <x:t xml:space="preserve">肝阴虚</x:t>
  </x:si>
  <x:si>
    <x:t xml:space="preserve">一贯煎</x:t>
  </x:si>
  <x:si>
    <x:t xml:space="preserve">肝阴虚
【病机】情志化火、久病耗伤，肝阴不足、虚火内生、头目筋脉失养。
【症状】头晕耳鸣、两目干涩、视物昏花；胁肋隐隐灼痛、五心烦热；潮热盗汗、口燥咽干、面部烘热；手足蠕动、筋脉拘急。
【脉象】
左关（肝）：波线细，波速快，波宽窄
【标准方】一贯煎</x:t>
  </x:si>
  <x:si>
    <x:t xml:space="preserve">gan_yang_shang_kang</x:t>
  </x:si>
  <x:si>
    <x:t xml:space="preserve">钩藤散</x:t>
  </x:si>
  <x:si>
    <x:t xml:space="preserve">肝阳上亢
【病机】肝肾阴虚，阴不制阳、肝阳升发太过、上扰头目，属本虚标实。
【症状】眩晕耳鸣、头目胀痛、面红目赤；急躁易怒、失眠多梦、腰膝酸软；头重脚轻、步履不稳。
【脉象】
左关（肝）：波峰高，波速快
【标准方】钩藤散</x:t>
  </x:si>
  <x:si>
    <x:t xml:space="preserve">gan_pi_bu_he</x:t>
  </x:si>
  <x:si>
    <x:t xml:space="preserve">肝脾不和</x:t>
  </x:si>
  <x:si>
    <x:t xml:space="preserve">不舒服|肚子疼|拉肚子</x:t>
  </x:si>
  <x:si>
    <x:t xml:space="preserve">逍遥散</x:t>
  </x:si>
  <x:si>
    <x:t xml:space="preserve">肝脾不和（肝郁脾虚）
【病机】情志不舒、肝气郁结，木旺克土；脾虚失运、肝气乘脾。
【症状】胸胁胀痛、善太息、情绪抑郁易怒；脘腹胀满、嗳气食少；腹痛泄泻、泻后痛减；食欲不振、肠鸣矢气多。
【脉象】
左关（肝）：波峰高
右关（脾）：波峰低
【标准方】逍遥散</x:t>
  </x:si>
  <x:si>
    <x:t xml:space="preserve">shen_bu_na_qi</x:t>
  </x:si>
  <x:si>
    <x:t xml:space="preserve">肾不纳气</x:t>
  </x:si>
  <x:si>
    <x:t xml:space="preserve">不舒服|腰膝酸软|胸闷气短</x:t>
  </x:si>
  <x:si>
    <x:t xml:space="preserve">人参蛤蚧散</x:t>
  </x:si>
  <x:si>
    <x:t xml:space="preserve">肾不纳气
【病机】久病咳喘、年老肾虚、劳伤肾气；肾气亏虚，下元不固，不能摄纳肺气，气浮于上。属虚喘、肺肾两虚，无明显实邪。
【症状】喘促日久、呼多吸少、动则喘甚；气短不足以息、吸气浅表；腰膝酸软、神疲乏力；或自汗、语声低怯。
【脉象】
右寸（肺）：波峰低
右尺（肾阳）：波峰低
【标准方】人参蛤蚧散</x:t>
  </x:si>
  <x:si>
    <x:t xml:space="preserve">shen_yin_xu</x:t>
  </x:si>
  <x:si>
    <x:t xml:space="preserve">肾阴虚</x:t>
  </x:si>
  <x:si>
    <x:t xml:space="preserve">不舒服|腰膝酸软|耳鸣</x:t>
  </x:si>
  <x:si>
    <x:t xml:space="preserve">六味地黄丸</x:t>
  </x:si>
  <x:si>
    <x:t xml:space="preserve">肾阴虚
【病机】久病耗伤、房劳过度、过服温燥，肾阴亏虚、虚火内生、失于滋养。
【症状】腰膝酸痛、眩晕耳鸣、健忘；潮热盗汗、五心烦热、口燥咽干；男子遗精早泄，女子经少、闭经或崩漏；形体消瘦、失眠多梦。
【脉象】
左尺（肾阴）：波线细，波宽窄
右尺（肾阳）：波速快
【标准方】六味地黄丸</x:t>
  </x:si>
  <x:si>
    <x:t xml:space="preserve">shen_yang_xu</x:t>
  </x:si>
  <x:si>
    <x:t xml:space="preserve">肾阳虚</x:t>
  </x:si>
  <x:si>
    <x:t xml:space="preserve">不舒服|腰膝酸软|夜尿多|耳鸣</x:t>
  </x:si>
  <x:si>
    <x:t xml:space="preserve">金匮肾气丸</x:t>
  </x:si>
  <x:si>
    <x:t xml:space="preserve">肾阳虚
【病机】年老肾亏、久病伤阳、房劳耗损，肾阳亏虚、命门火衰、温煦气化无权。
【症状】腰膝冷痛、酸软无力；畏寒肢冷，尤以下肢为甚；精神萎靡、面色㿠白或黧黑；小便清长、夜尿多、遗尿；男子阳痿早泄，女子宫寒不孕、带下清稀；大便久泄不止、完谷不化、五更泄泻。
【脉象】
左尺（肾阴）：波宽宽
右尺（肾阳）：波峰低，波速慢
【标准方】金匮肾气丸</x:t>
  </x:si>
  <x:si>
    <x:t xml:space="preserve">shen_xu_shui_fan</x:t>
  </x:si>
  <x:si>
    <x:t xml:space="preserve">肾虚水泛</x:t>
  </x:si>
  <x:si>
    <x:t xml:space="preserve">不舒服|腰膝酸软|夜尿多</x:t>
  </x:si>
  <x:si>
    <x:t xml:space="preserve">真武汤</x:t>
  </x:si>
  <x:si>
    <x:t xml:space="preserve">肾虚水泛
【病机】肾阳虚衰，气化无权，水湿内停，泛溢肌肤。
【症状】周身浮肿，腰以下肿甚，按之凹陷不起；腰膝酸软冷痛，畏寒肢冷；小便短少，或小便不利；心悸气短、喘咳痰稀如水；面色㿠白或灰黯。
【脉象】
左尺（肾阴）：波宽宽
右尺（肾阳）：波峰低，波速慢
右关（脾）：波宽宽
【标准方】真武汤</x:t>
  </x:si>
  <x:si>
    <x:t xml:space="preserve">shen_jing_bu_zu</x:t>
  </x:si>
  <x:si>
    <x:t xml:space="preserve">左归丸</x:t>
  </x:si>
  <x:si>
    <x:t xml:space="preserve">肾精不足
【病机】先天禀赋不足、后天耗伤太过、久病及肾、房劳过度，肾精亏少，不能充养骨骼、脑髓、生殖之本。
【症状】小儿五迟五软：立迟、行迟、语迟、发迟、齿迟；囟门迟闭、智力低下、身材矮小。
成人脑髓失养：头晕耳鸣、健忘失眠、精神迟钝；早衰特征：发脱齿摇、须发早白；骨骼失养：腰膝酸软、足痿无力生殖亏虚：男子精少不育；女子经闭、不孕。
【脉象】
左尺（肾阴）：波线细
右尺（肾阳）：波峰低
【标准方】左归丸</x:t>
  </x:si>
  <x:si>
    <x:t xml:space="preserve">shen_qi_bu_gu</x:t>
  </x:si>
  <x:si>
    <x:t xml:space="preserve">金锁固精丸</x:t>
  </x:si>
  <x:si>
    <x:t xml:space="preserve">肾气不固
【病机】久病劳损、年老体弱、房事不节，肾气亏虚、封藏固摄无权，偏虚证、无明显寒热。
【症状】腰膝酸软、神疲乏力，耳鸣；小便频数清长、夜尿多、遗尿、小便失禁；男子：滑精、早泄；女子：带下清稀量多、胎动易滑。
【脉象】
左尺（肾阴）：波宽宽
右尺（肾阳）：波峰低
【标准方】金锁固精丸</x:t>
  </x:si>
  <x:si>
    <x:t xml:space="preserve">ren_shen_disease</x:t>
  </x:si>
  <x:si>
    <x:t xml:space="preserve">不舒服|恶心</x:t>
  </x:si>
  <x:si>
    <x:t xml:space="preserve">泰山磐石散</x:t>
  </x:si>
  <x:si>
    <x:t xml:space="preserve">妊娠
【病机】气血下聚冲任以养胎元，母体气血为胎元之本。胎之成，成于肾；胎之养，养于脾。
【症状】恶心呕吐，食入即吐、厌油腻、头晕倦怠；
【脉象】
左尺（肾阴）：波线粗
右尺（肾阳）：波峰高
右关（脾）：波宽宽
【标准方】泰山磐石散</x:t>
  </x:si>
  <x:si>
    <x:t xml:space="preserve">xin_shen_bu_jiao</x:t>
  </x:si>
  <x:si>
    <x:t xml:space="preserve">心肾不交</x:t>
  </x:si>
  <x:si>
    <x:t xml:space="preserve">不舒服|失眠多梦|腰膝酸软</x:t>
  </x:si>
  <x:si>
    <x:t xml:space="preserve">黄连阿胶汤</x:t>
  </x:si>
  <x:si>
    <x:t xml:space="preserve">心肾不交
【病机】肾阴不足，不能上滋心火；心火偏亢，不能下温肾水，水火失济、阴阳失调。多由劳神过度、久病耗阴、情志郁而化火所致，多属阴虚火旺。
【症状】心火亢于上：心烦失眠、多梦易醒、心悸怔忡、口舌生疮；肾阴亏于下：腰膝酸软、眩晕耳鸣、潮热盗汗、五心烦热；失眠多梦 ， 腰膝酸软 ， 夜寐不安。
【脉象】
左寸（心）：波速快
左尺（肾阴）：波线细，波宽窄
右尺（肾阳）：波速快
【标准方】黄连阿胶汤</x:t>
  </x:si>
  <x:si>
    <x:t xml:space="preserve">qi_fen_re_sheng</x:t>
  </x:si>
  <x:si>
    <x:t xml:space="preserve">气分热盛</x:t>
  </x:si>
  <x:si>
    <x:t xml:space="preserve">不舒服|发烧</x:t>
  </x:si>
  <x:si>
    <x:t xml:space="preserve">白虎汤</x:t>
  </x:si>
  <x:si>
    <x:t xml:space="preserve">气分热盛
【病机】外感温热病邪入里，邪热炽盛、入居气分、里热蒸腾、正邪剧争，属实热证。
【症状】大热：全身壮热、不恶寒反恶热；大汗：热迫津泄、大汗出；大渴：口大渴、喜冷饮；脉洪大。
【脉象】
浮脉（表）：波峰高（轻微），波速快（轻微），波宽窄（轻微）
左寸（心）：波峰高（轻微），波速快（轻微），波宽窄（轻微）
右寸（肺）：波峰高（剧烈），波速快（剧烈），波宽窄（剧烈）
右关（脾）：波峰高（剧烈），波速快（剧烈），波宽窄（剧烈）
【标准方】白虎汤</x:t>
  </x:si>
  <x:si>
    <x:t xml:space="preserve">EQ</x:t>
  </x:si>
  <x:si>
    <x:t xml:space="preserve">EB</x:t>
  </x:si>
  <x:si>
    <x:t xml:space="preserve">ET</x:t>
  </x:si>
  <x:si>
    <x:t xml:space="preserve">EH</x:t>
  </x:si>
  <x:si>
    <x:t xml:space="preserve">HQ</x:t>
  </x:si>
  <x:si>
    <x:t xml:space="preserve">HB</x:t>
  </x:si>
  <x:si>
    <x:t xml:space="preserve">HT</x:t>
  </x:si>
  <x:si>
    <x:t xml:space="preserve">HH</x:t>
  </x:si>
  <x:si>
    <x:t xml:space="preserve">LQ</x:t>
  </x:si>
  <x:si>
    <x:t xml:space="preserve">LB</x:t>
  </x:si>
  <x:si>
    <x:t xml:space="preserve">LT</x:t>
  </x:si>
  <x:si>
    <x:t xml:space="preserve">LH</x:t>
  </x:si>
  <x:si>
    <x:t xml:space="preserve">SQ</x:t>
  </x:si>
  <x:si>
    <x:t xml:space="preserve">SB</x:t>
  </x:si>
  <x:si>
    <x:t xml:space="preserve">ST</x:t>
  </x:si>
  <x:si>
    <x:t xml:space="preserve">SH</x:t>
  </x:si>
  <x:si>
    <x:t xml:space="preserve">PQ</x:t>
  </x:si>
  <x:si>
    <x:t xml:space="preserve">PB</x:t>
  </x:si>
  <x:si>
    <x:t xml:space="preserve">PT</x:t>
  </x:si>
  <x:si>
    <x:t xml:space="preserve">PH</x:t>
  </x:si>
  <x:si>
    <x:t xml:space="preserve">KYQ</x:t>
  </x:si>
  <x:si>
    <x:t xml:space="preserve">KYB</x:t>
  </x:si>
  <x:si>
    <x:t xml:space="preserve">KYT</x:t>
  </x:si>
  <x:si>
    <x:t xml:space="preserve">KYH</x:t>
  </x:si>
  <x:si>
    <x:t xml:space="preserve">KZQ</x:t>
  </x:si>
  <x:si>
    <x:t xml:space="preserve">KZB</x:t>
  </x:si>
  <x:si>
    <x:t xml:space="preserve">KZT</x:t>
  </x:si>
  <x:si>
    <x:t xml:space="preserve">KZH</x:t>
  </x:si>
  <x:si>
    <x:t xml:space="preserve">FormulaID</x:t>
  </x:si>
  <x:si>
    <x:t xml:space="preserve">FormulaName</x:t>
  </x:si>
  <x:si>
    <x:t xml:space="preserve">TargetDiseaseName</x:t>
  </x:si>
  <x:si>
    <x:t xml:space="preserve">ma_huang_tang</x:t>
  </x:si>
  <x:si>
    <x:t xml:space="preserve">shang_han_lun</x:t>
  </x:si>
  <x:si>
    <x:t xml:space="preserve">麻黄汤
【出处】《伤寒论》
【功效】发汗解表，宣肺平喘
【主治】风寒表实证
【组成】
君：麻黄 三钱
臣：桂枝 二钱
佐：杏仁 二钱
使：甘草 一钱
【配伍】
麻桂相须，增强发汗散寒之力，专治表实无汗。
麻杏相使，宣降相配，专治寒邪闭肺之喘逆。
甘草调和诸药</x:t>
  </x:si>
  <x:si>
    <x:t xml:space="preserve">gui_zhi_tang</x:t>
  </x:si>
  <x:si>
    <x:t xml:space="preserve">桂枝汤
【出处】《伤寒论》
【功效】解肌发表，调和营卫
【主治】风寒表虚证
【组成】
君：桂枝 三钱
臣：白芍 三钱
佐：生姜 三钱，大枣 二钱
使：甘草 二钱
【配伍】
桂枝辛散卫邪，白芍酸敛营阴；一散一收，调和营卫，不伤正、不敛邪。
姜枣相合，调和脾胃，化生气血，资营卫之源。</x:t>
  </x:si>
  <x:si>
    <x:t xml:space="preserve">yin_qiao_san</x:t>
  </x:si>
  <x:si>
    <x:t xml:space="preserve">wen_bing_tiao_bian</x:t>
  </x:si>
  <x:si>
    <x:t xml:space="preserve">银翘散
【出处】《温病条辨》
【功效】辛凉透表，清热解毒
【主治】风热表证
【组成】
君：金银花 一两，连翘 一两
臣：牛蒡子 六钱，荆芥四钱，薄荷 六钱，淡豆豉 五钱
佐：桔梗 六钱，芦根 四钱，竹叶 四钱
使：甘草 五钱
【配伍】
金银花、连翘：辛凉透表、疏散风热，清热解毒，轻清宣透上焦风热
薄荷、牛蒡子：辛凉疏散风热，清利咽喉、宣肺止咳
荆芥穗、淡豆豉：辛温透表，发汗透邪，防寒凉郁遏气机，助邪外达
桔梗：宣肺利咽、开气止咳
淡竹叶、芦根：清热生津、除烦止渴，缓解风热口渴
生甘草：调和诸药，兼清热解毒、利咽止痛</x:t>
  </x:si>
  <x:si>
    <x:t xml:space="preserve">sang_xing_tang</x:t>
  </x:si>
  <x:si>
    <x:t xml:space="preserve">桑杏汤
【出处】《温病条辨》
【功效】清宣温燥，润肺止咳
【主治】温燥证
【组成】
君：桑叶 一钱五分，杏仁 二钱
臣：沙参 一钱
佐：贝母 一钱，淡豆豉 一钱，栀子 一钱，梨皮一钱
使：
【配伍】
桑叶：轻清宣透、疏散上焦温燥
杏仁：苦润降肺、润燥止咳
淡豆豉：透表散邪
贝母：清热化痰、润肺散结
沙参：养阴生津、润肺
栀子：轻清泄上焦燥热
梨皮：清热润燥、生津止渴</x:t>
  </x:si>
  <x:si>
    <x:t xml:space="preserve">xing_su_san</x:t>
  </x:si>
  <x:si>
    <x:t xml:space="preserve">杏苏散
【出处】《温病条辨》
【功效】轻宣凉燥，理肺化痰
【主治】凉燥证
【组成】
君：杏仁 三钱，苏叶 三钱
臣：半夏 三钱，前胡 三钱，陈皮 三钱
佐：茯苓 二钱，桔梗 二钱，枳壳 二钱
使：甘草 一钱
【配伍】
苏叶：辛温发散，轻宣凉燥、疏散风寒；
杏仁：苦温润燥，降肺止咳。
前胡：疏风降气、化痰；
桔梗枳壳：一升一降，宣畅肺气。
半夏、陈皮、茯苓：燥湿化痰、理气健脾，杜生痰之源。
生甘草：调和诸药</x:t>
  </x:si>
  <x:si>
    <x:t xml:space="preserve">yu_ping_feng_san</x:t>
  </x:si>
  <x:si>
    <x:t xml:space="preserve">jiu_yuan_fang</x:t>
  </x:si>
  <x:si>
    <x:t xml:space="preserve">玉屏风散
【出处】《究原方》
【功效】益气固表，止汗御风
【主治】卫气虚
【组成】
君：黄芪  一两
臣：白术 一两
佐：防风 五钱
使：
【配伍】
黄芪：大补肺脾之气，固表实卫、益气止汗。
白术：健脾益气，助黄芪培补元气、固护肌表。
防风：走肌表、疏散风邪，固表不留邪、祛风不伤正。</x:t>
  </x:si>
  <x:si>
    <x:t xml:space="preserve">wu_tou_tang</x:t>
  </x:si>
  <x:si>
    <x:t xml:space="preserve">jin_gui_yao_lue</x:t>
  </x:si>
  <x:si>
    <x:t xml:space="preserve">乌头汤
【出处】《金匮要略》
【功效】温经散寒，除湿止痛
【主治】痛痹（寒痹）
【组成】
君：乌头 二钱
臣：麻黄 三钱
佐：白芍 三钱，黄芪 三钱
使：甘草 三钱，蜂蜜 一斤
【配伍】
乌头：大辛大热，温经散寒、逐寒湿、止剧痛，专治寒凝痹痛；
麻黄：发汗散寒，宣通经络，助乌头透邪外出。
黄芪：益气固表、扶正实卫，防辛散耗气；
白芍：养血和营、缓急止痛，柔筋止拘挛；
炙甘草、蜂蜜：缓乌头峻烈毒性，调和诸药，缓急止痛。</x:t>
  </x:si>
  <x:si>
    <x:t xml:space="preserve">bai_hu_gui_zhi_tang</x:t>
  </x:si>
  <x:si>
    <x:t xml:space="preserve">白虎桂枝汤
【出处】《金匮要略》
【功效】清热通络，和营祛风
【主治】热痹
【组成】
君：石膏 二两
臣：知母 六钱
佐：桂枝 三钱，粳米 五钱
使：甘草 三钱
【配伍】
生石膏：大寒大清，清气分实热，泻火除烦，专治关节红肿灼热。
知母：苦寒清热、滋阴润燥，助石膏清泄里热。
桂枝：辛温通络、祛风和营，引药直达经络关节，散经络风湿热邪；辛温反佐，防寒凉凝滞气血。
炙甘草、粳米：益气养胃，缓和石膏、知母寒凉之性，保护胃气。</x:t>
  </x:si>
  <x:si>
    <x:t xml:space="preserve">yi_yi_ren_tang</x:t>
  </x:si>
  <x:si>
    <x:t xml:space="preserve">tai_yi_yuan_jing_yan_qi_xiao_liang_fang_da_quan</x:t>
  </x:si>
  <x:si>
    <x:t xml:space="preserve">薏苡仁汤
【出处】《太医院经验奇效良方大全》
【功效】除湿通络，祛风散寒
【主治】着痹（湿痹）
【组成】
君：薏苡仁 一两
臣：羌活 三钱，独活 三钱，麻黄 三钱，桂枝 三钱
佐：当归 二钱，川芎 二钱
使：甘草 三钱
【配伍】
薏苡仁：利水渗湿、健脾除痹、舒筋缓急，专治湿痹重着。
羌活、独活：祛风胜湿、通络止痛，上下分治周身湿邪
麻、桂：温经散寒、通阳通络，助祛湿
当归、川芎：养血活血、通络止痛，治风先治血、血行风自灭
甘草：调和诸药，温散助祛湿。</x:t>
  </x:si>
  <x:si>
    <x:t xml:space="preserve">fang_feng_tang</x:t>
  </x:si>
  <x:si>
    <x:t xml:space="preserve">tai_ping_hui_min_he_ji_ju_fang</x:t>
  </x:si>
  <x:si>
    <x:t xml:space="preserve">防风汤
【出处】《太平惠民和剂局方》
【功效】祛风通络，散寒除湿
【主治】行痹（风痹）
【组成】
君：防风 五钱
臣：桂枝 三钱，秦艽 三钱
佐：当归 二钱，川芎 二钱，葛根 三钱
使：甘草 一钱
【配伍】
防风：祛风胜湿、走窜经络，专治游走痹痛。
桂枝：温散风寒、通经活络；
秦艽：祛风湿、通络止痛，善治游走痹。
当归：养血和营、祛风通络；
川芎：活血通络；
葛根：解肌舒筋；
甘草调和诸药，调和营卫。</x:t>
  </x:si>
  <x:si>
    <x:t xml:space="preserve">ma_xing_shi_gan_tang</x:t>
  </x:si>
  <x:si>
    <x:t xml:space="preserve">麻杏石甘汤
【出处】《伤寒论》
【功效】辛凉疏表，清肺平喘
【主治】肺热壅盛
【组成】
君：麻黄 三钱
臣：石膏 八钱
佐：杏仁 三钱
使：甘草 二钱
【配伍】
麻黄：辛温，宣肺平喘、开泄肺气，散邪解表。
石膏:辛甘大寒，清泻肺热、生津止渴，清里热以制麻黄之温。
杏仁:苦降肺气，降利平喘，与麻黄一宣一降，恢复肺之宣肃。
炙甘草:调和诸药，益气护中，缓急润肺。</x:t>
  </x:si>
  <x:si>
    <x:t xml:space="preserve">bu_fei_tang</x:t>
  </x:si>
  <x:si>
    <x:t xml:space="preserve">bei_ji_qian_jin_yao_fang</x:t>
  </x:si>
  <x:si>
    <x:t xml:space="preserve">补肺汤
【出处】《备急千金要方》
【功效】补肺益气，止咳平喘
【主治】肺气虚
【组成】
君：人参 三钱，黄芪 五钱
臣：熟地黄 五钱
佐：五味子 二钱，紫菀 三钱，桑白皮 三钱
使：
【配伍】
人参、黄芪：大补肺气、固表益气，补益肺气虚之本。
熟地黄：滋肾填精，金水相生，助肺气之源。
五味子：收敛肺气、敛汗止喘，固表止自汗。
紫菀、桑白皮：降肺气、化痰止咳，清润不燥，补虚不滞。</x:t>
  </x:si>
  <x:si>
    <x:t xml:space="preserve">er_chen_tang</x:t>
  </x:si>
  <x:si>
    <x:t xml:space="preserve">二陈汤
【出处】《太平惠民和剂局方》
【功效】燥湿化痰，理气和中
【主治】痰湿阻肺
【组成】
君：半夏 五钱
臣：陈皮 五钱
佐：茯苓 三钱
使：甘草 一钱五分
【配伍】
半夏：辛温燥烈，燥湿化痰、降逆止呕。
陈皮：理气行滞、燥湿化痰，使气顺则痰消。
茯苓：健脾渗湿，杜生痰之源。
甘草：调和诸药，益气和中。</x:t>
  </x:si>
  <x:si>
    <x:t xml:space="preserve">sha_shen_mai_dong_tang</x:t>
  </x:si>
  <x:si>
    <x:t xml:space="preserve">沙参麦冬汤
【出处】《温病条辨》
【功效】清养肺胃，生津润燥
【主治】肺阴虚
【组成】
君：沙参 三钱，麦门冬 三钱
臣：玉竹 二钱，天花粉 一钱五分
佐：扁豆 一钱五分，桑叶 一钱五分
使：甘草 一钱
【配伍】
沙参、麦冬：养阴润肺、生津止渴，直补肺阴。
玉竹、天花粉：增强养阴生津、润燥止咳，清虚热、润肺燥。
桑叶：轻清宣肺、疏散虚热；
扁豆：健脾养胃，培土生金，助生津之源。
甘草：调和诸药，益气和中。</x:t>
  </x:si>
  <x:si>
    <x:t xml:space="preserve">qing_qi_hua_tan_wan</x:t>
  </x:si>
  <x:si>
    <x:t xml:space="preserve">yi_fang_kao</x:t>
  </x:si>
  <x:si>
    <x:t xml:space="preserve">清气化痰丸
【出处】《医方考》
【功效】清热化痰，理气止咳
【主治】痰热壅肺
【组成】
君：胆南星 一两五钱
臣：半夏 一两五钱，瓜蒌仁 一两，黄芩 一两
佐：杏仁 一两，陈皮 一两，枳实 一两，茯苓 一两
使：生姜 三两
【配伍】
胆南星：清热化痰，专治痰热壅肺。
瓜蒌仁：清热化痰、润肺下气、宽胸散结；
黄芩：清泻肺火，助南星清化痰热。
杏仁、半夏：降利肺气、化痰止咳
陈皮、枳实：理气破结，气顺痰自消
茯苓：健脾渗湿，杜绝生痰之源
生姜：制胆南星、半夏之毒</x:t>
  </x:si>
  <x:si>
    <x:t xml:space="preserve">da_qing_long_tang</x:t>
  </x:si>
  <x:si>
    <x:t xml:space="preserve">大青龙汤
【出处】《伤寒论》
【功效】发汗解表，兼清里热
【主治】外寒里热
【组成】
君：麻黄 六钱
臣：桂枝 二钱，石膏 一两
佐：杏仁 三钱，生姜 三钱，大枣 三钱
使：甘草 二钱
【配伍】
麻黄：发汗峻散，开表散寒，同时宣肺平喘。
桂枝：助麻黄发汗解表，温通卫阳，散肌表寒邪，解决周身疼痛；
石膏：辛甘大寒，专清郁于肌腠、肺胃之里热，除烦躁，制约麻黄辛温燥热之性，使发汗而不助热。
杏仁：降利肺气，配麻黄平喘止咳；
生姜：辛温，助解表，和胃散水气；
大枣：补中滋液，防峻汗耗伤津液。
炙甘草：调和诸药；缓麻黄峻烈之性，护中气；姜枣草合用，滋养营阴，防止大汗伤津。</x:t>
  </x:si>
  <x:si>
    <x:t xml:space="preserve">xiao_qing_long_tang</x:t>
  </x:si>
  <x:si>
    <x:t xml:space="preserve">小青龙汤
【出处】《伤寒论》
【功效】解表散寒，温肺化饮
【主治】表寒里饮
【组成】
君：麻黄 三钱，桂枝 三钱
臣：干姜 二钱，细辛 二钱
佐：白芍 三钱，五味子 二钱，半夏 三钱
使：甘草 二钱
【配伍】
麻黄、桂枝：麻黄发汗解表、宣肺平喘；桂枝解肌通阳，温散肌表风寒。
干姜、细辛：干姜温脾肺，散脏腑寒邪、化水饮；细辛温散少阴寒饮，既助麻桂解表，又入肺内化伏饮。
半夏：燥湿化痰，降逆止咳，消胸膈水饮痰浊；
五味子：酸收敛肺止咳。防麻、桂、姜、辛辛温发散太过耗伤肺气，散收并用；
白芍：酸寒敛阴和营。防诸辛温药耗伤阴血，制约燥烈之性。
炙甘草：调和全方；益气补中，顾护脾胃，缓和麻、辛、干姜峻烈之性。</x:t>
  </x:si>
  <x:si>
    <x:t xml:space="preserve">si_jun_zi_tang</x:t>
  </x:si>
  <x:si>
    <x:t xml:space="preserve">四君子汤
【出处】《太平惠民和剂局方》
【功效】益气健脾
【主治】脾气虚
【组成】
君：人参 四钱
臣：白术 三钱
佐：茯苓 三钱
使：甘草 二钱
【配伍】
人参：大补元气、益气健脾。
白术：健脾燥湿，助人参运化。
茯苓：健脾渗湿，宁心安神，使补而不滞。
炙甘草：益气和中、调和诸药。</x:t>
  </x:si>
  <x:si>
    <x:t xml:space="preserve">ping_wei_san</x:t>
  </x:si>
  <x:si>
    <x:t xml:space="preserve">平胃散
【出处】《太平惠民和剂局方》
【功效】燥湿运脾，行气和胃
【主治】湿盛困脾
【组成】
君：苍术 三钱
臣：厚朴 二钱
佐：陈皮 二钱
使：甘草 一钱
【配伍】
苍术：苦温燥湿、健脾运脾，专治湿困脾胃。
厚朴：行气除满、燥湿化浊，消脘腹胀痞。
陈皮：理气和胃、燥湿醒脾，使气机条达。
炙甘草：益气和中、调和诸药；姜枣调和脾胃。</x:t>
  </x:si>
  <x:si>
    <x:t xml:space="preserve">li_zhong_wan</x:t>
  </x:si>
  <x:si>
    <x:t xml:space="preserve">理中丸
【出处】《伤寒论》
【功效】温中祛寒，补气健脾
【主治】脾阳虚
【组成】
君：干姜 五钱
臣：人参 五钱
佐：白术 五钱
使：甘草 五钱
【配伍】
干姜：大辛大热，温中祛寒、振奋脾阳。
人参：益气健脾，补益脾胃气虚之本。
白术：健脾燥湿，助运化、利水湿。
炙甘草：益气和中、调和诸药，缓急止痛。</x:t>
  </x:si>
  <x:si>
    <x:t xml:space="preserve">shen_ling_bai_zhu_san</x:t>
  </x:si>
  <x:si>
    <x:t xml:space="preserve">参苓白术散
【出处】《太平惠民和剂局方》
【功效】益气健脾，渗湿止泻
【主治】脾虚湿盛
【组成】
君：人参 五钱，茯苓 五钱，白术 五钱
臣：山药 五钱，莲子 三钱，扁豆 三钱，薏苡仁 七钱
佐：砂仁 二钱，桔梗 二钱
使：甘草 二钱
【配伍】
人参、白术、茯苓、炙甘草：即四君子汤，益气健脾、补益脾虚之本。
山药、莲子：健脾益气、固肠止泻；
扁豆、薏仁：健脾渗湿、利水除浊；
砂仁：芳香醒脾、行气和胃，防补药滋腻碍胃；
桔梗：宣利肺气、载药上行，培土生金，兼治肺虚久咳。</x:t>
  </x:si>
  <x:si>
    <x:t xml:space="preserve">huo_xiang_zheng_qi_san</x:t>
  </x:si>
  <x:si>
    <x:t xml:space="preserve">藿香正气散
【出处】《太平惠民和剂局方》
【功效】解表散寒，化湿和中，理气止呕
【主治】外感风寒，内伤湿滞
【组成】
君：藿香 五钱
臣：苏叶 三钱，白芷 三钱，半夏 四钱，厚朴 四钱
佐：白术 四钱，苍术 四钱，陈皮 三钱，茯苓 五钱，大腹皮 五钱 ，桔梗 二钱
使：甘草 二钱，生姜 二钱，大枣 二钱
【配伍】
藿香：芳香化湿、和中止呕，兼解表散寒，表里兼顾。
紫苏、白芷：解表散寒、化湿辟秽，助藿香散外感风寒。
陈皮、半夏、厚朴、大腹皮：理气燥湿、消胀除满、降逆止呕；
白术、苍术、 茯苓：健脾祛湿、实脾止泻；
桔梗：宣利肺气、载药上行。
炙甘草、姜枣：调和脾胃，益气和中，调和诸药。</x:t>
  </x:si>
  <x:si>
    <x:t xml:space="preserve">dang_gui_si_ni_tang</x:t>
  </x:si>
  <x:si>
    <x:t xml:space="preserve">当归四逆汤
【出处】《伤寒论》
【功效】温经散寒，养血通脉
【主治】寒凝心脉
【组成】
君：当归 四钱
臣：桂枝 三钱，白芍 三钱
佐：细辛 一钱，木通 二钱
使：甘草 二钱，大枣 二钱
【配伍】
当归：养血和血、温补肝血，濡养经脉。
桂枝：温通经脉、宣通阳气；
白芍：养血敛阴，缓急止痛；
细辛：直入三阴，温经散寒、破寒凝。
通草：通利经脉，引寒邪外泄。
大枣、炙甘草益气健脾、调和诸药，养血以助脉道充盈。</x:t>
  </x:si>
  <x:si>
    <x:t xml:space="preserve">dao_chi_san</x:t>
  </x:si>
  <x:si>
    <x:t xml:space="preserve">xiao_er_yao_zheng_zhi_jue</x:t>
  </x:si>
  <x:si>
    <x:t xml:space="preserve">导赤散
【出处】《小儿药证直诀》
【功效】清心利水养阴
【主治】心火亢盛
【组成】
君：生地黄 二钱，木通 二钱
臣：竹叶 二钱
佐：甘草 二钱
使：
【配伍】
生地黄：凉血滋阴、清心降火，养阴以制心火。
木通：清心泻火、利水通淋，导心火从小便而出。
竹叶：清心除烦、淡渗利水，助木通清心导赤。
生甘草：梢清热解毒、直达茎中，缓尿痛、调和诸药。</x:t>
  </x:si>
  <x:si>
    <x:t xml:space="preserve">di_tan_tang</x:t>
  </x:si>
  <x:si>
    <x:t xml:space="preserve">涤痰汤
【出处】《太医院经验奇效良方大全》
【功效】涤痰开窍，益气扶正
【主治】痰迷心窍
【组成】
君：半夏 二钱五分，胆南星 二钱五分
臣：枳实 二钱，陈皮 一分五钱
佐：竹茹 一钱，茯苓 二钱，石菖蒲 一钱，人参 一钱
使：生姜 一钱，甘草 一钱
【配伍】
半夏、陈皮：燥湿化痰、理气和胃，直祛痰湿之本。
胆南星：清气化痰，助半夏化痰之力
枳实、竹茹：清热化痰、破气开郁，降逆涤痰。
石菖蒲：豁痰开窍、交通心肾、醒神益智；
茯苓：健脾渗湿，杜绝生痰之源；
人参：益气扶正，扶助正气以运痰。
甘草、生姜：调和诸药，益气和中，制胆南星、半夏之毒。</x:t>
  </x:si>
  <x:si>
    <x:t xml:space="preserve">yang_xin_tang</x:t>
  </x:si>
  <x:si>
    <x:t xml:space="preserve">ren_zhai_zhi_zhi_fang_lun</x:t>
  </x:si>
  <x:si>
    <x:t xml:space="preserve">养心汤
【出处】《仁斋直指方论》
【功效】益气补血，养心安神
【主治】心气虚
【组成】
君：黄芪 五钱，人参 三钱
臣：当归 五钱，茯神 五钱，茯苓 五钱
佐：酸枣仁 三钱，柏子仁 三钱，远志 三钱，五味子 三钱，川芎 五钱，半夏 五钱，肉桂 三钱
使：甘草 四钱，生姜 一钱，大枣 一钱
【配伍】
人参、黄芪：大补心气，固元益气，直补心气之本。
当归、川芎：养血和营，气阴双补，气血互生。
茯苓、茯神：健脾宁心、安神定悸
枣仁、柏子仁、远志、五味子：养心安神、敛心止汗、交通心肾
半夏：和胃化痰，防滋补壅滞
肉桂：少佐温通，助心阳以鼓心气
炙甘草、生姜、大枣：益气和中，调和诸药，制半夏之毒。</x:t>
  </x:si>
  <x:si>
    <x:t xml:space="preserve">xue_fu_zhu_yu_tang</x:t>
  </x:si>
  <x:si>
    <x:t xml:space="preserve">yi_lin_gai_cuo</x:t>
  </x:si>
  <x:si>
    <x:t xml:space="preserve">血府逐瘀汤
【出处】《医林改错》
【功效】活血祛瘀，行气止痛
【主治】心脉瘀阻
【组成】
君：桃仁 四钱，红花 三钱
臣：赤芍 二钱，川芎 二钱，牛膝 三钱
佐：当归 三钱，生地黄 三钱，桔梗 二钱，枳壳 三钱，柴胡 一钱
使：甘草 二钱
【配伍】
桃仁、红花：破血行瘀，疏通胸中凝滞瘀血，直攻血府瘀阻，专治瘀血刺痛，为活血核心。
川芎、赤芍：川芎上行头目、疏通胸胁血脉，活血行气；赤芍凉血散瘀，缓胸胁刺痛。
牛膝：活血祛瘀，引胸中瘀血向下排出，化解胸中瘀堵。
柴胡、枳壳：柴胡疏肝解郁，升发胸中之气；枳壳宽胸行气。气行则血行，解决气滞致瘀之本，缓解胸闷胀痛。
桔梗：宣开肺气、上行胸中，载活血药直达血府，与牛膝一升一降，疏通胸膈气机血脉。
当归、生地：当归补血活血，化瘀而不伤新血；生地滋阴凉血，防活血药耗伤阴血，祛瘀不伤正。
使药：调和诸药。</x:t>
  </x:si>
  <x:si>
    <x:t xml:space="preserve">tian_wang_bu_xin_dan</x:t>
  </x:si>
  <x:si>
    <x:t xml:space="preserve">天王补心丹
【出处】《金匮要略》
【功效】滋阴养血，补心安神
【主治】心阴虚
【组成】
君：生地黄 四两
臣：天门冬 一两，麦门冬 一两，酸枣仁 一两，柏子仁 一两，当归一两
佐：人参五钱，茯苓 五钱，玄参 五钱，丹参 五钱，远志 五钱，五味子 五钱
使：桔梗 五钱
【配伍】
生地黄：重用甘寒，滋阴养血、清心降火，直补心肾阴血。
天冬、麦冬、玄参：滋阴清热、生津润燥，壮水制虚火；
当归、丹参：养血和血、清心安神。
人参、茯苓：益气宁心；
酸枣仁、柏子仁、五味子：养心安神、敛汗宁心；
远志：交通心肾、安神益智。
桔梗：载药上行入心经，引药归经。</x:t>
  </x:si>
  <x:si>
    <x:t xml:space="preserve">gui_zhi_gan_cao_tang</x:t>
  </x:si>
  <x:si>
    <x:t xml:space="preserve">桂枝甘草汤
【出处】《伤寒论》
【功效】温补心阳，益气定悸
【主治】心阳虚
【组成】
君：桂枝 四钱
臣：甘草 二钱
佐：
使：
【配伍】
桂枝：辛甘温，温通心阳、平冲降逆、温经通脉。
炙甘草：益气补中、缓急养心，甘温益气。</x:t>
  </x:si>
  <x:si>
    <x:t xml:space="preserve">huang_lian_wen_dan_tang</x:t>
  </x:si>
  <x:si>
    <x:t xml:space="preserve">黄连温胆汤
【出处】《备急千金要方》
【功效】清热化痰，和中安神
【主治】痰火扰心
【组成】
君：黄连 三钱
臣：半夏 四钱，竹茹 五钱
佐：陈皮 四钱，枳实 四钱，茯苓 四钱
使：甘草 二钱，生姜 一钱，大枣 一钱
【配伍】
黄连：苦寒直折，清心泻火、燥湿清热，专清痰火。
半夏：燥湿化痰；
竹茹：清热化痰、除烦安神。
陈皮：理气化痰；
枳实：破气消痞、导痰下行；
茯苓：健脾渗湿，绝生痰之源。
甘草:调和诸药，和中缓急。
生姜：和胃止呕，制半夏之毒
大枣：益气补中，调和脾胃</x:t>
  </x:si>
  <x:si>
    <x:t xml:space="preserve">gui_pi_tang</x:t>
  </x:si>
  <x:si>
    <x:t xml:space="preserve">yan_shi_ji_sheng_fang</x:t>
  </x:si>
  <x:si>
    <x:t xml:space="preserve">归脾汤
【出处】《严氏济生方》
【功效】益气补血，健脾养心
【主治】心脾两虚
【组成】
君：黄芪 一两，人参 五钱
臣：龙眼 五钱，白术 五钱，当归 五钱，酸枣仁 六钱
佐：茯神 五钱，远志 三钱，木香 二钱
使：甘草 二钱，生姜 一钱，大枣 一钱
【配伍】
黄芪、人参：大补脾气，益气生血。
当归、龙眼：肉养血补心、安神。
白术：助健脾；
酸枣仁、茯神：宁心安神；
远志：安神益智、交通心肾；
木香：理气醒脾，防滋补壅滞碍胃。
炙甘草、姜枣：益气和中、调和诸药，助脾胃生化气血。</x:t>
  </x:si>
  <x:si>
    <x:t xml:space="preserve">long_dan_xie_gan_tang</x:t>
  </x:si>
  <x:si>
    <x:t xml:space="preserve">lan_shi_mi_cang</x:t>
  </x:si>
  <x:si>
    <x:t xml:space="preserve">龙胆泻肝汤
【出处】《兰室秘藏》
【功效】清泻肝胆实火，清利肝经湿热
【主治】肝火上炎
【组成】
君：龙胆草 二钱
臣：黄芩 三钱，栀子 三钱
佐：泽泻四钱，木通三钱，车前子 三钱，当归 三钱，生地黄 六钱，柴胡 三钱
使：甘草 二钱
【配伍】
龙胆草：大苦大寒，直泻肝胆实火、清利下焦湿热。
黄芩、栀子：苦寒泻火，清热燥湿，助龙胆草清泻肝火。
泽泻、木通、车前子：清热利湿，导湿热从小便而去；
生地黄、当归：滋阴养血，防苦寒药燥烈伤阴；
柴胡：疏肝引经，畅达肝胆气机。
生甘草清热解毒、调和诸药，护胃安中。</x:t>
  </x:si>
  <x:si>
    <x:t xml:space="preserve">nuan_gan_jian</x:t>
  </x:si>
  <x:si>
    <x:t xml:space="preserve">jing_yue_quan_shu</x:t>
  </x:si>
  <x:si>
    <x:t xml:space="preserve">暖肝煎
【出处】《景岳全书》
【功效】温补肝肾，行气散寒
【主治】寒滞肝脉
【组成】
君：肉桂 一钱，茴香 二钱
臣：当归 二钱，枸杞子 三钱
佐：乌药 二钱，茯苓 二钱，沉香 一钱
使：生姜 一钱
【配伍】
肉桂：温肾暖肝、散寒止痛；
茴香：暖肝理气、专治寒疝睾丸冷痛。
当归、枸杞：养血补肝、温补肝肾，扶正固本。
乌药：行气散寒、疏肝止痛；
沉香：降气暖肝、下气止痛；
茯苓：健脾渗湿，助肝肾气化。
生姜：散寒和胃，辅助中焦</x:t>
  </x:si>
  <x:si>
    <x:t xml:space="preserve">chai_hu_shu_gan_san</x:t>
  </x:si>
  <x:si>
    <x:t xml:space="preserve">柴胡疏肝散
【出处】《景岳全书》
【功效】疏肝解郁，行气止痛
【主治】肝气郁结
【组成】君：柴胡 二钱
臣：香附 一钱五分钱，川芎 一钱五分
佐：陈皮 二钱，枳壳 一钱五分，白芍 一钱五分
使：甘草 五分
【配伍】
柴胡：疏肝解郁、调畅气机，直入肝胆疏泄郁滞。
香附:理气疏肝、止痛；
川芎:行气活血、通络止痛。
枳壳、陈皮:理气行滞、宽胸除胀；
白芍:柔肝缓急、养阴和营，防理气药耗伤肝阴。
炙甘草:调和诸药，配白芍酸甘化阴、缓急止痛。</x:t>
  </x:si>
  <x:si>
    <x:t xml:space="preserve">si_wu_tang</x:t>
  </x:si>
  <x:si>
    <x:t xml:space="preserve">四物汤
【出处】《太平惠民和剂局方》
【功效】补血调血
【主治】肝血虚
【组成】
君：熟地黄 四钱
臣：当归 三钱
佐：白芍 三钱，川芎 二钱
使：
【配伍】
熟地黄：甘温味厚，滋阴补血、填精益髓，为补血之本。
当归：补血养肝、活血调经，既补又行，补而不滞。
白芍：养血敛阴、柔肝缓急，濡养筋脉。
川芎：行气活血、疏肝通络，使补而不壅、补血不滞气。</x:t>
  </x:si>
  <x:si>
    <x:t xml:space="preserve">ge_xia_zhu_yu_tang</x:t>
  </x:si>
  <x:si>
    <x:t xml:space="preserve">膈下逐瘀汤
【出处】《医林改错》
【功效】活血祛瘀，行气止痛。
【主治】肝血瘀滞
【组成】
君：当归 三钱，川芎 二钱，赤芍 二钱
臣：桃仁 三钱，红花 三钱，五灵脂 二钱，丹皮 二钱
佐：香附 一钱，乌药 二钱，枳壳 一钱，延胡索 一钱
使：甘草 三钱
【配伍】
桃仁、红花：破血逐瘀；
五灵脂：专散胸腹瘀血、化瘀止痛，共主散膈下深部瘀血。
当归：养血活血，散瘀不伤血；
川芎：行气活血；
赤芍、丹皮：凉血散瘀，清瘀久郁热。
香附：疏肝行气；
乌药：温散下焦膈下寒凝气滞；
枳壳：宽中下气；
延胡索：行气活血止痛。
甘草：调和诸药，缓急止痛，缓和活血破瘀药峻烈之性。</x:t>
  </x:si>
  <x:si>
    <x:t xml:space="preserve">yi_guan_jian</x:t>
  </x:si>
  <x:si>
    <x:t xml:space="preserve">liu_zhou_yi_hua</x:t>
  </x:si>
  <x:si>
    <x:t xml:space="preserve">一贯煎
【出处】《柳州医话》
【功效】滋阴疏肝
【主治】肝阴虚
【组成】
君：生地黄 一两
臣：枸杞子 六钱，沙参 三钱，麦门冬 三钱，当归 三钱
佐：川楝子 一钱五分
使：
【配伍】
生地黄：重用滋阴养血、补益肝肾，直补肝阴之本。
枸杞：滋补肝肾、填精养阴；
当归：养血柔肝、濡养经脉。
北沙参、麦冬：养阴生津、润肺养胃，滋水以涵木；
川楝子：苦寒疏肝泄热、行气止痛，疏肝而不伤阴。</x:t>
  </x:si>
  <x:si>
    <x:t xml:space="preserve">gou_teng_san</x:t>
  </x:si>
  <x:si>
    <x:t xml:space="preserve">pu_ji_ben_shi_fang</x:t>
  </x:si>
  <x:si>
    <x:t xml:space="preserve">钩藤散
【出处】《普济本事方》
【功效】平肝息风，清热化痰，益气养阴
【主治】肝阳上亢
【组成】
君：钩藤 三钱，菊花 三钱
臣：防风 三钱，石膏 三钱
佐：茯苓 三钱，半夏 三钱，陈皮 三钱，人参 三钱
使：甘草 三钱
【配伍】
钩藤、菊花：平肝息风、清利头目
石膏：清热泻火、除烦止晕
防风：祛风解痉、载药上行
半夏、陈皮、茯苓：燥湿化痰、和胃降逆
麦冬、人参：益气养阴、扶正固本
茯神：宁心安神
炙甘草、生姜+调和诸药、和胃止呕、制半夏之毒</x:t>
  </x:si>
  <x:si>
    <x:t xml:space="preserve">xiao_yao_san</x:t>
  </x:si>
  <x:si>
    <x:t xml:space="preserve">逍遥散
【出处】《太平惠民和剂局方》
【功效】疏肝解郁，养血健脾
【主治】肝脾不和（肝郁脾虚）
【组成】
君：柴胡 三钱
臣：当归 三钱，白芍 三钱
佐：白术 三钱，茯苓 三钱，生姜 一钱，薄荷 一钱
使：甘草 一钱五分
【配伍】
柴胡：疏肝解郁、条达肝气，疏散郁滞。
当归、白芍：养血柔肝，补肝体、缓肝急；防肝郁化火伤阴。
白术、茯苓：健脾祛湿、培土荣木；
生姜：温胃和中、调和气血。
薄荷：助柴胡疏肝透热、疏散郁遏；
炙甘草：益气补中，调和诸药；合白芍缓急止痛。</x:t>
  </x:si>
  <x:si>
    <x:t xml:space="preserve">ren_shen_ge_jie_san</x:t>
  </x:si>
  <x:si>
    <x:t xml:space="preserve">wang_shi_bo_ji_fang</x:t>
  </x:si>
  <x:si>
    <x:t xml:space="preserve">人参蛤蚧散
【出处】《博济方》
【功效】补肺益肾，纳气定喘，止咳化痰
【主治】肾不纳气
【组成】
君：蛤蚧 五钱，人参 四钱
臣：知母 三钱，贝母 三钱，桑白皮 三钱
佐：茯苓 四钱，杏仁 四钱
使：甘草 三钱
【配伍】
蛤蚧：补肺益肾、温肾纳气、定喘止嗽，专治肾不纳气虚喘。
人参：大补元气、补益肺气，助蛤蚧固本益气。
杏仁、贝母：润肺化痰、降气止咳
桑白皮、知母：清泻肺热、润燥止咳
茯苓：健脾渗湿、杜绝生痰之源
炙甘草：益气和中，调和诸药。</x:t>
  </x:si>
  <x:si>
    <x:t xml:space="preserve">liu_wei_di_huang_wan</x:t>
  </x:si>
  <x:si>
    <x:t xml:space="preserve">六味地黄丸
【出处】《小儿药证直诀》
【功效】滋阴补肾
【主治】肾阴虚
【组成】
君：熟地黄 八钱
臣：山茱萸 四钱，山药 四钱
佐：泽泻 三钱，茯苓 三钱，丹皮 三钱
使：
【配伍】
熟地黄：重用滋阴补肾、填精益髓。
萸肉：补肝肾、敛精气；
山药：补脾益肾、固涩下焦。
泽泻：泻肾浊、防熟地滋腻；
丹皮：清泻虚火、凉血除蒸；
茯苓：健脾渗湿、助山药补脾。</x:t>
  </x:si>
  <x:si>
    <x:t xml:space="preserve">jin_gui_shen_qi_wan</x:t>
  </x:si>
  <x:si>
    <x:t xml:space="preserve">金匮肾气丸
【出处】《金匮要略》
【功效】温补肾阳，化气行水
【主治】肾阳虚
【组成】
君：附子 二钱，桂枝 三钱
臣：熟地黄 一钱，山茱萸 四钱，山药 五钱
佐：泽泻 三钱，茯苓 三钱，丹皮 三钱
使：
【配伍】
附子、桂枝：温补肾阳、温通命门，微微生火、鼓舞肾气。
熟地、山萸肉、山药：即六味三补，滋补肾阴、阴中求阳。
丹皮、茯苓、泽泻：即六味三泻，泻浊降火、渗湿利水，防滋腻壅滞。</x:t>
  </x:si>
  <x:si>
    <x:t xml:space="preserve">zhen_wu_tang</x:t>
  </x:si>
  <x:si>
    <x:t xml:space="preserve">真武汤
【出处】《伤寒论》
【功效】温阳利水
【主治】肾虚水泛
【组成】
君：附子 三钱
臣：茯苓 三钱，白术 三钱
佐：生姜 二钱，白芍 三钱
使：
【配伍】
附子：大辛大热，温补肾阳、散阴寒，助气化以行水。
茯苓：健脾渗湿、利水消肿；
白术：健脾燥湿、培土制水。
生姜：温散水气、助附子温阳，兼和胃散饮。
芍药：利小便、柔肝缓急止痛，防附子燥热伤阴，敛阴和营。</x:t>
  </x:si>
  <x:si>
    <x:t xml:space="preserve">zuo_gui_wan</x:t>
  </x:si>
  <x:si>
    <x:t xml:space="preserve">左归丸
【出处】《景岳全书》
【功效】滋阴补肾，填精益髓
【主治】肾精不足
【组成】
君：熟地黄 八钱
臣：龟板胶四钱，鹿角胶四钱，枸杞子四钱，菟丝子四钱
佐：山茱萸 四钱，山药 四钱
使：牛膝 三钱
【配伍】
熟地黄：大补真阴、填精补髓。
山药、枸杞、山茱萸：滋补肝肾、养阴固精，助熟地滋补肾精。
龟鹿二胶：峻补精血、阴阳双补、侧重填髓
菟丝子：补肾益精
川牛膝：补肝肾、强筋骨、引药下行</x:t>
  </x:si>
  <x:si>
    <x:t xml:space="preserve">jin_suo_gu_jing_wan</x:t>
  </x:si>
  <x:si>
    <x:t xml:space="preserve">yi_fang_ji_jie</x:t>
  </x:si>
  <x:si>
    <x:t xml:space="preserve">金锁固精丸
【出处】《医方集解》
【功效】补肾涩精，固摄肾气
【主治】肾气不固
【组成】
君：沙苑子 五钱
臣：芡实 五钱
佐：龙骨 五钱，牡蛎 五钱，莲须 三钱
使：莲子 三两
【配伍】
沙苑子：补肾益精、平补肝肾，固本培元。
芡实：健脾益肾、固涩精气。
莲须：专涩精；
龙骨、牡蛎：重镇收敛、固涩滑脱。
莲子：养心安神，补肾涩精，制丸药赋形</x:t>
  </x:si>
  <x:si>
    <x:t xml:space="preserve">tai_shan_pan_shi_san</x:t>
  </x:si>
  <x:si>
    <x:t xml:space="preserve">泰山磐石散
【出处】《景岳全书》
【功效】益气健脾，养血安胎
【主治】妊娠
【组成】
君：白术 二钱
臣：人参 一钱，黄芪 一钱，续断 一钱，熟地黄 一钱，当归 一钱
佐：白芍 八分，川芎 八分，黄芩 一钱，砂仁 五分
使：甘草 五分，糯米 五分
【配伍】
人参、黄芪、白术：脾胃为气血生化之源，健脾益气以固胎之本。
当归、熟地、白芍、川芎：养血和血，补益冲任。冲为血海，任主胞胎，血足则养胎。
续断：补肝肾、固冲任、安胎；肾主系胎。
黄芩：清热安胎。
砂仁：理气和胃，醒脾行滞；防补药滋腻碍胃，使气血流通，胎气安和。
炙甘草：益气和中，调和诸药；
糯米：补脾养胃，滋养胎元。</x:t>
  </x:si>
  <x:si>
    <x:t xml:space="preserve">huang_lian_e_jiao_tang</x:t>
  </x:si>
  <x:si>
    <x:t xml:space="preserve">黄连阿胶汤
【出处】《伤寒论》
【功效】滋阴降火，交通心肾
【主治】心肾不交
【组成】
君：黄连 四钱
臣：黄芩 三钱，白芍 三钱
佐：阿胶 三钱
使：鸡子黄 一两
【配伍】
黄连：苦寒直折，清泻心火、除烦安神。
黄芩：助黄连清心泻火；
阿胶：滋阴补肾、养血填阴，滋肾阴以济心火。
白芍：敛阴和营、柔肝缓急；
鸡子黄：滋阴润燥、养心安神，入少阴交通心肾。</x:t>
  </x:si>
  <x:si>
    <x:t xml:space="preserve">bai_hu_tang</x:t>
  </x:si>
  <x:si>
    <x:t xml:space="preserve">白虎汤
【出处】《伤寒论》
【功效】清热生津，辛寒清气
【主治】气分热盛
【组成】
君：石膏 二两
臣：知母 六钱
佐：粳米 三钱
使：甘草 二钱
【配伍】
生石膏：辛甘大寒，清泻阳明气分实热，除壮热、止大汗。
知母：苦寒质润，清热泻火、滋阴生津，助石膏清润除烦止渴。
粳米、炙甘草：益气养胃、缓和石膏知母寒凉之性，保护胃气；生津补液，防大寒伤中。</x:t>
  </x:si>
  <x:si>
    <x:t xml:space="preserve">HerbName</x:t>
  </x:si>
  <x:si>
    <x:t xml:space="preserve">HerbID</x:t>
  </x:si>
  <x:si>
    <x:t xml:space="preserve">Role</x:t>
  </x:si>
  <x:si>
    <x:t xml:space="preserve">Amount</x:t>
  </x:si>
  <x:si>
    <x:t xml:space="preserve">Unit</x:t>
  </x:si>
  <x:si>
    <x:t xml:space="preserve">Required</x:t>
  </x:si>
  <x:si>
    <x:t xml:space="preserve">麻黄</x:t>
  </x:si>
  <x:si>
    <x:t xml:space="preserve">ma_huang</x:t>
  </x:si>
  <x:si>
    <x:t xml:space="preserve">君</x:t>
  </x:si>
  <x:si>
    <x:t xml:space="preserve">qian</x:t>
  </x:si>
  <x:si>
    <x:t xml:space="preserve">桂枝</x:t>
  </x:si>
  <x:si>
    <x:t xml:space="preserve">gui_zhi</x:t>
  </x:si>
  <x:si>
    <x:t xml:space="preserve">臣</x:t>
  </x:si>
  <x:si>
    <x:t xml:space="preserve">杏仁</x:t>
  </x:si>
  <x:si>
    <x:t xml:space="preserve">xing_ren</x:t>
  </x:si>
  <x:si>
    <x:t xml:space="preserve">佐</x:t>
  </x:si>
  <x:si>
    <x:t xml:space="preserve">甘草</x:t>
  </x:si>
  <x:si>
    <x:t xml:space="preserve">gan_cao</x:t>
  </x:si>
  <x:si>
    <x:t xml:space="preserve">使</x:t>
  </x:si>
  <x:si>
    <x:t xml:space="preserve">白芍</x:t>
  </x:si>
  <x:si>
    <x:t xml:space="preserve">bai_shao</x:t>
  </x:si>
  <x:si>
    <x:t xml:space="preserve">生姜</x:t>
  </x:si>
  <x:si>
    <x:t xml:space="preserve">sheng_jiang</x:t>
  </x:si>
  <x:si>
    <x:t xml:space="preserve">大枣</x:t>
  </x:si>
  <x:si>
    <x:t xml:space="preserve">da_zao</x:t>
  </x:si>
  <x:si>
    <x:t xml:space="preserve">金银花</x:t>
  </x:si>
  <x:si>
    <x:t xml:space="preserve">jin_yin_hua</x:t>
  </x:si>
  <x:si>
    <x:t xml:space="preserve">liang</x:t>
  </x:si>
  <x:si>
    <x:t xml:space="preserve">连翘</x:t>
  </x:si>
  <x:si>
    <x:t xml:space="preserve">lian_qiao</x:t>
  </x:si>
  <x:si>
    <x:t xml:space="preserve">牛蒡子</x:t>
  </x:si>
  <x:si>
    <x:t xml:space="preserve">niu_bang_zi</x:t>
  </x:si>
  <x:si>
    <x:t xml:space="preserve">荆芥</x:t>
  </x:si>
  <x:si>
    <x:t xml:space="preserve">jing_jie</x:t>
  </x:si>
  <x:si>
    <x:t xml:space="preserve">薄荷</x:t>
  </x:si>
  <x:si>
    <x:t xml:space="preserve">bo_he</x:t>
  </x:si>
  <x:si>
    <x:t xml:space="preserve">淡豆豉</x:t>
  </x:si>
  <x:si>
    <x:t xml:space="preserve">dan_dou_chi</x:t>
  </x:si>
  <x:si>
    <x:t xml:space="preserve">桔梗</x:t>
  </x:si>
  <x:si>
    <x:t xml:space="preserve">jie_geng</x:t>
  </x:si>
  <x:si>
    <x:t xml:space="preserve">芦根</x:t>
  </x:si>
  <x:si>
    <x:t xml:space="preserve">lu_gen</x:t>
  </x:si>
  <x:si>
    <x:t xml:space="preserve">竹叶</x:t>
  </x:si>
  <x:si>
    <x:t xml:space="preserve">zhu_ye</x:t>
  </x:si>
  <x:si>
    <x:t xml:space="preserve">桑叶</x:t>
  </x:si>
  <x:si>
    <x:t xml:space="preserve">sang_ye</x:t>
  </x:si>
  <x:si>
    <x:t xml:space="preserve">沙参</x:t>
  </x:si>
  <x:si>
    <x:t xml:space="preserve">sha_shen</x:t>
  </x:si>
  <x:si>
    <x:t xml:space="preserve">贝母</x:t>
  </x:si>
  <x:si>
    <x:t xml:space="preserve">bei_mu</x:t>
  </x:si>
  <x:si>
    <x:t xml:space="preserve">栀子</x:t>
  </x:si>
  <x:si>
    <x:t xml:space="preserve">zhi_zi</x:t>
  </x:si>
  <x:si>
    <x:t xml:space="preserve">梨皮</x:t>
  </x:si>
  <x:si>
    <x:t xml:space="preserve">li_pi</x:t>
  </x:si>
  <x:si>
    <x:t xml:space="preserve">苏叶</x:t>
  </x:si>
  <x:si>
    <x:t xml:space="preserve">su_ye</x:t>
  </x:si>
  <x:si>
    <x:t xml:space="preserve">前胡</x:t>
  </x:si>
  <x:si>
    <x:t xml:space="preserve">qian_hu</x:t>
  </x:si>
  <x:si>
    <x:t xml:space="preserve">茯苓</x:t>
  </x:si>
  <x:si>
    <x:t xml:space="preserve">fu_ling</x:t>
  </x:si>
  <x:si>
    <x:t xml:space="preserve">枳壳</x:t>
  </x:si>
  <x:si>
    <x:t xml:space="preserve">zhi_ke</x:t>
  </x:si>
  <x:si>
    <x:t xml:space="preserve">黄芪</x:t>
  </x:si>
  <x:si>
    <x:t xml:space="preserve">huang_qi</x:t>
  </x:si>
  <x:si>
    <x:t xml:space="preserve">白术</x:t>
  </x:si>
  <x:si>
    <x:t xml:space="preserve">bai_zhu</x:t>
  </x:si>
  <x:si>
    <x:t xml:space="preserve">防风</x:t>
  </x:si>
  <x:si>
    <x:t xml:space="preserve">fang_feng</x:t>
  </x:si>
  <x:si>
    <x:t xml:space="preserve">乌头</x:t>
  </x:si>
  <x:si>
    <x:t xml:space="preserve">wu_tou</x:t>
  </x:si>
  <x:si>
    <x:t xml:space="preserve">蜂蜜</x:t>
  </x:si>
  <x:si>
    <x:t xml:space="preserve">feng_mi</x:t>
  </x:si>
  <x:si>
    <x:t xml:space="preserve">jin</x:t>
  </x:si>
  <x:si>
    <x:t xml:space="preserve">石膏</x:t>
  </x:si>
  <x:si>
    <x:t xml:space="preserve">shi_gao</x:t>
  </x:si>
  <x:si>
    <x:t xml:space="preserve">知母</x:t>
  </x:si>
  <x:si>
    <x:t xml:space="preserve">zhi_mu</x:t>
  </x:si>
  <x:si>
    <x:t xml:space="preserve">粳米</x:t>
  </x:si>
  <x:si>
    <x:t xml:space="preserve">jing_mi</x:t>
  </x:si>
  <x:si>
    <x:t xml:space="preserve">薏苡仁</x:t>
  </x:si>
  <x:si>
    <x:t xml:space="preserve">yi_yi_ren</x:t>
  </x:si>
  <x:si>
    <x:t xml:space="preserve">羌活</x:t>
  </x:si>
  <x:si>
    <x:t xml:space="preserve">qiang_huo</x:t>
  </x:si>
  <x:si>
    <x:t xml:space="preserve">独活</x:t>
  </x:si>
  <x:si>
    <x:t xml:space="preserve">du_huo</x:t>
  </x:si>
  <x:si>
    <x:t xml:space="preserve">当归</x:t>
  </x:si>
  <x:si>
    <x:t xml:space="preserve">dang_gui</x:t>
  </x:si>
  <x:si>
    <x:t xml:space="preserve">川芎</x:t>
  </x:si>
  <x:si>
    <x:t xml:space="preserve">chuan_xiong</x:t>
  </x:si>
  <x:si>
    <x:t xml:space="preserve">秦艽</x:t>
  </x:si>
  <x:si>
    <x:t xml:space="preserve">qin_jiao</x:t>
  </x:si>
  <x:si>
    <x:t xml:space="preserve">葛根</x:t>
  </x:si>
  <x:si>
    <x:t xml:space="preserve">ge_gen</x:t>
  </x:si>
  <x:si>
    <x:t xml:space="preserve">ren_shen</x:t>
  </x:si>
  <x:si>
    <x:t xml:space="preserve">熟地黄</x:t>
  </x:si>
  <x:si>
    <x:t xml:space="preserve">shu_di_huang</x:t>
  </x:si>
  <x:si>
    <x:t xml:space="preserve">五味子</x:t>
  </x:si>
  <x:si>
    <x:t xml:space="preserve">wu_wei_zi</x:t>
  </x:si>
  <x:si>
    <x:t xml:space="preserve">紫菀</x:t>
  </x:si>
  <x:si>
    <x:t xml:space="preserve">zi_wan</x:t>
  </x:si>
  <x:si>
    <x:t xml:space="preserve">桑白皮</x:t>
  </x:si>
  <x:si>
    <x:t xml:space="preserve">sang_bai_pi</x:t>
  </x:si>
  <x:si>
    <x:t xml:space="preserve">麦门冬</x:t>
  </x:si>
  <x:si>
    <x:t xml:space="preserve">mai_men_dong</x:t>
  </x:si>
  <x:si>
    <x:t xml:space="preserve">玉竹</x:t>
  </x:si>
  <x:si>
    <x:t xml:space="preserve">yu_zhu</x:t>
  </x:si>
  <x:si>
    <x:t xml:space="preserve">天花粉</x:t>
  </x:si>
  <x:si>
    <x:t xml:space="preserve">tian_hua_fen</x:t>
  </x:si>
  <x:si>
    <x:t xml:space="preserve">扁豆</x:t>
  </x:si>
  <x:si>
    <x:t xml:space="preserve">bian_dou</x:t>
  </x:si>
  <x:si>
    <x:t xml:space="preserve">胆南星</x:t>
  </x:si>
  <x:si>
    <x:t xml:space="preserve">dan_nan_xing</x:t>
  </x:si>
  <x:si>
    <x:t xml:space="preserve">瓜蒌仁</x:t>
  </x:si>
  <x:si>
    <x:t xml:space="preserve">gua_lou_ren</x:t>
  </x:si>
  <x:si>
    <x:t xml:space="preserve">黄芩</x:t>
  </x:si>
  <x:si>
    <x:t xml:space="preserve">huang_qin</x:t>
  </x:si>
  <x:si>
    <x:t xml:space="preserve">枳实</x:t>
  </x:si>
  <x:si>
    <x:t xml:space="preserve">zhi_shi</x:t>
  </x:si>
  <x:si>
    <x:t xml:space="preserve">干姜</x:t>
  </x:si>
  <x:si>
    <x:t xml:space="preserve">gan_jiang</x:t>
  </x:si>
  <x:si>
    <x:t xml:space="preserve">细辛</x:t>
  </x:si>
  <x:si>
    <x:t xml:space="preserve">xi_xin</x:t>
  </x:si>
  <x:si>
    <x:t xml:space="preserve">苍术</x:t>
  </x:si>
  <x:si>
    <x:t xml:space="preserve">cang_zhu</x:t>
  </x:si>
  <x:si>
    <x:t xml:space="preserve">厚朴</x:t>
  </x:si>
  <x:si>
    <x:t xml:space="preserve">hou_po</x:t>
  </x:si>
  <x:si>
    <x:t xml:space="preserve">山药</x:t>
  </x:si>
  <x:si>
    <x:t xml:space="preserve">shan_yao</x:t>
  </x:si>
  <x:si>
    <x:t xml:space="preserve">莲子</x:t>
  </x:si>
  <x:si>
    <x:t xml:space="preserve">lian_zi</x:t>
  </x:si>
  <x:si>
    <x:t xml:space="preserve">砂仁</x:t>
  </x:si>
  <x:si>
    <x:t xml:space="preserve">sha_ren</x:t>
  </x:si>
  <x:si>
    <x:t xml:space="preserve">藿香</x:t>
  </x:si>
  <x:si>
    <x:t xml:space="preserve">huo_xiang</x:t>
  </x:si>
  <x:si>
    <x:t xml:space="preserve">白芷</x:t>
  </x:si>
  <x:si>
    <x:t xml:space="preserve">bai_zhi</x:t>
  </x:si>
  <x:si>
    <x:t xml:space="preserve">大腹皮</x:t>
  </x:si>
  <x:si>
    <x:t xml:space="preserve">da_fu_pi</x:t>
  </x:si>
  <x:si>
    <x:t xml:space="preserve">木通</x:t>
  </x:si>
  <x:si>
    <x:t xml:space="preserve">mu_tong</x:t>
  </x:si>
  <x:si>
    <x:t xml:space="preserve">生地黄</x:t>
  </x:si>
  <x:si>
    <x:t xml:space="preserve">sheng_di_huang</x:t>
  </x:si>
  <x:si>
    <x:t xml:space="preserve">竹茹</x:t>
  </x:si>
  <x:si>
    <x:t xml:space="preserve">zhu_ru</x:t>
  </x:si>
  <x:si>
    <x:t xml:space="preserve">石菖蒲</x:t>
  </x:si>
  <x:si>
    <x:t xml:space="preserve">shi_chang_pu</x:t>
  </x:si>
  <x:si>
    <x:t xml:space="preserve">茯神</x:t>
  </x:si>
  <x:si>
    <x:t xml:space="preserve">fu_shen</x:t>
  </x:si>
  <x:si>
    <x:t xml:space="preserve">酸枣仁</x:t>
  </x:si>
  <x:si>
    <x:t xml:space="preserve">suan_zao_ren</x:t>
  </x:si>
  <x:si>
    <x:t xml:space="preserve">柏子仁</x:t>
  </x:si>
  <x:si>
    <x:t xml:space="preserve">bai_zi_ren</x:t>
  </x:si>
  <x:si>
    <x:t xml:space="preserve">远志</x:t>
  </x:si>
  <x:si>
    <x:t xml:space="preserve">yuan_zhi</x:t>
  </x:si>
  <x:si>
    <x:t xml:space="preserve">肉桂</x:t>
  </x:si>
  <x:si>
    <x:t xml:space="preserve">rou_gui</x:t>
  </x:si>
  <x:si>
    <x:t xml:space="preserve">桃仁</x:t>
  </x:si>
  <x:si>
    <x:t xml:space="preserve">tao_ren</x:t>
  </x:si>
  <x:si>
    <x:t xml:space="preserve">红花</x:t>
  </x:si>
  <x:si>
    <x:t xml:space="preserve">hong_hua</x:t>
  </x:si>
  <x:si>
    <x:t xml:space="preserve">赤芍</x:t>
  </x:si>
  <x:si>
    <x:t xml:space="preserve">chi_shao</x:t>
  </x:si>
  <x:si>
    <x:t xml:space="preserve">牛膝</x:t>
  </x:si>
  <x:si>
    <x:t xml:space="preserve">niu_xi</x:t>
  </x:si>
  <x:si>
    <x:t xml:space="preserve">柴胡</x:t>
  </x:si>
  <x:si>
    <x:t xml:space="preserve">chai_hu</x:t>
  </x:si>
  <x:si>
    <x:t xml:space="preserve">天门冬</x:t>
  </x:si>
  <x:si>
    <x:t xml:space="preserve">tian_men_dong</x:t>
  </x:si>
  <x:si>
    <x:t xml:space="preserve">玄参</x:t>
  </x:si>
  <x:si>
    <x:t xml:space="preserve">xuan_shen</x:t>
  </x:si>
  <x:si>
    <x:t xml:space="preserve">丹参</x:t>
  </x:si>
  <x:si>
    <x:t xml:space="preserve">dan_shen</x:t>
  </x:si>
  <x:si>
    <x:t xml:space="preserve">黄连</x:t>
  </x:si>
  <x:si>
    <x:t xml:space="preserve">huang_lian</x:t>
  </x:si>
  <x:si>
    <x:t xml:space="preserve">龙眼</x:t>
  </x:si>
  <x:si>
    <x:t xml:space="preserve">long_yan</x:t>
  </x:si>
  <x:si>
    <x:t xml:space="preserve">木香</x:t>
  </x:si>
  <x:si>
    <x:t xml:space="preserve">mu_xiang</x:t>
  </x:si>
  <x:si>
    <x:t xml:space="preserve">龙胆草</x:t>
  </x:si>
  <x:si>
    <x:t xml:space="preserve">long_dan_cao</x:t>
  </x:si>
  <x:si>
    <x:t xml:space="preserve">泽泻</x:t>
  </x:si>
  <x:si>
    <x:t xml:space="preserve">ze_xie</x:t>
  </x:si>
  <x:si>
    <x:t xml:space="preserve">车前子</x:t>
  </x:si>
  <x:si>
    <x:t xml:space="preserve">che_qian_zi</x:t>
  </x:si>
  <x:si>
    <x:t xml:space="preserve">茴香</x:t>
  </x:si>
  <x:si>
    <x:t xml:space="preserve">hui_xiang</x:t>
  </x:si>
  <x:si>
    <x:t xml:space="preserve">枸杞子</x:t>
  </x:si>
  <x:si>
    <x:t xml:space="preserve">gou_qi_zi</x:t>
  </x:si>
  <x:si>
    <x:t xml:space="preserve">乌药</x:t>
  </x:si>
  <x:si>
    <x:t xml:space="preserve">wu_yao</x:t>
  </x:si>
  <x:si>
    <x:t xml:space="preserve">沉香</x:t>
  </x:si>
  <x:si>
    <x:t xml:space="preserve">chen_xiang</x:t>
  </x:si>
  <x:si>
    <x:t xml:space="preserve">香附</x:t>
  </x:si>
  <x:si>
    <x:t xml:space="preserve">xiang_fu</x:t>
  </x:si>
  <x:si>
    <x:t xml:space="preserve">五灵脂</x:t>
  </x:si>
  <x:si>
    <x:t xml:space="preserve">wu_ling_zhi</x:t>
  </x:si>
  <x:si>
    <x:t xml:space="preserve">丹皮</x:t>
  </x:si>
  <x:si>
    <x:t xml:space="preserve">dan_pi</x:t>
  </x:si>
  <x:si>
    <x:t xml:space="preserve">延胡索</x:t>
  </x:si>
  <x:si>
    <x:t xml:space="preserve">yan_hu_suo</x:t>
  </x:si>
  <x:si>
    <x:t xml:space="preserve">川楝子</x:t>
  </x:si>
  <x:si>
    <x:t xml:space="preserve">chuan_lian_zi</x:t>
  </x:si>
  <x:si>
    <x:t xml:space="preserve">钩藤</x:t>
  </x:si>
  <x:si>
    <x:t xml:space="preserve">gou_teng</x:t>
  </x:si>
  <x:si>
    <x:t xml:space="preserve">菊花</x:t>
  </x:si>
  <x:si>
    <x:t xml:space="preserve">ju_hua</x:t>
  </x:si>
  <x:si>
    <x:t xml:space="preserve">蛤蚧</x:t>
  </x:si>
  <x:si>
    <x:t xml:space="preserve">ge_jie</x:t>
  </x:si>
  <x:si>
    <x:t xml:space="preserve">山茱萸</x:t>
  </x:si>
  <x:si>
    <x:t xml:space="preserve">shan_zhu_yu</x:t>
  </x:si>
  <x:si>
    <x:t xml:space="preserve">附子</x:t>
  </x:si>
  <x:si>
    <x:t xml:space="preserve">fu_zi</x:t>
  </x:si>
  <x:si>
    <x:t xml:space="preserve">龟板胶</x:t>
  </x:si>
  <x:si>
    <x:t xml:space="preserve">gui_ban_jiao</x:t>
  </x:si>
  <x:si>
    <x:t xml:space="preserve">鹿角胶</x:t>
  </x:si>
  <x:si>
    <x:t xml:space="preserve">lu_jiao_jiao</x:t>
  </x:si>
  <x:si>
    <x:t xml:space="preserve">菟丝子</x:t>
  </x:si>
  <x:si>
    <x:t xml:space="preserve">tu_si_zi</x:t>
  </x:si>
  <x:si>
    <x:t xml:space="preserve">沙苑子</x:t>
  </x:si>
  <x:si>
    <x:t xml:space="preserve">sha_yuan_zi</x:t>
  </x:si>
  <x:si>
    <x:t xml:space="preserve">芡实</x:t>
  </x:si>
  <x:si>
    <x:t xml:space="preserve">qian_shi</x:t>
  </x:si>
  <x:si>
    <x:t xml:space="preserve">龙骨</x:t>
  </x:si>
  <x:si>
    <x:t xml:space="preserve">long_gu</x:t>
  </x:si>
  <x:si>
    <x:t xml:space="preserve">牡蛎</x:t>
  </x:si>
  <x:si>
    <x:t xml:space="preserve">mu_li</x:t>
  </x:si>
  <x:si>
    <x:t xml:space="preserve">莲须</x:t>
  </x:si>
  <x:si>
    <x:t xml:space="preserve">lian_xu</x:t>
  </x:si>
  <x:si>
    <x:t xml:space="preserve">续断</x:t>
  </x:si>
  <x:si>
    <x:t xml:space="preserve">xu_duan</x:t>
  </x:si>
  <x:si>
    <x:t xml:space="preserve">fen</x:t>
  </x:si>
  <x:si>
    <x:t xml:space="preserve">糯米</x:t>
  </x:si>
  <x:si>
    <x:t xml:space="preserve">nuo_mi</x:t>
  </x:si>
  <x:si>
    <x:t xml:space="preserve">阿胶</x:t>
  </x:si>
  <x:si>
    <x:t xml:space="preserve">e_jiao</x:t>
  </x:si>
  <x:si>
    <x:t xml:space="preserve">鸡子黄</x:t>
  </x:si>
  <x:si>
    <x:t xml:space="preserve">ji_zi_huang</x:t>
  </x:si>
  <x:si>
    <x:t xml:space="preserve">Nature</x:t>
  </x:si>
  <x:si>
    <x:t xml:space="preserve">Taste</x:t>
  </x:si>
  <x:si>
    <x:t xml:space="preserve">Meridians</x:t>
  </x:si>
  <x:si>
    <x:t xml:space="preserve">Toxicity</x:t>
  </x:si>
  <x:si>
    <x:t xml:space="preserve">温</x:t>
  </x:si>
  <x:si>
    <x:t xml:space="preserve">辛|苦</x:t>
  </x:si>
  <x:si>
    <x:t xml:space="preserve">肺|肾</x:t>
  </x:si>
  <x:si>
    <x:t xml:space="preserve">无毒</x:t>
  </x:si>
  <x:si>
    <x:t xml:space="preserve">shen_nong_ben_cao_jing</x:t>
  </x:si>
  <x:si>
    <x:t xml:space="preserve">麻黄
【气味】辛苦，温。
【毒性】无毒。
【归经】归肺、膀胱经。
【主治】发汗解表，宣肺平喘，利水消肿。
【释名】龙沙（《本经》）、卑相（《别录》）、卑盐（《别录》）。
时珍曰：诸名殊不可解。或云其味麻，其色黄，未审然否？张揖《广雅》云：龙沙，麻黄也。狗骨，麻黄根也。不知何以分别如此？
【发明】弘景曰︰麻黄疗伤寒，解肌第一药。
颂曰︰张仲景治伤寒，有麻黄汤及葛根汤、大小青龙汤，皆用麻黄。治肺痿上气，有射干麻黄汤、浓朴麻黄汤，皆大方也。
杲曰︰轻可去实，麻黄、葛根之属是也。六淫有馀之邪，客于阳分皮毛之间，腠理闭拒，营卫气血不行，故谓之实。二药轻清成象，故可去之。麻黄微苦，其形中空，阴中之阳，入足太阳寒水之经。其经循背下行，本寒而又受外寒，故宜发汗，去皮毛气分寒邪，以泄表实。若过发则汗多亡阳，或饮食劳倦及杂病自汗表虚之证用之，则脱人元气，不可不禁。
好古曰︰麻黄治卫实之药，桂枝治卫虚之药，二物虽为太阳证药，其实营卫药也。心主营为血，肺主卫为气。故麻黄为手太阴肺之剂，桂枝为手少阴心之剂。伤寒伤风而咳嗽，用麻黄、桂枝，即汤液之源也。
时珍曰︰麻黄乃肺经专药，故治肺病多用之。张仲景治伤寒无汗用麻黄，有汗用桂枝。历代明医解释，皆随文傅会，未有究其精微者。时珍常绎思之，似有一得，与昔人所解不同云。津液为汗，汗即血也。在营则为血，在卫则为汗。夫寒伤营，营血内涩，不能外通于卫，卫气闭固，津液不行，故无汗发热而憎寒。夫风伤卫，卫气外泄，不能内护于营，营气虚弱，津液不固，故有汗发热而恶风。然风寒之邪，皆由皮毛而入。皮毛者，肺之合也。肺主卫气，包罗一身，天之象也。是证虽属乎太阳，而肺实受邪气。其证时兼面赤怫郁，咳嗽有痰，喘而胸满诸证者，非肺病乎？盖皮毛外闭，则邪热内攻，而肺气郁。故用麻黄、甘引出营分之邪，达之肌表，佐以杏仁泄肺而利气。汗后无大热而喘者，加以石膏。朱肱《活人书》，夏至后加石膏、知母，皆是泄肺火之药。是则麻黄汤虽太阳发汗重剂，实为发散肺经火郁之药也。腠理不密，则津液外泄，而肺气自虚。虚则补其母。故用桂枝同甘草，外散风邪以救表，内伐肝木以防脾。佐以芍药，泄木而固脾，泄东所以补西也。使以姜枣，行脾之津液而和营卫也。下后微喘者加浓朴、杏仁，以利肺气也。汗后脉沉迟者加人参，以益肺气也。朱肱加黄芩为阳旦汤，以泻肺热也。皆是脾肺之药。是则桂枝虽太阳解肌轻剂，实为理脾救肺之药也。此千古未发之秘旨，愚因表而出之。又少阴病发热脉沉，有麻黄附子细辛汤、麻黄附子甘草汤。少阴与太阳为表里，乃赵嗣真所谓熟附配麻黄，补中有发也。一锦衣夏月饮酒达旦，病水泄，数日不止，水谷直出。服分利消导升提诸药则反剧。时珍诊之，脉浮而缓，大肠下弩，复发痔血。此因肉食生冷茶水过杂，抑遏阳气在下，木盛土衰，《素问》所谓久风成飧泄也。法当升之扬之。遂以小续命汤投之，一服而愈。昔仲景治伤寒六七日，大下后，脉沉迟，手足厥逆，咽喉不利，唾脓血，泄利不止者，用麻黄汤平其肝肺，兼升发之，即斯理也。神而明之，此类是矣。</x:t>
  </x:si>
  <x:si>
    <x:t xml:space="preserve">草之四</x:t>
  </x:si>
  <x:si>
    <x:t xml:space="preserve">辛|甘</x:t>
  </x:si>
  <x:si>
    <x:t xml:space="preserve">心|肺|肾</x:t>
  </x:si>
  <x:si>
    <x:t xml:space="preserve">桂枝（桂）
【气味】味辛、甘，性温。
【毒性】无毒。
【归经】归心、肺、膀胱经。
【主治】发汗解肌，温通经脉，助阳化气。
【释名】时珍曰︰按︰范成大《桂海志》云︰凡木叶心皆一纵理，独桂有两道如圭形，故字从圭。
陆佃《埤雅》云︰桂犹圭也。宣导百药，为之先聘通使，如执圭之使也。《尔雅》谓之梫者，能侵害他木也。故《吕氏春秋》云︰桂枝之下无杂木。《雷公炮炙论》云︰桂钉木根，其木即死，是也。桂即牡桂之浓而辛烈者，牡桂即桂之薄而味淡者，《别录》不当重出，今并为一，而分目于下。
【发明】
宗奭曰︰桂甘、辛，大热。《素问》云︰辛甘发散为阳。故汉张仲景桂枝汤治伤寒表虚，皆须此药，正合辛甘发散之意。本草三种之桂，不用牡桂、菌桂者，此二种性只于温，不可以治风寒之病也。然《本经》只言桂，仲景又言桂枝者，取枝上皮也。
好古曰︰或问︰本草言桂能止烦出汗，而张仲景治伤寒有当发汗，凡数处，皆用桂枝汤。又云无汗不得服桂枝。汗家不得重发汗，若用桂枝是重发其汗。汗多者用桂枝甘草汤，此又用桂枝闭汗也。一药二用，与本草之义相通否乎？曰︰本草言桂辛甘大热，能宣导百药，通血脉，止烦出汗，是调其血而汗自出也。仲景云︰太阳中风，阴弱者，汗自出。卫实营虚，故发热汗出。又云太阳病发热汗出者，此为营弱卫强，阴虚阳必凑之，故皆用桂枝发其汗。此乃调其营气，则卫气自和，风邪无所容，遂自汗而解。非桂枝能开腠理，发出其汗也。汗多用桂枝者，以之调和营卫，则邪从汗出而汗自止，非桂枝能闭汗孔也。昧者不知出汗、闭汗之意，遇伤寒无汗者亦用桂枝，误之甚矣。桂枝汤下发汗字，当认作出字，汗自然发出，非若麻黄能开腠理，发出其汗也。其治虚汗，亦当逆察其意可也。
成无己曰︰桂枝本为解肌。若太阳中风，腠理致密，营卫邪实，津液禁固，其脉浮紧，发热汗不出者，不可与此必也。皮肤疏泄，自汗，脉浮缓，风邪干于卫气者，乃可投之。发散以辛甘为主，桂枝辛热，故以为君。而以芍药为臣、甘草为佐者，风淫所胜，平以辛苦，以甘缓之，以酸收之也。以姜、枣为使者，辛甘能发散，而又用其行脾胃之津液而和营卫，不专于发散也。故麻黄汤不用姜、枣，专于发汗，不待行其津液也。
时珍曰︰麻黄遍彻皮毛，故专于发汗而寒邪散，肺主皮毛，辛走肺也。桂枝透达营卫，故能解肌而风邪去，脾主营，肺主卫，甘走脾，辛走肺也。肉桂下行，益火之原，此东垣所谓肾苦燥，急食辛以润之，开腠理，致津液，通其气者也。《圣惠方》言︰桂心入心，引血化汗化脓。盖手少阴君火、厥阴相火，与命门同气者也。《别录》云桂通血脉是矣。</x:t>
  </x:si>
  <x:si>
    <x:t xml:space="preserve">木之一</x:t>
  </x:si>
  <x:si>
    <x:t xml:space="preserve">苦</x:t>
  </x:si>
  <x:si>
    <x:t xml:space="preserve">脾|肺</x:t>
  </x:si>
  <x:si>
    <x:t xml:space="preserve">小毒</x:t>
  </x:si>
  <x:si>
    <x:t xml:space="preserve">杏仁（杏）
【气味】味苦，性温。
【毒性】有小毒。
【归经】归肺、大肠经。
【主治】止咳平喘，润肠通便。
【释名】时珍曰︰杏字篆文象子在木枝之形。或云从口及从可者，并非也。《江南录》云︰杨行密改杏名甜梅。
【发明】
元素曰︰杏仁气薄味浓，浊而沉坠，降也、阴也。入手太阴经。其用有三︰润肺也，消食积也，散滞气也。
杲曰︰杏仁散结润燥，除肺中风热咳嗽。杏仁下喘，治气也；桃仁疗狂，治血也。俱治大便秘，当分气、血。昼则便难，行阳气也；夜则便难，行阴血也。故虚人便闭，不可过泄。脉浮者属气，用杏仁、陈皮；脉沉者属血，用桃仁、陈皮。手阳明与手太阴为表里，贲门主往来，魄门主收闭，为气之通道，故并用陈皮佐之。
好古曰︰张仲景麻黄汤，及王朝奉治伤寒气上喘逆，并用杏仁者，为其利气、泻肺、解肌也。
时珍曰︰杏仁能散能降，故解肌散风、降气润燥、消积治伤损药中用之。治疮杀虫，用其毒也。按《医余》云︰凡索面、豆粉近杏仁则烂。顷一兵官食粉成积，医师以积气丸、杏仁相半研为丸，熟水下，数服愈。又《野人闲话》云︰翰林学士辛士逊，在青城山道院中，梦皇姑谓曰︰可服杏仁，令汝聪明，老而健壮，心力不倦。求其方，则用杏仁一味，每盥漱毕，以七枚纳口中，良久脱去皮，细嚼和津液顿咽。日日食之，一年必换血，令人轻健。此申天师方也。又杨士瀛《直指方》云︰凡人以水浸杏仁五枚，五更端坐，逐粒细嚼至尽，和津吞下。久则能润五脏，去尘滓，驱风明目，治肝肾风虚，瞳人带青，眼翳风痒之病。珍按杏仁性热降气，亦非久服之药。此特其咀嚼吞纳津液，以消积秽则可耳。古有服杏丹法，云是左慈之方。唐慎微收入本草，云久服寿至千万。其说妄诞可鄙，今删其纰谬之辞，存之于下，使读者毋信其诳也。</x:t>
  </x:si>
  <x:si>
    <x:t xml:space="preserve">果之一</x:t>
  </x:si>
  <x:si>
    <x:t xml:space="preserve">平</x:t>
  </x:si>
  <x:si>
    <x:t xml:space="preserve">甘</x:t>
  </x:si>
  <x:si>
    <x:t xml:space="preserve">心|脾|肺</x:t>
  </x:si>
  <x:si>
    <x:t xml:space="preserve">甘草
【气味】味甘，性平。
【毒性】无毒。
【归经】归心、肺、脾、胃经。
【主治】益气补中，清热解毒，祛痰止咳，缓急止痛，调和诸药。
【释名】密甘（《别录》）、密草（《别录》）、美草（《别录》）、蕗草（《别录》）、灵通（《记事珠》）、国老（《别录》）。
弘景曰︰此草最为众药之主，经方少有不用者，犹如香中有沉香也。国老即帝师之称，虽非君而为君所宗，是以能安和草石而解诸毒也。
甄权曰︰诸药中甘草为君，治七十二种乳石毒，解一千二百般草木毒，调和众药有功故有国老之号。
【发明】
震亨曰︰甘草味甘，大缓诸火，黄中通理，厚德载物之君子也。欲达下焦，须用稍子。
杲曰︰甘草气薄味浓，可升可降，阴中阳也。阳不足者，补之以甘。甘温能除大热，故生用则气平，补脾胃不足而大泻心火；炙之则气温，补三焦元气而散表寒，除邪热，去咽痛，缓正气，养阴血。凡心火乘脾，腹中急痛，腹皮急缩者，宜倍用之。其性能缓急，而又协和诸药，使之不争。故热药得之缓其热；寒药得之缓其寒；寒热相杂者用之得其平。
好古曰︰五味之用，苦泄辛散，酸收咸敛，甘上行而发，而本草言甘草下气何也？盖甘味主中，有升降浮沉，可上可下，可外可内，有和有缓，有补有泄，居中之道尽矣。张仲景附子理中汤用甘草，恐其僭上也；调胃承气汤用甘草，恐其速下也，皆缓之之意。小柴胡汤有柴胡、黄芩之寒，人参、半夏之温，而用甘草者，则有调和之意。建中汤用甘草，以补中而缓脾急也；凤髓丹用甘草，以缓肾急而生元气也，乃甘补之意。又曰︰甘者令人中满；中满者勿食甘，甘缓而壅气，非中满所宜也。凡不满而用炙甘草为之补；若中满而用生甘草为之泻，能引诸药直至满所，甘味入脾，归其所喜，此升降、浮沉之理也。《经》云︰以甘补之，以甘泻之，以甘缓之，是矣。
时珍曰︰甘草外赤中黄，色兼坤离；味浓气薄，资全土德。协和群品，有元老之功；普治百邪，得王道之化。赞帝力而人不知，敛神功而己不与，可谓药中之良相也。然中满、呕吐、酒客之病，不喜其甘；而大戟、芫花、甘遂、海藻，与之相反。是亦迂缓不可以救昏昧，而君子尝见嫉于宵人之意欤？
颂曰︰按孙思邈《千金方论》云：甘草解百药毒，如汤沃雪。有中乌头、巴豆毒，甘草入腹即定，验如反掌。方称大豆汁解百药毒，予每试之不效。加入甘草为甘豆汤，其验乃奇也。又葛洪《肘后备急方》云：席辩刺史尝言岭南俚人解蛊毒药，并是常用之物，畏人得其法，乃言三百头牛药，或言三百两银药。久与亲狎，乃得其详。凡饮食时，先取炙熟甘草一寸，嚼之咽汁，若中毒，随即吐出。仍以炙甘草三两、生姜四两，水六升，煮二升，日三服。或用都淋藤、黄藤二物，酒煎温常服，则毒随大小溲出。又常带甘草数寸，随身备急。若经含甘草而食物不吐者，非毒物也。三百头牛药，即土常山也；三百两银药，即马兜铃藤也。详见各条。</x:t>
  </x:si>
  <x:si>
    <x:t xml:space="preserve">草之一</x:t>
  </x:si>
  <x:si>
    <x:t xml:space="preserve">寒</x:t>
  </x:si>
  <x:si>
    <x:t xml:space="preserve">肝|脾</x:t>
  </x:si>
  <x:si>
    <x:t xml:space="preserve">白芍（芍药）
【气味】苦、酸，微寒。
【毒性】无毒。
【归经】归肝、脾经。
【主治】养血调经，敛阴止汗，柔肝止痛，平抑肝阳。
【释名】将离（《纲目》）、犁食（《别录》）、白术（《别录》）、余容（《别录》）、铤（《别录》），白者名金芍药，赤者名木芍药（《图经》）。
时珍曰：芍药，犹约也。约，美好貌。此草花容婥约，故以为名。又《雅翼》言：制食之毒，莫良于芍，故得药名，亦通。
郑风诗云：伊其相谑，赠之以芍药。
《韩诗外传》云：芍药，离草也。董子云：芍药一名将离，故将别赠之。俗呼其花之千叶者，为小牡丹；赤者为木芍药，与牡丹同名也。
【发明】
志曰：赤者，利小便下气；白者，止痛散血。
大明曰：赤者补气，白者补血。
弘景曰：赤者小利，俗方以止痛不减当归。白者道家亦服食之，及煮石用。
成无己曰：**白补而赤泻，白收而赤散。酸以收之，甘以缓之，故酸甘相合，用补阴血。收逆气而除肺燥。**又云：芍药之酸，敛津液而益营血，收阴气而泄邪热。
元素曰：**白补赤散，泻肝补脾胃。**酒浸行经，止中部腹痛；与姜同用，温经散湿通塞，利腹中痛，胃气不通。**白芍入脾经补中焦，乃下利必用之药。**盖泻利皆太阴病，故不可缺此。得炙甘草为佐，治腹中痛，夏月少加黄芩，恶寒加桂，此仲景神方也。其用凡六：安脾经，一也；治腹痛，二也；收胃气，三也；止泻痢，四也；和血脉，五也；固腠理，六也。
宗奭曰：芍药须用单叶红花者为佳，然血虚寒人禁之。古人云：减芍药以避中寒。诚不可忽。
震亨曰：芍药泻脾火，性味酸寒，冬月必以酒炒。凡腹痛多是血脉凝涩，亦必酒炒用。然止能治血虚腹痛，余并不治。为其酸寒收敛，无温散之功也。下痢腹痛必炒用，后重者不炒。产后不可用者，以其酸寒伐生发之气也。必不得已，亦酒炒用之。
时珍曰：白芍药益脾，能于土中泻木。赤芍药散邪，能行血中之滞。《日华子》言：赤补气，白治血，欠审矣。产后肝血已虚，不可更泻，故禁之。酸寒之药多矣，何独避芍药耶？以此杲曰：或言古人以酸涩为收，《本经》何以言利小便？曰：芍药能益阴滋湿而停津液，故小便自行，非因通利也。曰：又言缓中何也？曰：损其肝者缓其中，即调血也，故四物汤用芍药。大抵酸涩者为收敛停湿之剂，故主手足太阴经收敛之体，又能治血海而入于九地之下，后至厥阴经。白者色在西方，故补；赤者色在南方，故泻。</x:t>
  </x:si>
  <x:si>
    <x:t xml:space="preserve">草之三</x:t>
  </x:si>
  <x:si>
    <x:t xml:space="preserve">辛</x:t>
  </x:si>
  <x:si>
    <x:t xml:space="preserve">生姜
【气味】味辛，性温。
【毒性】无毒。
【归经】归肺、脾、胃经。
【主治】解表散寒，温中止呕，解鱼蟹毒。
【释名】时珍曰：按：许慎《说文》：姜作䕬，云御湿之菜也。
王安石《字说》云：姜能强御百邪，故谓之姜。初生嫩者，其尖微紫，名紫姜，或作子姜；宿根谓之母姜也。
【发明】
成无己曰︰姜、枣味辛、甘，专行脾之津液而和营卫。药中用之，不独专于发散也。
杲曰︰生姜之用有四︰制半夏、浓朴之毒，一也；发散风寒，二也；与枣同用，辛温益脾胃元气，温中去湿，三也；与芍药同用，温经散寒，四也。孙真人云︰姜为呕家圣药，盖辛以散之。呕乃气逆不散，此药行阳而散气也。或问︰生姜辛温入肺，何以云入胃口？曰︰俗以心下为胃口者，非矣。咽门之下，受有形之物，乃胃之系，便是胃口，与肺系同行，故能入肺而开胃口也。曰︰人云夜间勿食生姜，令人闭气，何也？曰︰生姜辛温主开发。夜则气本收敛，反开发之，则违天道矣。若有病患，则不然也。生姜屑，比之乾姜则不热，比之生姜则不湿。以乾生姜代乾姜者，以其不僭故也。俗言上床萝卜下床姜。姜能开胃，萝卜消食也。
时珍曰︰姜，辛而不荤，去邪辟恶，生啖熟食，醋、酱、糟、盐、蜜煎调和，无不宜之。可蔬可和，可果可药，其利博矣。凡早行山行，宜含一块，不犯雾露清湿之气，及山岚不正之邪。
颂曰︰崔元亮《集验方》载︰敕赐姜茶治痢方︰以生姜切细，和好茶一、两碗，任意呷之，便瘥。若是热痢，留姜皮；冷痢，去皮，大妙。
杨士瀛曰︰姜能助阳，茶能助阴，二物皆消散恶气，调和阴阳，且解湿热及酒食暑气之毒，不问赤、白通宜用之。苏东坡治文潞公有效。</x:t>
  </x:si>
  <x:si>
    <x:t xml:space="preserve">菜之一</x:t>
  </x:si>
  <x:si>
    <x:t xml:space="preserve">心|脾</x:t>
  </x:si>
  <x:si>
    <x:t xml:space="preserve">大枣（枣）
【气味】味甘，性温。
【毒性】无毒。
【归经】归脾、胃、心经。
【主治】补中益气，养血安神，缓和药性。
【释名】干枣（《别录》）、美枣（《别录》）、良枣（《别录》）。
《别录》曰︰八月采，曝干。
瑞曰︰此即晒干大枣也。味最良美，故宜入药。今人亦有用胶枣之肥大者。
【发明】
弘景曰︰道家方药，以枣为佳饵。其皮利，肉补虚，所以合汤皆擘之也。
杲曰︰大枣气味俱浓，阳也。温以补不足，甘以缓阴血。
成无己曰︰邪在营卫者，辛甘以解之。故用姜、枣以和营卫，生发脾胃升腾之气。张仲景治奔豚，用大枣滋脾土以平肾气也。治水饮胁痛有十枣汤，益土而胜水也。
震亨曰︰枣属土而有火，味甘性缓。甘先入脾，补脾者未尝用甘。故今人食甘多者，脾必受病也。
时珍曰︰《素问》言枣为脾之果，脾病宜食之。谓治病和药，枣为脾经血分药也。若无故频食，则生虫损齿，贻害多矣。按王好古云︰中满者勿食甘，甘令人满。故张仲景建中汤心下痞者，减饧、枣，与甘草同例，此得用枣之方矣。又按许叔微《本事方》云︰一妇病脏燥悲泣不止，祈祷备至。予忆古方治此证用大枣汤，遂治，与服尽剂而愈。古人识病治方，妙绝如此。又陈自明《妇人良方》云︰程虎卿内人妊娠四、五个月，遇昼则惨戚悲伤，泪下数欠，如有所凭，医巫兼治皆无益。管伯周说︰先人曾语此，治须大枣汤乃愈。虎卿借方治药，一投而愈。方见下条。又《摘玄方》治此证，用红枣烧存性，酒服三钱，亦大枣汤变法也。</x:t>
  </x:si>
  <x:si>
    <x:t xml:space="preserve">金银花（忍冬）
【气味】味甘，性寒。
【毒性】无毒。
【归经】归肺、心、胃经。
【主治】清热解毒，疏散风热。
【释名】金银藤（《纲目》）、鸳鸯藤（《纲目》）、鹭鸶藤（《纲目》）、老翁须（《纲目》）、左缠藤（《纲目》）、金钗股（《纲目》）、通灵草（《土宿》）、蜜桶藤（《土宿》）。
弘景曰︰处处有之。藤生，凌冬不凋，故名忍冬。
时珍曰︰其花长瓣垂须，黄白相半，而藤左缠，故有金银、鸳鸯以下诸名。金钗股，贵其功也。土宿真君云︰蜜桶藤，阴草也。取汁能伏硫制汞，故有通灵之称。
【发明】弘景曰︰忍冬，煮汁酿酒饮，补虚疗风。此既长年益寿，可常采服，而《仙经》少用。凡易得之草，人多不肯为之，更求难得者，贵远贱近，庸人之情也。
时珍曰︰忍冬，茎叶及花，功用皆同。昔人称其治风除胀，解痢逐尸为要药，而后世不复知用，后世称其消肿散毒治疮为要药，而昔人并未言及。乃知古今之理，万变不同，未可一辙论也。按︰陈自明《外科精要》云︰忍冬酒，治痈疽发背，初发便当服此，其效甚奇，胜于红内消。洪内翰迈、沈内翰括诸方，所载甚详。如疡医丹阳僧、江西僧鉴清、金陵王琪、王尉子骏、海州刘秀才纯臣等，所载疗痈疽发背经效奇方，皆是此物。故张相公云︰谁知至贱之中，乃有殊常之效，正此类也。</x:t>
  </x:si>
  <x:si>
    <x:t xml:space="preserve">草之七</x:t>
  </x:si>
  <x:si>
    <x:t xml:space="preserve">连翘
【气味】味苦，性微寒。
【毒性】无毒。
【归经】归肺、心、小肠经。
【主治】清热解毒，消肿散结，疏散风热。
【释名】连（《尔雅》）、异翘（《尔雅》）、旱莲子（《药性》）、兰华（《吴普》）、三廉（别录）、根名连轺（仲景）、折根（别录）。 
恭曰︰其实似莲作房，翘出众草，故名。
宗奭曰︰连翘亦不翘出众草。太山山谷间甚多。其子折之，片片相比如翘，应以此得名耳。
时珍曰︰按《尔雅》云︰连，异翘。则是本名连，又名异翘，人因合称为连翘矣。连轺亦作连苕，即《本经》下品翘根是也。唐苏恭《修本草》退入有名未用中，今并为一。旱莲乃小翘，人以为鳢肠者，故同名。
【发明】
元素曰︰连翘之用有三︰泻心经客热，一也；去上焦诸热，二也；为疮家圣药，三也。
杲曰︰十二经疮药中不可无此，乃结者散之之义。
好古曰︰手足少阳之药，治疮疡瘤瘿结核有神，与柴胡同功，但分气血之异尔。与鼠粘子同用治疮疡，别有神功。
时珍曰︰连翘状似人心，两片合成，其中有仁甚香，乃少阴心经、厥阴包络气分主药也。诸痛痒疮疡皆属心火，故为十二经疮家圣药，而兼治手足少阳手阳明三经气分之热也。</x:t>
  </x:si>
  <x:si>
    <x:t xml:space="preserve">草之五</x:t>
  </x:si>
  <x:si>
    <x:t xml:space="preserve">牛蒡子（恶实）
【气味】味辛、苦，性寒。
【毒性】无毒。
【归经】归肺、胃经。
【主治】疏散风热，宣肺透疹，解毒利咽，滑肠通便。
【释名】鼠粘（《别录》）、牛蒡（《别录》）、大力子（《纲目》）、蒡翁菜（《纲目》）、便牵牛（《纲目》）、蝙蝠刺（《斗门方》）。
时珍曰︰其实状恶而多刺钩，故名也。其根叶皆可食，人呼为牛菜，术人隐之呼为大力也。俚人谓之便牵牛。河南人呼为夜叉头。
颂曰︰实壳多刺，鼠过之则缀惹不可脱，故谓之鼠粘子，亦如羊负来之比。
【发明】
杲曰︰鼠粘子其用有四︰治风湿瘾疹，咽喉风热，散诸肿疮疡之毒，利凝滞腰 膝之气，是也。</x:t>
  </x:si>
  <x:si>
    <x:t xml:space="preserve">肝|肺</x:t>
  </x:si>
  <x:si>
    <x:t xml:space="preserve">荆芥（假苏）
【气味】味辛，性微温。
【毒性】无毒。
【归经】归肺、肝经。
【主治】解表散风，透疹，利咽消肿，止血。
【释名】姜芥（《别录》）、荆芥（《吴普》）、鼠蓂（《本经》）。
弘景曰︰假苏方药不复用。
恭曰︰此即菜中荆芥也，姜芥声讹尔。先居草部，今录入菜部。
士良曰︰荆芥本草呼为假苏。假苏又别是一物。叶锐圆，多野生，以香气似苏，故呼为苏。
颂曰︰医官陈巽言︰江左人谓假苏、荆芥实两物。苏恭以本草一名姜芥，荆姜声讹，谓为荆芥，非矣。
时珍曰︰按《吴普本草》云︰假苏一名荆芥，叶似落藜而细，蜀中生啖之。普乃东汉末 人，去《别录》时未远，其言当不谬，故唐人苏恭祖其说。而陈士良、苏颂复启为两物之疑，亦臆说尔。曰苏、曰姜、曰芥，皆因气味辛香，如苏、如姜、如芥也。
【发明】
元素曰︰荆芥辛苦，气味俱薄，浮而升，阳也。
好古曰︰肝经气分药也。能搜肝气。
时珍曰︰荆芥入足厥阴经气分，其功长于祛风邪，散瘀血，破结气，消疮毒。盖厥阴乃风木也，主血，而相火寄之，故风病血病疮病为要药。其治风也，贾丞相称为再生丹，许学 士谓有神圣功，戴院使许为产后要药，萧存敬呼为一捻金，陈无择隐为举卿古拜散，夫岂无故而得此隆誉哉？按《唐韵》︰荆字，举卿切，芥字古拜切。盖二字之反切，隐语以秘其方也。
又曰︰荆芥反鱼蟹河豚之说，本草医方并未言及，而稗官小说往往载之。按李廷飞《延 寿书》云︰凡食一切无鳞鱼，忌荆芥。食黄 鱼后食之，令人吐血，惟地浆可解。与蟹同食，动风。又《蔡絛铁围山丛话》云︰予居岭峤，见食黄颡鱼犯姜芥者立死，甚于钩吻。洪 迈《夷坚志》云︰吴人魏几道，啖黄颡鱼羹，后采荆芥和茶饮。少顷足痒，上彻心肺，狂走，足皮欲裂。急服药，两日乃解。陶九成《辍耕录》云︰凡食河豚，不可服荆芥药，大相反。 予在江阴见一儒者，因此丧命。《苇航纪谈》云︰凡服荆芥风药，忌食鱼。杨诚斋曾见一人，立致于死也。时珍按︰荆芥乃日用之药，其相反如此，故详录之，以为警戒。又按《物类相感志》言︰河豚用荆芥同煮，三五次换水，则无毒。其说与诸书不同，何哉？大抵养生者，宁守前说为戒可也。</x:t>
  </x:si>
  <x:si>
    <x:t xml:space="preserve">凉</x:t>
  </x:si>
  <x:si>
    <x:t xml:space="preserve">薄荷
【气味】辛，凉。
【毒性】无毒。
【归经】归肺、肝经。
【主治】疏散风热，清利头目，利咽透疹，疏肝行气。
【释名】菝（《食性》）、蕃荷菜（《千金》）、吴菝（《食性》）、南薄荷（《衍义》）、金钱薄荷（《会编》）。
时珍曰：薄荷，俗称也。陈士良《食性本草》作菝，扬雄《甘泉赋》作茇，吕忱《字林》作茇，则薄荷之为讹称可知矣。
孙思邈《千金方》作蕃荷，又方音之讹也。今人药用，多以苏州者为胜，故陈士良谓之吴菝，以别胡菝也。
宗奭曰：世称此为南薄荷，为有一种龙脑薄荷，所以别之。机曰：小儿方多用金钱薄荷，谓其叶小颇圆如钱也，书作金银误矣。
【发明】元素曰：薄荷辛凉，气味俱薄，浮而升，阳也。故能去高巅及皮肤风热。
士良曰：薄荷能引诸药入营卫，故能发散风寒。
宗奭曰：小儿惊狂壮热，须此引药。又治骨蒸热劳，用其汁与众药熬为膏。猫食薄荷则醉，物相感尔。
好古曰：薄荷，手、足厥阴气分药也。能搜肝气，又主肺盛有余肩背痛，及风寒汗出。
时珍曰：薄荷入手太阴、足厥阴，辛能发散，凉能清利，专于消风散热，故头痛头风眼目咽喉口齿诸病，小儿惊热及瘰疬疮疥，为要药。戴原礼氏治猫咬，取其汁涂之有效，盖取其相制也。陆农师曰：薄荷，猫之酒也。犬，虎之酒也。桑椹，鸠之酒也。草，鱼之酒也。昝殷</x:t>
  </x:si>
  <x:si>
    <x:t xml:space="preserve">苦|辛</x:t>
  </x:si>
  <x:si>
    <x:t xml:space="preserve">淡豆豉（大豆豉）
【气味】味苦、辛，性凉。
【毒性】无毒。
【归经】归肺、胃经。
【主治】解表除烦，宣发郁热。
【释名】时珍曰︰按︰刘熙《释名》云︰豉，嗜也。调和五味，可甘嗜也。许慎《说文》谓豉为配盐幽菽者，乃咸豉也。
【发明】
弘景曰︰豉，食中常用。春夏之气不和，蒸炒以酒渍服之至佳。依康伯法，先以醋、酒溲蒸曝燥，麻油和，再蒸曝之，凡三过，末椒、姜治和进食，大胜今时油豉也。患脚人，常将渍酒饮之，以滓敷脚，皆瘥。
颂曰︰古今方书用豉治病最多，江南人善作豉，凡得时气，即先用葱豉汤服之取汗，往往便瘥也。
时珍曰︰陶说康伯豉法，见《博物志》，云原出外国，中国谓之康伯，乃传此法之姓名耳。其豉调中下气最妙。黑豆性平，作豉则温。既经蒸 ，故能升能散。得葱则发汗，得盐则能吐，得酒则治风，得薤则治痢，得蒜则止血，炒熟则又能止汗，亦麻黄根节之义也。</x:t>
  </x:si>
  <x:si>
    <x:t xml:space="preserve">谷之四</x:t>
  </x:si>
  <x:si>
    <x:t xml:space="preserve">肺</x:t>
  </x:si>
  <x:si>
    <x:t xml:space="preserve">桔梗
【气味】味苦、辛，性平。
【毒性】小毒。
【归经】归肺经。
【主治】宣肺利咽，祛痰排脓。
【释名】白药（《别录》）、梗草（《别录》）、荠 （《本经》）。
时珍曰︰此草之根结实而梗直，故名。《吴普本草》一名利如，一名符扈，一名房图，方书并无见，盖亦瘦辞尔。桔梗、荠 乃一类，有甜、苦二种，故《本经》桔梗一名荠 ，而今俗呼荠 为甜桔梗也。至《别录》始出荠 条，分为二物，然其性味功用皆不同，当以《别录》为是。
【发明】
好古曰︰桔梗气微温，味苦辛，味浓气轻，阳中之阴，升也。入手太阴肺经气分及足少阴经。
元素曰︰桔梗清肺气，利咽喉，其色白，故为肺部引经。
与甘草同行，为舟楫之剂。如大黄苦泄峻下之药，欲引至胸中至高之分成功，须用辛甘之剂升之。譬如铁石入江，非舟楫不载。所以诸药有此一味，不能下沉也。
时珍曰︰朱肱《活人书》治胸中痞满不痛，用桔梗、枳壳，取其通肺利膈下气也。张仲景《伤寒论》治寒实结胸，用桔梗、贝母、巴豆，取其温中消谷破积也。又治肺痈唾脓，用桔梗、甘草，取其苦辛清肺，甘温泻火，又能排脓血、补内漏也。其治少阴证二、三日咽痛，亦用桔梗、甘草，取其苦辛散寒，甘平除热，合而用之，能调寒热也。后人易名甘桔汤，通治咽喉口舌诸病。宋仁宗加荆芥、防风、连翘，遂名如圣汤，极言其验也。按︰王好古《医垒元戎》载之颇详，云失音，加诃子；声不出，加半夏；上气，加陈皮；涎嗽，加知母、贝母；咳渴，加五味子；酒毒，加葛根；少气，加人参；呕，加半夏、生姜；唾脓血，加紫菀；肺痿，加阿胶；胸膈不利，加枳壳；心胸痞满，加枳实；目赤，加栀子、大黄；面肿，加茯苓；肤痛，加黄耆；发斑，加防风、荆芥；疫毒，加鼠粘子、大黄；不得眠，加栀子。震亨曰︰干咳嗽，乃痰火之邪郁在肺中，宜苦梗以开之；痢疾腹痛，乃肺金之气郁在大肠，亦宜苦梗开之，后用痢药。此药能开提气血，故气药中宜用之。</x:t>
  </x:si>
  <x:si>
    <x:t xml:space="preserve">芦根（芦）
【气味】味甘，性寒。
【毒性】无毒。
【归经】归肺、胃经。
【主治】清热泻火，生津止渴，除烦止呕，利尿。
【释名】苇（音伟《尔雅》）、葭（音加《尔雅》），花名蓬蕽（《唐本》）、笋名虇（音拳《尔雅》）。
时珍曰︰按毛苌《诗疏》云︰苇之初生曰葭；未秀曰芦；长成曰苇。苇者，伟大也。芦者，色卢黑也。葭者，嘉美也。
【发明】
时珍曰︰按《雷公炮炙论》序云︰益食加觞，须煎芦、朴。注云︰用逆水芦根并浓朴二味等分，煎汤服。盖芦根甘能益胃，寒能降火故也。</x:t>
  </x:si>
  <x:si>
    <x:t xml:space="preserve">甘|淡</x:t>
  </x:si>
  <x:si>
    <x:t xml:space="preserve">竹叶（竹）
【气味】味甘、淡，性寒。
【毒性】无毒。
【归经】归心、胃、小肠经。
【主治】清热泻火，除烦，生津利尿。
【释名】时珍曰︰竹字象形。许慎《说文》云︰“竹，冬生草也”。故字从倒草。戴凯之《竹谱》云︰植物之中，有名曰竹。不刚不柔，非草非木。小异实虚，大同节目。
【发明】
弘景曰︰甘竹叶最胜。
诜曰︰竹叶︰ 、苦、淡、甘之外，馀皆不堪入药，不宜人。淡竹为上，甘竹次之。
宗奭曰︰诸竹笋性皆微寒，故知其叶一致也。张仲景竹叶汤，惟用淡竹。
元素曰︰竹叶苦平，阴中微阳。
杲曰︰竹叶辛苦寒，可升可降，阳中阴也。其用有二︰除新久风邪之烦热，止喘促气胜</x:t>
  </x:si>
  <x:si>
    <x:t xml:space="preserve">木之五</x:t>
  </x:si>
  <x:si>
    <x:t xml:space="preserve">甘|苦</x:t>
  </x:si>
  <x:si>
    <x:t xml:space="preserve">桑叶（桑）
【气味】味甘、苦，性寒。
【毒性】无毒。
【归经】归肺、肝经。
【主治】疏散风热，清肺润燥，平抑肝阳，清肝明目，凉血止血。
【释名】子名椹（《集韵》）。
时珍曰︰徐锴《说文解字》云︰桑，音若，东方自然神木之名，其字象形。桑乃蚕所食，异于东方自然之神木，故加木于桑下而别之。
《典术》云︰桑乃箕星之精。
【发明】
颂曰︰桑叶可常服。神仙服食方︰以四月桑茂盛时采叶。又十月霜后三分，二分已落时，一分在者，名神仙叶，即采取，与前叶同阴干捣末，丸、散任服，或煎水代茶饮之。又霜后叶煮汤，淋渫手足，去风痹殊胜。又微炙和桑衣煎服，治痢及金疮诸损伤，止血。
震亨曰︰经霜桑叶研末，米饮服，止盗汗。
时珍曰︰桑叶乃手、足阳明之药，汁煎代茗，能止消渴。</x:t>
  </x:si>
  <x:si>
    <x:t xml:space="preserve">木之三</x:t>
  </x:si>
  <x:si>
    <x:t xml:space="preserve">沙参
【气味】味甘，性微寒。
【毒性】无毒。
【归经】归肺、胃经。
【主治】养阴清肺，益胃生津，化痰益气。
【释名】白参（《吴普》）、知母（《别录》）、羊乳（《别录》）、羊婆奶（《纲目》）、铃儿草（《别录》）、虎须（《别录》）、苦心（《别录》，又名文希，一名识美，一名志取。）
弘景曰︰此与人参、玄参、丹参、苦参是为五参，其形不尽相类，而主疗颇同，故皆有参名。又有紫参，乃牡蒙也。
时珍曰︰沙参白色，宜于沙地，故名。其根多白汁，俚人呼为羊婆奶。《别录》有名未用，羊乳即此也。此物无心味淡，而《别录》一名苦心，又与知母同名，不知所谓也。铃儿草，象花形也。
【发明】
元素曰︰肺寒者，用人参；肺热者，用沙参代之，取其味甘也。好古曰︰沙参味甘微苦，厥阴本经之药，又为脾经气分药。微苦补阴，甘则补阳，故洁古取沙参代人参。盖人参性温，补五脏之阳；沙参性寒，补五脏之阴。虽云补五脏，亦须各用本脏药相佐，使随所引而相辅之可也。
时珍曰︰人参甘苦温，其体重实，专补脾胃元气，因而益肺与肾，故内伤元气者宜之。沙参甘淡而寒，其体轻虚，专补肺气，因而益脾与肾，故金能受火克者宜之。一补阳而生阴，一补阴而制阳，不可不辨之也。</x:t>
  </x:si>
  <x:si>
    <x:t xml:space="preserve">心|肺</x:t>
  </x:si>
  <x:si>
    <x:t xml:space="preserve">贝母
【气味】味甘、苦，性微寒。
【毒性】无毒。
【归经】归肺、心经。
【主治】清热润肺，化痰止咳，散结消痈。
【释名】（《尔雅》，音萌）、勤母（《别录》）、苦菜（《别录》）、苦花（《别录》）、空草（《本经》）、药实（《别录》）。
弘景曰：形似聚贝子，故名贝母。
时珍曰：《诗》云言采其 ，即此。一作虻，谓根状如虻也。苦菜、药实，与野苦 、黄药子同名。
【发明】
承曰：贝母能散心胸郁结之气，故《诗》云言：采其 ，是也。作诗者，本以不得志而言。今用治心中气不快、多愁郁者，殊有功。信矣。
好古曰：贝母乃肺经气分药也。 仲景治寒实结胸、外无热证者，三物小陷胸汤主之，白散亦可，以其内有贝母也。
成无己云： 辛散而苦泄，桔梗、贝母之苦辛，用以下气。
机曰：俗以半夏有毒，用贝母代之。夫贝母乃太阴肺经之药，半夏乃太阴脾经、阳明胃经之药，何可以代？若虚劳咳嗽、吐血咯血、肺痿 肺痈、妇人乳痈、痈疽及诸郁之证，半夏乃禁忌，皆贝母为向导，犹可代也；至于脾胃湿热，涎化为痰，久则生火，痰火上攻，昏愦僵仆蹇涩诸证，生死旦夕，亦岂贝母可代乎？颂曰： 贝母治恶疮。
唐人记其事云：江左尝有商人，左膊上有疮如人面，亦无他苦。商人戏以酒滴 口中，其面赤色。以物食之，亦能食，多则膊内肉胀起。或不食，则一臂痹焉。有名医教其历试诸药，金石草木之类，悉无所苦，至贝母，其疮乃聚眉闭口。商人喜，因以小苇筒毁其口灌之，数日成痂遂愈，然不知何疾也。
《本经》言主金疮，此岂金疮之类欤？</x:t>
  </x:si>
  <x:si>
    <x:t xml:space="preserve">草之二</x:t>
  </x:si>
  <x:si>
    <x:t xml:space="preserve">栀子
【气味】味苦，性寒。
【毒性】无毒。
【归经】心、肺、三焦经。
【主治】清泄肺热，疏散肌表湿热，凉血解毒。
【释名】木丹（《本经》）、越桃（《别录》）、鲜支（《纲目》），花名薝蔔（《酉阳杂俎》）。
时珍曰︰卮，酒器也。栀子象之，故名。俗作栀。司马相如赋云︰鲜支黄砾。注云︰鲜支即支子也。佛书称其花为卜，谢灵运谓之林兰，曾端伯呼为禅友。或曰︰卜金色，非栀子也。
【发明】
元素曰︰栀子轻飘而象肺，色赤而象火，故能泻肺中之火。
其用有四︰心经客热一也，除烦躁二也，去上焦虚热三也，治风四也。
震亨曰︰栀子泻三焦之火，及痞块中火邪，最清胃脘之血。其性屈曲下行，能降火从小便中泄去。凡心痛稍久，不宜温散，反助火邪。故古方多用栀子以导热药，则邪易伏而病易退。
好古曰︰本草不言栀子能吐，仲景用为吐药。栀子本非吐药，为邪气在上，拒而不纳，食令上吐，则邪因以出，所谓“其高者因而越之”也。或用为利小便药，实非利小便，乃清肺也。肺清则化行，而膀胱津液之府，得此气化而出也。本草言治大小肠热，乃辛与庚合，又与丙合，又能泄戊，先入中州故也。仲景治烦躁用栀子豉汤，烦者气也，躁者血也。气主肺，血主肾。故用栀子以治肺烦，香杲曰︰仲景以栀子色赤味苦，入心而治烦；香豉色黑味咸，入肾而治躁。
宗奭曰︰仲景治伤寒发汗吐下后，虚烦不得眠；若剧者，必反复颠倒，心中懊 ，栀子豉汤治之。因其虚，故不用大黄，有寒毒故也。栀子虽寒而无毒，治胃中热气，既亡血亡津液，腑脏无润养，内生虚热，非此物不可去也。又治心经留热，小便赤涩，用去皮栀子（火煨）、大黄、连翘、炙甘草等分末之，水煎三钱服，无不利也。
发黄，皆用栀子、茵陈、甘草、香豉四物作汤饮。又治大病后劳复，皆用栀子、鼠矢等汤，利小便而愈。其方极多，不可悉载。</x:t>
  </x:si>
  <x:si>
    <x:t xml:space="preserve">甘|涩</x:t>
  </x:si>
  <x:si>
    <x:t xml:space="preserve">梨皮（梨）
【气味】味甘、微涩，性凉。
【毒性】无毒。
【归经】归肺、心、肾经。
【主治】清心润肺，降火生津，止咳化痰。
【释名】快果（《弘景》）、果宗（《纲目》）、玉乳（《纲目》）、蜜父（《清异录》）。
震亨曰︰梨者，利也。其性下行流利也。
弘景曰︰梨种殊多，并皆冷利，多食损人，故俗人谓之快果，不入药用。
【发明】
宗奭曰︰梨，多食动脾，少则不及病，用梨者当斟酌之。惟病酒烦渴人食之甚佳，终不能却疾。
慎微曰︰孙光宪《北梦琐言》云︰有一朝士见奉御梁新诊之，曰︰风疾已深，请速归去。复见 州马医赵鄂诊之，言与梁同，但请多吃消梨，咀 不及，绞汁而饮。到家旬日，唯吃消梨，顿爽也。
时珍曰︰《别录》著梨，只言其害，不著其功。陶隐居言梨不入药。盖古人论病多主风寒，用药皆是桂、附，故不知梨有治风热、润肺凉心、消痰降火、解毒之功也。今人痰病、火病，十居六、七。梨之有益，盖不为少，但不宜过食尔。按︰《类编》云︰一士人状若有疾，厌厌无聊，往谒杨吉老诊之。杨曰︰君热症已极，气血消铄，此去三年，当以疽死。士人不乐而去。闻茅山有道士医术通神，而不欲自鸣。乃衣仆衣，诣山拜之，愿执薪水之役。道士留置弟子中。久之以实白道士。道士诊之，笑曰︰汝便下山，但日日吃好梨一颗。如生梨已尽，则取干者泡汤，食滓饮汁，疾自当平。士人如其戒，经一岁复见吉老。见其颜貌腴泽，脉息和平，惊曰︰君必遇异人，不然岂有痊理？士人备告吉老。吉老具衣冠望茅山设拜，自咎其学之未至。此与琐言之说仿佛。观夫二条，则梨之功岂小补哉？然惟乳梨、鹅梨、消梨可食，余梨则亦不能去病也。</x:t>
  </x:si>
  <x:si>
    <x:t xml:space="preserve">果之二</x:t>
  </x:si>
  <x:si>
    <x:t xml:space="preserve">苏叶（苏）
【气味】味辛，性温。
【毒性】无毒。
【归经】归肺、脾经。
【主治】解表散寒，行气和胃。
【释名】紫苏（《食疗》）、赤苏（《肘后方》）、桂荏（《尔雅》）。
时珍曰︰苏从酥，音酥，舒畅也。苏性舒畅，行气和血，故谓之苏。曰紫苏者，以别白苏也。苏乃荏类，而味更辛如桂，故《尔 雅》谓之桂荏。
【发明】
颂曰︰若宣通风毒，则单用茎，去节尤良。
时珍曰︰紫苏，近世要药也。其味辛，入气分；其色紫，入血分。故同橘皮，砂仁，则行气安胎；同藿香、乌药，则温中止痛；同香附、麻黄，则发汗解肌；同芎 、当归则和血散血；同木瓜、浓朴，则散湿解暑，治霍乱、脚气；同桔梗、枳壳，则利膈宽肠；同杏仁、莱菔子，则消痰定喘也。 久则泄人真气焉。
宗奭曰︰紫苏其气香，其味微辛甘能散。今人朝暮饮紫苏汤，甚无益。医家谓芳草致豪贵之疾者，此有一焉。若脾胃寒人，多致滑泄，往往不觉。</x:t>
  </x:si>
  <x:si>
    <x:t xml:space="preserve">有毒</x:t>
  </x:si>
  <x:si>
    <x:t xml:space="preserve">半夏
【气味】味辛，性温。
【毒性】有毒。
【归经】归脾、胃、肺经。
【主治】燥湿化痰，降逆止呕，消痞散结。
【释名】守田（《别录》）、水玉（《本经》）、地文（《本经》）、和姑（《吴普》）。
时珍曰︰《礼记‧月令》︰五月半夏生。盖当夏之半也，故名。守田会意，水玉因形。
【发明】
权曰︰半夏使也。虚而有痰气，宜加用之。
颂曰︰胃冷呕哕，方药之最要。
成无己曰︰辛者散也，润也。半夏之辛，以散逆气结气，除烦呕，发音声，行水气，而润肾燥。
好古曰︰《经》云︰肾主五液，化为五湿。自入为唾，入肝为泣，入心为汗，入脾为痰，入肺为涕。有痰曰嗽，无痰曰咳。痰者，因咳而动脾之湿也。 半夏能泄痰之标，不能泄痰之本。泄本者，泄肾也。咳无形，痰有形；无形则润，有形 则燥，所以为流湿润燥也。俗以半夏为肺药，非也。止呕吐为足阳明，除痰为足太阴。柴胡为之使，故今柴胡汤中用之，虽为止呕，亦助柴胡、黄芩主往来寒热，是又为足少阳、阳明也。
宗奭曰︰今人惟知半夏去痰，不言益脾，盖能分水故也。脾恶湿，湿则濡困，困则不能治水。《经》云︰湿胜则泻。一男子夜数如厕，或教以生姜一两，半夏、大枣各三十枚，水一升，瓷瓶中慢火烧为熟水，时呷之，便已也。 赵继宗曰︰丹溪言︰二陈汤治一身之痰，世医执之，凡有痰者皆用。夫二陈内有半夏，其性燥烈，若风痰、寒痰、湿痰、食痰则相宜；至于劳痰、失血诸痰，用之反能燥血液而加 病，不可不知。 
机曰︰俗以半夏性燥有毒，多以贝母代之。贝母乃太阴肺经之药，半夏乃太阴脾经、阳 明胃经之药，何可代也？夫咳嗽吐痰，虚劳吐血，或痰中见血，诸郁，咽痛喉痹，肺痈肺痿，痈疽，妇人乳难，此皆贝母为向导，半夏乃禁用之药。若涎者脾之液，美味膏粱炙爆，皆能生脾胃湿热，故涎化为痰，久则痰火上攻，令人昏愦口噤，偏废僵仆，蹇涩不语，生死旦夕，自非半夏、南星，曷可治乎？若以贝母代之，则翘首待毙矣。
时珍曰︰脾无留湿不生痰，故脾为生痰之源，肺为贮痰之器。半夏能主痰饮及腹胀者，为其体滑而味辛性温也。涎滑能润，辛温能散亦能润，故行湿而通大便，利窍而泄小便。所谓辛走气，能化液，辛以润之是矣。洁古张氏云︰半夏、南星治其痰，而咳嗽自愈。丹溪朱氏云︰二陈汤能使大便润而小便长。聊摄成氏云︰半夏辛而散，行水气而润肾燥。又《和剂 局方》，用半硫丸治老人虚秘，皆取其滑润也。世俗皆以南星、半夏为性燥，误矣。湿去则土燥，痰涎不生，非二物之性燥也。古方治咽痛喉痹，吐血下血，多用二物，非禁剂也。二物亦能散血，故破伤打扑皆主之。惟阴虚劳损，则非湿热之邪，而用利窍行湿之药，是乃重 竭其津液，医之罪也，岂药之咎哉？《甲乙经》用治夜不眠，是果性燥者乎？岐伯云︰卫气行于阳，阳气满，不得入于阴，阴气虚，故目不得瞑。治法︰饮以半夏汤一剂，阴阳既通，其卧立至。方用流水千里者八升，扬之万遍，取清五升，煮之，炊以苇薪，大沸，入秫米一升，半夏五合，煮一升半，饮汁一杯，日三，以知为度。病新发者，覆杯则卧，汗出则已。久者，三饮而已。</x:t>
  </x:si>
  <x:si>
    <x:t xml:space="preserve">草之六</x:t>
  </x:si>
  <x:si>
    <x:t xml:space="preserve">前胡
【气味】味苦、辛，性微寒。
【毒性】无毒。
【归经】归肺经。
【主治】降气化痰，散风清热。
【释名】时珍曰：按：孙 《唐韵》作湔胡，名义未解。
【发明】
时珍曰：前胡味甘、辛，气微平，阳中之阴，降也。乃手足太阴、阳明之药，与柴胡纯阳上升入少阳、厥阴者不同也。其功长于下气，故能治痰热喘嗽、痞膈呕逆诸疾，气下则火降，痰亦降矣。所以有推陈致新之绩，为痰气要药。陶弘景言其与柴胡同功，非矣。治证虽同，而所入所主则异。</x:t>
  </x:si>
  <x:si>
    <x:t xml:space="preserve">陈皮（橘）
【气味】味苦、辛，性温。
【毒性】无毒。
【归经】归脾、肺经。
【主治】理气健脾，燥湿化痰。
【释名】红皮（《汤液》）、陈皮（《食疗》）。
弘景曰︰橘皮疗气大胜。以东橘为好，西江者不如。须陈久者为良。
好古曰︰橘皮以色红日久者为佳，故曰红皮、陈皮。去白者曰橘红也。
【发明】
杲曰︰橘皮，气薄味浓，阳中之阴也。可升可降，为脾、肺二经气分药。留白则补脾胃，去白则理肺气；同白术则补脾胃，同甘草则补肺，独用则泻肺损脾。其体轻浮，一能导胸中寒邪，二破滞气，三益脾胃。加青皮减半用之，去滞气，推陈致新。但多用久服，能损元气也。
原曰︰橘皮，能散、能泻、能温、能补、能和，化痰治嗽，顺气理中，调脾快膈，通五淋，疗酒病，其功当在诸药之上。
时珍曰︰橘皮，苦能泄、能燥，辛能散，温能和。其治百病，总是取其理气燥湿之功。
同补药则补，同泻药则泻，同升药则升，同降药则降。脾乃元气之母，肺乃摄气之 ，故橘皮为二经气分之药，但随所配而补泻升降也。洁古张氏云︰陈皮、枳壳利其气而痰自下，盖此义也。同杏仁治大肠气秘，同桃仁治大肠血秘，皆取其通滞也。详见杏仁下。按方勺《泊宅编》云︰橘皮宽膈降气，消痰饮，极有殊功。他药贵新，惟此贵陈。外舅莫强中令丰城时得疾，凡食已辄胸满不下，百方不效。偶家人合橘红汤，因取尝之，似相宜，连日饮之。一日忽觉胸中有物坠下，大惊目瞪，自汗如雨。须臾腹痛，下数块如铁弹子，臭不可闻。自此胸次廓然，其疾顿愈，盖脾之冷积也。其方︰用橘皮（去穰）一斤，甘草、盐花各四两。水五碗，慢火煮干，焙研为末，白汤点服。名二贤散，治一切痰气特验。世医徒知半夏、南星之属，何足以语此哉？珍按︰二贤散，丹溪变之为润下丸，用治痰气有效。惟气实人服之相宜，气不足者不宜用之也。</x:t>
  </x:si>
  <x:si>
    <x:t xml:space="preserve">心|脾|肺|肾</x:t>
  </x:si>
  <x:si>
    <x:t xml:space="preserve">茯苓
【气味】味甘、淡，性平。
【毒性】无毒。
【归经】归心、肺、脾、肾经。
【主治】利水渗湿，健脾宁心。
【释名】伏灵（《纲目》）、伏菟（《本经》）、松腴、不死面（《记事珠》），抱根者名伏神（《别录》）。
宗奭曰︰多年樵斫之松根之气味，抑郁未绝，精英未沦。其精气盛者，发泄于外，结为茯苓，故不抱根，离其本体，有零之义也。津气不盛，只能附结本根，既不离本，故曰伏神。
时珍曰︰茯苓，《史记•龟策传》作伏灵。盖松之神灵之气，伏结而成，故谓之伏灵、伏神也。《仙经》言︰伏灵大如拳者，佩之令百鬼消灭，则神灵之气，亦可征矣。俗作苓者，传写之讹尔。下有伏灵，上有菟丝，故又名伏莬。或云“其形如兔，故名”，亦通。
【发明】弘景曰︰茯苓白色者补，赤色者利。俗用甚多，仙方服食亦为至要。云其通神而致灵，和魂而炼魄，利窍而益肌，浓肠而开心，调营而理卫，上品仙药也。善能断谷不饥。
宗奭曰︰茯苓行水之功多，益心脾不可缺也。
元素曰︰茯苓赤泻白补，上古无此说。气味俱薄，性浮而升。其用有五︰利小便也；开腠理也，生津液也，除虚热也，止泻也。如小便利或数者，多服则损人目。汗多人服之，亦损元气，夭人寿，为其淡而渗也。又云︰淡为天之阳，阳当上行，何以利水而泻下？气薄者阳中之阴，所以茯苓利水泻下。不离阳之体，故入手太阳。
杲曰︰白者入壬癸，赤者入丙丁。味甘而淡，降也，阳中阴也。其用有六︰利窍而除湿，益气而和中，治惊悸，生津液，小便多者能止，小便结者能通。又云︰湿淫所胜，小便不利。淡以利窍，甘以助阳。甘平能益脾逐水，乃除湿之圣药也。
好古曰︰白者入手太阴、足太阳、少阳经气分，赤者入足太阴、手少阴、太阳气分。伐肾邪。小便多，能止之；小便涩，能利之。与车前子相似，虽利小便而不走气。酒浸与光明朱砂同用，能秘真元。味甘而平，如何是利小便耶？
震亨曰︰茯苓，得松之馀气而成，属金，仲景利小便多用之，此暴新病之要药也。若阴虚者，恐未为宜。此物有行水之功，久服损人。八味丸用之者，亦不过接引他药归就肾经，去胞中久陈积垢，为搬运之功尔。
时珍曰︰茯苓本草又言利小便，伐肾邪。至李东垣、王海藏乃言小便多者能止，涩者能通，同朱砂能秘真元。而朱丹溪又言阴虚者不宜用，义似相反，何哉？茯苓气味淡而渗，其性上行，生津液，开腠理，滋水之源而下降，利小便。故张洁古谓其属阳，浮而升，言其性也；东垣谓其为阳中之阴，降而下，言其功也。《素问》云︰饮食入胃，游溢精气，上输于肺，通调水道，下输膀胱。观此，则知淡渗之药，俱皆上行而后下降，非直下行也。小便多，其源亦异。《素问》云︰肺气盛则小便数而欠；虚则欠欬、小便遗数。心虚则少气遗溺。下焦虚则遗溺。胞移热于膀胱则遗溺。膀胱不利为癃，不约为遗溺。厥阴病则遗溺闭癃。所谓肺气盛者，实热也。其人必气壮脉强，宜用茯苓甘淡以渗其热，故曰︰小便多者能止也。若夫肺虚、心虚、胞热、厥阴病者，皆虚热也。其人必上热下寒，脉虚而弱。法当用升阳之药，以升水降火。膀胱不约、下焦虚者，乃火投于水，水泉不藏，脱阳之症。其人必肢冷脉迟。法当用温热之药，峻补其下，交济坎离。二症皆非茯苓辈淡渗之药所可治，故曰︰阴虚者不宜用也。仙家虽有服食之法，亦当因人而用焉。</x:t>
  </x:si>
  <x:si>
    <x:t xml:space="preserve">木之四</x:t>
  </x:si>
  <x:si>
    <x:t xml:space="preserve">苦|辛|酸</x:t>
  </x:si>
  <x:si>
    <x:t xml:space="preserve">枳壳（枳）
【气味】味苦、辛、酸，性微寒。
【毒性】无毒。
【归经】归脾、胃、大肠经。
【主治】行气消胀，宽中除痞，化痰消积。
【释名】子名枳实（《本经》）、枳壳（宋《开宝》）。
宗奭曰：枳实、枳壳，一物也。小则其性酷而速，大则其性详而缓。故张仲景治伤寒仓猝之病，承气汤中用枳实，皆取其疏通、决泄、破结实之义。他方但导败风壅之气，可常服者，故用枳壳，其义如此。
恭曰：既称枳实，须合核瓤，今殊不然。
时珍曰：枳乃木名，从只，谐声也。实乃其子，故曰枳实。后人因小者性速，又呼老者为枳壳。生则皮厚而实，熟则壳薄而虚，正如青橘皮、陈橘皮之义。宋人复出枳壳一条，非矣。寇氏以为破结实而名，亦未必然。
【发明】
元素曰︰枳壳破气，胜湿化痰，泄肺走大肠，多用损胸中至高之气，只可二、三服而已。禀受素壮而气刺痛者，看在何杲曰︰气血弱者不可服，以其损气也。
好古曰︰枳壳主高，枳实主下；高者主气，下者主血。故壳主胸膈皮毛之病，实主心腹脾胃之病，大同小异。朱肱《活人书》言︰治痞宜先用桔梗枳壳汤，非用此治心下痞也。果知能消分别。魏、晋以来，始分实、壳之用。
皆能利气。气下则痰喘止，气行则痞胀消，气通则痛刺止，气利则后重除。故以枳壳利胸膈，枳实利肠胃。然张仲景治胸痹痞满，以枳实为要药；诸方治下血痔痢、大肠秘塞、里急后重，又以枳壳为通用。则枳实不独治下，而壳不独治高也。盖自飞门至魄门，皆肺主之，三焦相通，一气而已。则二物分之可也，不分亦无伤。杜壬方载湖阳公方。用枳壳四两，甘草二两，为末。每服一钱，白汤点服。自五月后一日一服，至临月，不惟易产，仍无胎中恶病也。张洁古《活法机要》改以枳术丸日服，令胎瘦易生，谓之束胎丸。
而寇宗奭《衍义》言︰胎壮则子有力易生，令服枳壳药反致无力，兼胎易产者，大不然也。以理思之，寇氏之说似觉为优。或胎前气盛壅滞者宜用之，所谓八、九月胎必用枳壳、苏梗以顺气，胎前无滞，则产后无虚也。若气禀弱者，即大非所宜矣。
震享曰︰难产多见于郁闷安逸之人，富贵奉养之家。古方瘦胎饮，为湖阳公主作也。予妹苦于难产，其形肥而好坐，予思此与公主正相反也。彼奉养之人，其气必实，故耗其气使平则易产。今形肥则气虚，久坐则气不运，当补其母之气。以紫苏饮加补气药，与十数贴服之，遂快产。</x:t>
  </x:si>
  <x:si>
    <x:t xml:space="preserve">黄芪（黄耆）
【气味】味甘，性微温。
【毒性】无毒。
【归经】归脾、肺经。
【主治】补气升阳，固表止汗，利水消肿，生津养血，行滞通痹，托毒排脓，敛疮生肌。
【释名】黄耆（《纲目》）、戴糁（《本经》）、戴椹（《别录》，又名独椹）、芰草（《别录》，又名蜀脂）、百本（《别录》）、王孙（《药性论》）。
时珍曰︰耆，长也。黄耆色黄，为补药之长，故名。今俗通作黄芪。或作蓍者，非矣。蓍，乃蓍龟之蓍，音尸。王孙与牡蒙同名异物。
【发明】弘景曰︰出陇西者，温补；出白水者，冷补。又有赤色者，可作膏，用消痈肿。
藏器曰︰虚而客热，用白水黄耆；虚而客冷，用陇西黄耆。
大明曰︰黄耆，药中补益，呼为羊肉；白水耆，凉，无毒，排脓治血，及烦闷热毒骨蒸劳；赤水耆，凉，无毒，治血退热毒，馀功并同；木耆，凉，无毒，治烦排脓之力，微于黄，遇阙即倍用之。
元素曰︰黄耆甘温纯阳，其用有五︰补诸虚不足，一也；益元气，二也；壮脾胃，三也；去肌热，四也；排脓止痛，活血生血，内托阴疽，为疮家圣药，五也。又曰︰补五脏诸虚，治脉弦自汗，泻阴火，去虚热，无汗，则发之；有汗，则止之。
好古曰︰黄耆，治气虚盗汗，并自汗及肤痛，是皮表之药；治咯血，柔脾胃，是中州之药；治伤寒尺脉不至，补肾脏元气，是里药。乃上、中、下、内、外、三焦之药也。
杲曰︰《灵枢》云卫气者，所以温分肉而充皮肤，肥腠理而司开阖。黄耆既补三焦，实卫气，与桂同功；特比桂甘平，不辛热为异耳。但桂则通血脉，能破血而实卫气， 则益气也。又黄耆与人参、甘草三味，为除躁热肌热之圣药。脾胃一虚，肺气先绝，必用黄耆温分肉，益皮毛，实腠理，不令汗出，以益元气而补三焦。
震亨曰︰黄耆补元气，肥白而多汗者，为宜；若面黑形实而瘦者，服之，令人胸满，宜以三拗汤泻之。
宗奭曰︰防风、黄耆，世多相须而用。唐许胤宗初仕陈为新蔡王外兵参军时，柳太后病风不能言，脉沉而口噤。
胤宗曰︰既不能下药，宜汤气蒸之，药入腠理，周时可瘥。乃造黄耆防风汤数斛，置于床下，气如烟雾，其夕便得语也。
杲曰︰防风能制黄耆，黄耆得防风其功愈大，乃相畏而相使也。
震亨曰︰人之口通乎地，鼻通乎天。口以养阴，鼻以养阳。天主清，故鼻不受有形而受无形；地主浊，故口受有形而兼乎无形。柳太后之病不言，若以有形之汤，缓不及事；今投以二物，汤气满室，则口鼻俱受。非智者通神，不可回生也。
杲曰︰小儿外物惊，宜用黄连安神丸镇心药。若脾胃寒湿，呕吐腹痛，泻痢青白，宜用益黄散药。如脾胃伏火，劳役不足之证，及服巴豆之类，胃虚而成慢惊者，用益黄、理中之药，必伤人命。当于心经中，以甘温补土之源，更于脾土中，以甘寒泻火，以酸凉补金，使金旺火衰，风木自平矣。今立黄耆汤泻火补金益土，为神治之法。用炙黄耆二钱，人参一钱，炙甘草五分，白芍药五分，水一大盏，煎半盏，温服。
机曰︰萧山魏直著《博爱心鉴》三卷，言小儿痘疮，惟有顺、逆、险三证。顺者为吉，不用药。逆者为凶，不必用药。惟险乃悔吝之象，当以药转危为安，宜用保元东加减主之。
此方原出东垣，治慢惊土衰火旺之法。今借而治痘，以其内固营血，外护卫气，滋助阴阳，作为脓血，其证虽异，其理则同。去白芍药，加生姜，改名曰保元汤。炙黄耆三钱，人参二钱，炙甘草一钱，生姜一片，水煎服之。险证者，初出圆晕干红少润也，浆长光泽，顶陷不起也；既出虽起惨色不明也，浆行色灰不荣也，浆定光润不消也，浆老湿润不敛也，结痂而胃弱内虚也，痂落而口渴不食也，痂后生痈肿也，痈肿溃而敛迟也。凡有诸症，并宜此汤。或加芎 ，加官桂，加糯米以助之。详见本书。
嘉谟曰︰人参补中，黄耆实表。凡内伤脾胃，发热恶寒，吐泄怠卧，胀满痞塞，神短脉微者，当以人参为君，黄耆为臣；若表虚自汗亡阳，溃疡痘疹阴疮者，当以黄耆为君，人参为臣，不可执一也。</x:t>
  </x:si>
  <x:si>
    <x:t xml:space="preserve">苦|甘</x:t>
  </x:si>
  <x:si>
    <x:t xml:space="preserve">脾</x:t>
  </x:si>
  <x:si>
    <x:t xml:space="preserve">白术（术）
【气味】味苦、甘，性温。
【毒性】无毒。
【归经】归脾、胃经。
【主治】健脾益气，燥湿利水，止汗，安胎。
【释名】山蓟（《本经》）、杨桴（音孚）、桴蓟（《尔雅》）、马蓟（《纲目》）、山姜（《别录》）、山连（《别录》）、吃力伽（《日华》）。
时珍曰︰按《六书本义》，术字篆文，象其根干枝叶之形。《吴普本草》一名山芥，一名天蓟。因其叶似蓟，而味似姜、芥也。西域谓之吃力伽，故《外台秘要》有吃力伽散。扬州之域多种白术，其状如桴，故有杨桴及桴蓟之名，今人谓之吴术是也。桴乃鼓槌之名。古方二术通用。后人始有苍、白之分，详见下。
【发明】
好古曰︰本草无苍、白术之名。近世多用白术，治皮间风，止汗消痞，补胃和发，有汗则止，与黄耆同功。
元素曰︰白术除湿益燥，和中补气。其用有九︰温中，一也；去脾胃中湿，二也；除胃中热，三也；强脾胃，进饮食，四也；和胃生津液，五也；止肌热，六也；四肢困倦，嗜卧，目不能开，不思饮食，七也；止渴，八也；安胎，九也。凡中焦不受湿不能下利，必须白术以逐水益脾。非白术不能去湿，非枳实不能消痞，故枳术丸以之为君。
机曰︰脾恶湿，湿胜则气不得施化，津何由生？故曰︰膀胱者津液之府，气化则能出焉。用白术以除其湿，则气得周流而津液生矣。</x:t>
  </x:si>
  <x:si>
    <x:t xml:space="preserve">肝|脾|肾</x:t>
  </x:si>
  <x:si>
    <x:t xml:space="preserve">防风
【气味】味辛、甘，性微温。
【毒性】无毒。
【归经】归膀胱、肝、脾经。
【主治】祛风解表，胜湿止痛，止痉。
【释名】铜芸（《本经》）、茴芸（《吴普》）、茴草（《别录》）、屏风（《别录》）、 根（《别录》）、百枝（《别录》）、百蜚（《吴普》）。
时珍曰：防者，御也。其功疗风最要，故名。屏风者，防风隐语也。曰芸、曰茴、曰蕳者，其花如茴香，其气如芸蒿、蕳兰也。
【发明】元素曰：防风，治风通用。身半以上风邪用身，身半以下风邪，用梢，治风去湿之仙药也，风能胜湿故尔。能泻肺实，误服泻人上焦元气。杲曰：防风治一身尽痛，乃猝 伍卑贱之职，随所引而至，乃风药中润剂也。若补脾胃，非此引用不能行。凡脊痛项强，不可回顾，腰似折，项似拔者，乃手足太阳证，正当用防风。凡疮在胸膈以上，虽无手足太阳 证，亦当用之，为能散结，去上部风。病患身体拘倦者，风也，诸疮见此证，亦须用之。钱 仲阳泻黄散中倍用防风者，乃于土中泻木也。</x:t>
  </x:si>
  <x:si>
    <x:t xml:space="preserve">热</x:t>
  </x:si>
  <x:si>
    <x:t xml:space="preserve">心|肝|脾|肾</x:t>
  </x:si>
  <x:si>
    <x:t xml:space="preserve">大毒</x:t>
  </x:si>
  <x:si>
    <x:t xml:space="preserve">乌头（川乌，草乌）
【气味】味辛、苦，性热。
【毒性】大毒（草乌毒烈更甚）。
【归经】归心、肝、肾、脾经。
【主治】祛风除湿，温经止痛。
【释名】
[川乌]
时珍曰︰初种为乌头，象乌之头也。附乌头而生者为附子，如子附母也。乌头如芋魁，附子如芋子，盖一物也。别有草乌头、白附子，故俗呼此为黑附子，川乌头以别之。诸家不分乌头有川、草两种，皆混杂注解，今悉正之。
[草乌]
乌喙（《本经》，即两头尖）、草乌头（《纲目》）、土附子（《日华》）、奚毒（《本经》）、耿子（《吴普》）、毒公（《吴普》。又名帝秋)、金鸦（《纲目》）、苗名茛（音艮）、芨（音及）、堇（音近）、独白草（《拾遗》）、鸳鸯菊（《纲目》）、汁煎名射罔
普曰︰乌头，形如乌之头也。有两歧相合如乌之喙者，名曰乌喙。喙即乌之口也。
恭曰︰乌喙，即乌头异名也。此有三歧者，然两歧者少。若乌头两歧名乌喙，则天雄、附子之两歧者，复何以名之？
时珍曰︰此即乌头之野生于他处者，俗谓之草乌头，亦曰竹节乌头，出江北者曰淮乌头，《日华子》所谓土附子者是也。乌喙，即偶生两歧者，今俗呼为两头尖，因形而名，其实乃一物也。附子、天雄之偶生两歧者，亦谓之乌喙，功亦同于天雄，非此乌头也。苏恭不知此义，故反疑之。草乌头取汁，晒为毒药，射禽兽，故有射罔之称。《后魏书》言︰辽东塞外秋收乌头为毒药射禽兽，陈藏器所引《续汉五行志》，言西国生独白草，煎为药，敷箭射人即死者，皆此乌头，非川乌头也。《菊谱》云︰鸳鸯菊，即乌喙苗也。
【发明】
[川乌]
宗奭曰︰补虚寒须用附子，风家即多用天雄，大略如此。其乌头、乌喙、附子，则量其材而用之。时珍曰︰按王氏《究原方》云︰附子性重滞，温脾逐寒。川乌头性轻疏，温脾去风。若是寒疾即用附子；风疾即用川乌头。一云︰凡人中风，不可先用风药及乌附。 若先用气药，后用乌附乃宜也。又凡用乌、附药，并宜冷服者，热因寒用也。盖阴寒在下，虚阳上浮。治之以寒，则阴气益甚而病增；治之以热，则拒格而不纳。热药冷冻饮料，下嗌之后，冷体既消，热性便发，而病气随愈。不违其情，而致大益，此反治之妙也。昔张仲景治寒疝 内结，用蜜煎乌头。《近效方》治喉痹，用蜜炙附子，含之咽汁。朱丹溪治疝气，用乌头、栀子。并热因寒用也。李东垣治冯翰林侄阴盛格阳伤寒，面赤目赤，烦渴引饮，脉来七、八至，但按之则散。用姜附东加人参，投半斤服之，得汗而愈。此则神圣之妙也。 吴绶曰︰附子乃阴证要药。凡伤寒传变三阴，及中寒夹阴，虽身大热而脉沉者，必用之。或厥冷腹痛，脉沉细，甚则唇青囊缩者，急须用之，有退阴回阳之力，起死回生之功。近 世阴证伤寒，往往疑似，不敢用附子，直待阴极阳竭而用之，已迟矣。且夹阴伤寒，内外皆阴，阳气顿衰。必须急用人参，健脉以益其原；佐以附子，温经散寒。舍此不用，将何以救 之？
刘完素曰︰俗方治麻痹多用乌附，其气暴能冲开道路，故气愈麻；及药气尽而正气行，则麻病愈矣。
张元素曰︰附子以白术为佐，乃除寒湿之圣药。湿药宜少加之引经。又益火之原，以消阴翳，则便溺有节，乌、附是也。 虞抟曰︰附子禀雄壮之质，有斩关夺将之气。能引补气药行十二经，以追复散失之元阳；引 补血药入血分，以滋养不足之真阴；引发散药开腠理，以驱逐在表之风寒；引温暖药达下焦，以祛除在里之冷湿。
震亨曰︰气虚热甚者，宜少用附子，以行参 。肥人多湿，亦宜少加乌、附行经。仲景八味丸，用为少阴响导，其补自是地黄，后世因以附子为补药，误矣。附子走而不守，取其健悍 走下之性，以行地黄之滞，可致远尔。乌头、天雄皆气壮形伟，可为下部药之佐；无人表其害人之祸，相习用为治风之药及补药，杀人多矣。 王履曰︰仲景八味丸，盖兼阴火不足者设。钱仲阳六味地黄丸，为阴虚者设。附子乃补阳之药，非为行滞也。
好古曰︰乌、附，非身凉而四肢厥者，不可僭用。服附子以补火，必妨涸水。
时珍曰︰乌、附毒药，非危病不用，而补药中少加引导，其功甚捷。有人才服钱匕，即发燥不堪，而昔人补剂用为常药，岂古今运气不同耶？荆府都昌王，体瘦而冷，无他病。日以附子煎汤饮，兼嚼硫黄，如此数岁。蕲州卫张百户，平生服鹿茸、附子药，至八十馀，康 健倍常。宋张杲《医说》载︰赵知府耽酒色，每日煎干姜熟附汤，吞硫黄金液丹百粒，乃能健啖，否则倦弱不支，寿至九十。他人服一粒即为害。若此数人，皆其脏腑禀赋之偏，服之有益无害，不可以常理概论也。又《琐碎录》言︰滑台风土极寒，民啖附子如啖芋栗。此则地气使然尔。
[草乌]
时珍曰︰草乌头、射罔，乃至毒之药。非若川乌头、附子，人所栽种，加以酿 制，杀其毒性之比。自非风顽急疾，不可轻投。甄权《药性论》言其益阳事，治男子肾气衰弱者，未可遽然也。此类止能搜风胜湿，开顽痰，治顽疮，以毒攻毒而已，岂有川乌头、附子补右肾命门之功哉？吾蕲郝知府自负知医，因病风癣，服草乌头、木鳖子药过多，甫入腹而麻痹，遂至不救，可不慎乎？ 机曰︰乌喙形如乌嘴，其气锋锐。宜其通经络，利关节，寻蹊达径，而直抵病所。煎为射罔，能杀禽兽。非气之锋锐捷利，能如是乎？ 杨清叟曰︰凡风寒湿痹，骨内冷痛，及损伤入骨，年久发痛，或一切阴疽肿毒。并宜草乌头、南星等分，少加肉桂为末，姜汁热酒调涂。未破者能内消，久溃者能去黑烂。二药性味辛烈，能破恶块，逐寒热，遇冷即消，遇热即溃。</x:t>
  </x:si>
  <x:si>
    <x:t xml:space="preserve">蜂蜜
【气味】味甘，性平。
【毒性】无毒。
【归经】归肺、脾、大肠经。
【主治】补中润燥，止痛解毒，外用生肌敛疮。
【释名】蜂糖（俗名）生岩石者名石蜜（《本经》）、石饴（同上）、岩蜜（《拾遗》）。
时珍曰︰蜜以密成，故谓之蜜。《本经》原作石蜜，盖以生岩石者为良耳，而诸家反致疑辩。今直题曰蜂蜜，正名也。
【发明】弘景曰︰石蜜道家丸饵，莫不须之。仙方亦单炼服食，云致长生不老也。
时珍曰︰蜂采无毒之花，酿以小便而成蜜，所谓臭腐生神奇也。其入药之功有五︰清热也，补中也，解毒也，润燥也，止痛也。生则性凉，故能清热；熟则性温，故能补中。甘而和平，故能解毒；柔而濡泽，故能润燥。缓可以去急，故能止心腹、肌肉、疮疡之痛；和可以致中，故能调和百药，而与甘草同功。张仲景治阳明结燥，大便不通，蜜煎导法，诚千古神方也。
诜曰︰但凡觉有热，四肢不和，即服蜜浆一碗，甚良。又点目中热膜，以家养白蜜为上，木蜜次之，崖蜜更次之也。与姜汁熬炼，治癞甚效。</x:t>
  </x:si>
  <x:si>
    <x:t xml:space="preserve">虫之一</x:t>
  </x:si>
  <x:si>
    <x:t xml:space="preserve">甘|辛</x:t>
  </x:si>
  <x:si>
    <x:t xml:space="preserve">石膏
【气味】味甘、辛，性大寒。
【毒性】无毒。
【归经】归肺、胃经。
【主治】清热泻火，除烦止渴。
【释名】细理石（《别录》）、寒水石（《纲目》）。
震享曰︰火煅细研醋调，封丹灶，其固密甚于脂膏。此盖兼质与能而得名，正与石脂同意。
时珍曰︰其纹理细密，故名细理石。其性大寒如水，故名寒水石，与凝水石同名异物。
【发明】
成无己曰︰风，阳邪也；寒，阴邪也。风喜伤阳，寒喜伤阴。营卫阴阳，为风寒所伤，则非轻剂所能独散，必须轻重之剂同散之，乃得阴阳之邪俱去，营卫之气俱和。是以大青龙汤，以石膏为使。石膏乃重剂，而又专达肌表也。又云︰热淫所胜，佐以苦甘。知母、石膏之苦甘以散热。
元素曰︰石膏性寒，味辛而淡，气味俱薄，体重而沉，降也，阴也，乃阳明经大寒之药。善治本经头痛牙痛，止消渴中暑潮热。然能寒胃，令人不食，非腹有极热者，不宜轻用。又阳明经中热，发热恶寒燥热，日晡潮热，肌肉壮热，小便浊赤，大渴引饮，自汗，苦头痛之药，仲景用白虎汤是也。若无以上诸证，勿服之。多有血虚发热象白虎证，及脾胃虚劳，形体病证，初得之时，与此证同。医者不识而误用之，不可胜救也。
杲曰︰石膏，足阳明药也。故仲景治伤寒阳明证，身热、目痛、鼻干、不得卧。身以前，胃之经也；胸前，肺之室也；邪在阳明，肺受火制，故用辛寒以清肺气，所以有白虎之名。又治三焦皮肤大热，入手少阳也。凡病脉数不退者，宜用之；胃弱者，不可用。
宗奭曰︰孙兆言︰四月以后天气热时，宜用白虎。但四方气候不齐，岁中运气不一，亦宜两审。其说甚雅。
时珍曰︰东垣李氏云︰立夏前多服白虎汤者，令人小便不禁，此乃降令太过也。阳明津液不能上输于肺，肺之清气亦复下降故尔。甄立言《古今录验方》︰治诸蒸病有五蒸汤，亦是白虎加人参、茯苓、地黄、葛根，因病加减。王焘《外台秘要》︰治骨蒸劳热久嗽，用石膏（纹如束针者）一斤，粉甘草一两。细研如面，日以水调三、四服。言其无毒有大益，乃养命上药，不可忽其贱而疑其寒。《名医录》言︰睦州杨士丞女，病骨蒸内热外寒，众医不瘥，处州吴医用此方而体遂凉。愚谓此皆少壮肺胃火盛，能食而病者言也。若衰暮及气虚、血虚、胃弱者，恐非所宜。
广济林训导年五十，病痰嗽发热。或令单服石膏药至一斤许，遂不能食，而咳益频，病益甚，遂至不起。此盖用药者之瞀瞀也，石膏何与焉。杨士瀛云︰石膏 过，最能收疮晕，不至烂肌。按︰刘 《钱乙传》云︰宗室子病呕泄，医用温药加喘。乙曰︰病本中热，奈何以刚剂燥之，将不得前后溲，宜与石膏汤。宗室与医皆不信。后二日果来召。乙曰︰仍石膏汤证也。竟如言而愈。又按︰古方所用寒水石，是凝水石；唐宋以来诸方所用寒水石，即今之石膏也。故寒水石诸方多附于后。近人又以长石、方解石为寒水石，不可不辨之。</x:t>
  </x:si>
  <x:si>
    <x:t xml:space="preserve">金石之三</x:t>
  </x:si>
  <x:si>
    <x:t xml:space="preserve">脾|肺|肾</x:t>
  </x:si>
  <x:si>
    <x:t xml:space="preserve">知母
【气味】味苦、甘，性寒。
【毒性】无毒。
【归经】归肺、胃、肾经。
【主治】清热泻火，滋阴润燥。
【释名】母（《本经》音迟。《说文》作 ）、连母（《本经》）、 母（ 音匙，又音提，或作 ）、货母（《本经》）、地参（《本经》）、水参（又名水须、水浚）、 （《尔雅》，音覃）、 藩（音沉烦）、苦心（《别录》）、儿草（《别录》，又名儿踵草、女雷、女理、鹿列、韭逢、东根、野蓼、昌支）
时珍曰︰宿根之旁，初生子根，状如 虻之状，故谓之 母，讹为知母、 母也。馀多未详。
【发明】
权曰︰知母治诸热劳，患人虚而口干者，加用之。
杲曰︰知母入足阳明、手太阴。其用有四︰泻无根之肾火，疗有汗之骨蒸，止虚劳之热，滋化源之阴。仲景用此入白虎汤治不得眠者，烦躁也。烦出于肺，躁出于肾。君以石膏，佐以知母之苦寒，以清肾之源；缓以甘草、粳米，使不速下也。又凡病小便 塞而渴者，热在上焦气分，肺中伏热不能生水，膀胱绝其化源，宜用气薄、味薄、淡渗之药，以泻肺火、清肺金而滋水之化源。若热在下焦血分而不渴者，乃真水不足，膀胱干涸，乃无阴则阳无以化，法当用黄柏、知母大苦寒之药，以补肾与膀胱，使阴气行而阳自化，小便自通。方法详载木部黄柏下。
时珍曰︰肾苦燥，宜食辛以润之。肺苦逆，宜食苦以泻之。知母之辛苦寒凉，下则润肾燥而滋阴，上则清肺金而泻火，乃二经气分药也。黄柏则是肾经血分药。故二药必相须而行，昔人譬之虾与水母，必相依附。补阴之说，详黄柏条。</x:t>
  </x:si>
  <x:si>
    <x:t xml:space="preserve">粳米（粳）
【气味】味甘，性平。
【毒性】无毒。
【归经】归脾、胃、肺经。
【主治】补中益气，健脾和胃，除烦渴，止泻痢。
【释名】秔（《说文》与粳同）。
时珍曰︰粳乃谷稻之总名也，有早、中、晚三收。诸本草独以晚稻为粳者，非矣。粘者为糯，不粘者为粳。糯者懦也，粳者硬也。但入解热药，以晚粳为良尔。
【发明】
诜曰︰粳米赤者粒大而香，水渍之有味益人。大抵新熟者动气，经再年者亦发病。惟江南人多收火稻贮仓，烧去毛，至春舂米食之，即不发病宜人，温中益气，补下元也。
宗奭曰︰粳以白晚米为第一，早熟米不及也。平和五脏，补益胃气，其功莫逮。然稍生则复不益脾，过熟乃佳。
颖曰︰粳有早、中、晚三收，以晚白米为第一。各处所产，种类甚多，气味不能无少异，而亦不大相远也。天生五谷，所以养人，得之则生，不得则死。惟此谷得天地中和之气，同造化生育之功，故非他物可比。入药之功在所略尔。
好古曰︰《本草》言粳米益脾胃，而张仲景白虎汤用之入肺。以味甘为阳明之经，色白为西方之象，而气寒入手太阴也。少阴证桃花汤，用之以补正气。竹叶石膏汤，用之以益不足。
时珍曰︰粳稻六、七月收者为早粳（止可充食），八、九月收者为迟粳，十月收者为晚粳。北方气寒，粳性多凉，八、九月收者即可入药。南方气热，粳性多温，惟十月晚稻气凉乃可入药。迟粳、晚粳得金气多，故色白者入肺而解热也。早粳得土气多，故赤者益脾而白者益胃。若滇、岭之粳则性热，惟彼土宜之耳。</x:t>
  </x:si>
  <x:si>
    <x:t xml:space="preserve">谷之一</x:t>
  </x:si>
  <x:si>
    <x:t xml:space="preserve">薏苡仁
【气味】味甘、淡，性凉。
【毒性】无毒。
【归经】归脾、胃、肺经。
【主治】利水渗湿，健脾止泻，除痹排脓，解毒散结。
【释名】解蠡（音礼。《本经》）、芑实（音起。《别录》）、赣米（《别录》。音感。陶氏作珠，雷氏作 米）、回回米（《救荒本草》）、薏珠子（《图经》）。
时珍曰︰薏苡名义未详。其叶似蠡实叶而解散，又似芑黍之苗，故有解蠡、芑实之名。 赣米乃其坚硬者，有赣强之意。苗名屋 。《救荒本草》云︰回回米又呼西番蜀秫。俗名草珠儿。
【发明】
宗奭曰︰薏苡仁《本经》云︰微寒，主筋急拘挛。拘挛有两等︰《素问》注中，大筋受热，则缩而短，故挛急不伸，此是因热而拘挛也，故可用薏苡；若《素问》言因寒则筋急者，不可更用此也。 盖受寒使人筋急；寒热使人筋挛；若但受热不曾受寒，亦使人筋缓；受湿则又引长无力 也。此药力势和缓，凡用须加倍即见效。
震亨曰︰寒则筋急，热则筋缩。急因于坚强，缩因于短促。若受湿则弛，弛则引长。然寒与湿未尝不挟热。三者皆因于湿，然外湿非内湿启之不能成病。故湿之为病，因酒而鱼肉继之。甘滑、陈久、烧炙并辛香，皆致湿之因也。
时珍曰︰薏苡仁属土，阳明药也，故能健脾益胃。虚则补其母，故肺痿、肺痈用之。筋骨之病，以治阳明为本，故拘挛筋急风痹者用之。土能胜水除湿，故泄痢水肿用之。按︰古方小续命汤注云︰中风筋急拘挛，语迟脉弦者，加薏苡仁。亦扶脾抑肝之义。又《后汉书》云︰马援在交趾常饵薏苡实，云能轻身省欲以胜瘴气也。又张师正《倦游录》云︰辛稼轩忽患疝疾，重坠大如杯。一道人教以薏珠用东壁黄土炒过，水煮为膏服，数服即消。程沙随病此，稼轩授之亦效。《本草》薏苡乃上品养心药，故此有功。
颂曰︰薏苡仁，心肺之药多用之。故范汪治肺痈，张仲景治风湿、胸痹，并有方法。《济生方》治肺损咯血，以熟猪肺切，蘸薏苡仁末，空心食之。薏苡补肺，猪肺引经也。赵君猷言屡用有效。</x:t>
  </x:si>
  <x:si>
    <x:t xml:space="preserve">谷之二</x:t>
  </x:si>
  <x:si>
    <x:t xml:space="preserve">肾</x:t>
  </x:si>
  <x:si>
    <x:t xml:space="preserve">羌活（独活羌活）
【气味】味辛、苦，性温。
【毒性】无毒。
【归经】归膀胱、肾经。
【主治】解表散寒，祛风除湿，止痛。
【释名】羌活（《本经》）、羌青（《本经》）、独摇草（《别录》）、护羌使者（《本经》）、胡王使者（《吴普》）、长生草（《纲目》）。
弘景曰：一茎直上，不为风摇，故曰独活。《别录》曰：此草得风不摇，无风自动，故名独摇草。大明曰：独活，是羌活母也。
时珍曰：独活、羌活乃一类二种，独活以羌中来者为良，故有羌活、胡王使者诸名，乃一物二种也。正如川芎、抚芎，白术、苍术之义，入用
【发明】
恭曰：疗风，宜用独活；兼水，宜用羌活。
刘完素曰：独活不摇风而治风，浮萍不沉水而利水，因其所胜而为制也。张元素曰：风能胜湿，故羌活能治水湿。独活与细辛同用，治少阴头痛，头运目眩，非此不能除；羌活与川芎同用，治太阳、少阴头痛，透关利节，治督脉为病，脊强而厥。好古曰：羌活乃足太阳、厥阴、少阴药，与独活不分二种。后人因羌活气雄，独活气细。故雄者，治足太阳风湿相搏，头痛、肢节痛、一身尽痛者，非此不能除，乃却乱反正之主君药也。细者，治足少阴伏风，头痛、两足湿痹、不能动止者，非此不能治，而不治太阳之证。时珍曰：羌活、独活皆能逐 风胜湿，透关利节，但气有刚、劣不同尔。《素问》云：从下上者，引而去之。二味苦辛而温，味之薄者，阴中之阳，故能引气上升，通达周身，而散风胜湿。按文系曰：唐刘师贞之兄病风，梦神人曰：但取胡王使者浸酒服，便愈。师贞访问，皆不晓。复梦其母曰：胡王使 者，即羌活也。求而用之，兄疾遂愈。嘉谟曰：羌活，本手足太阳表里引经之药，又入足少阴、厥阴。名列君部之中，非比柔懦之主。小无不入，大无不通。故能散肌表八风之邪，利周身百节之痛。</x:t>
  </x:si>
  <x:si>
    <x:t xml:space="preserve">独活（独活羌活）
【气味】味辛、苦，性温。
【毒性】无毒。
【归经】归膀胱、肾经。
【主治】解表散寒，祛风除湿，止痛。
【释名】羌活（《本经》）、羌青（《本经》）、独摇草（《别录》）、护羌使者（《本经》）、胡王使者（《吴普》）、长生草（《纲目》）。
弘景曰：一茎直上，不为风摇，故曰独活。《别录》曰：此草得风不摇，无风自动，故名独摇草。大明曰：独活，是羌活母也。
时珍曰：独活、羌活乃一类二种，独活以羌中来者为良，故有羌活、胡王使者诸名，乃一物二种也。正如川芎、抚芎，白术、苍术之义，入用
【发明】
恭曰：疗风，宜用独活；兼水，宜用羌活。
刘完素曰：独活不摇风而治风，浮萍不沉水而利水，因其所胜而为制也。张元素曰：风能胜湿，故羌活能治水湿。独活与细辛同用，治少阴头痛，头运目眩，非此不能除；羌活与川芎同用，治太阳、少阴头痛，透关利节，治督脉为病，脊强而厥。好古曰：羌活乃足太阳、厥阴、少阴药，与独活不分二种。后人因羌活气雄，独活气细。故雄者，治足太阳风湿相搏，头痛、肢节痛、一身尽痛者，非此不能除，乃却乱反正之主君药也。细者，治足少阴伏风，头痛、两足湿痹、不能动止者，非此不能治，而不治太阳之证。时珍曰：羌活、独活皆能逐 风胜湿，透关利节，但气有刚、劣不同尔。《素问》云：从下上者，引而去之。二味苦辛而温，味之薄者，阴中之阳，故能引气上升，通达周身，而散风胜湿。按文系曰：唐刘师贞之兄病风，梦神人曰：但取胡王使者浸酒服，便愈。师贞访问，皆不晓。复梦其母曰：胡王使 者，即羌活也。求而用之，兄疾遂愈。嘉谟曰：羌活，本手足太阳表里引经之药，又入足少阴、厥阴。名列君部之中，非比柔懦之主。小无不入，大无不通。故能散肌表八风之邪，利周身百节之痛。</x:t>
  </x:si>
  <x:si>
    <x:t xml:space="preserve">心|肝|脾</x:t>
  </x:si>
  <x:si>
    <x:t xml:space="preserve">当归
【气味】味甘、辛，性温。
【毒性】无毒。
【归经】归肝、心、脾经。
【主治】补血活血，调经止痛，润肠通便。
【释名】乾归（《本经》）、山蕲（《尔雅》）、白蕲（《尔雅》）、文无（《纲目》）。
颂曰︰按而粗大。许慎《说文》云︰生山中者，名薜，一名山蕲。然则当归，芹类也。在平地者名芹，生山中粗大者，名当归也。
宗奭曰︰今川蜀皆以畦种，尤肥好多脂，不以平地、山中为等差也。
时珍曰︰当归本非芹类，特以花叶似芹，故得芹名。古人娶妻为嗣续也，当归调血为女人要药，有思夫之意，故有当归之名，正与唐诗胡麻好种无人种，正是归时又不归之旨相同。崔豹《古今注》云，古人相赠以芍药，相招以文无。文无一名当归，芍药一名将离，故也。
承曰︰当归治妊妇产后恶血上冲，仓猝取效。气血昏乱者，服之即定。能使气血各有所归，恐当归之名必因此出也。
【发明】
权曰︰患人虚冷者，加而用之。
承曰︰世俗多谓惟能治血，而《金匮》、《外台》、《千金》诸方皆为大补不足、决取立效之药。古方用治妇人产后恶血上冲，取效无急于此。凡气血昏乱者，服之即定。可以补虚，备产后要药也。
宗奭曰︰《药性论》补女子诸不足一说，尽当归之用矣。成无己曰︰脉者血之府，诸血皆属心。凡通脉者，必先补心益血。故张仲景治手足厥寒、脉细欲绝者，用当归之苦温以助心血。
元素曰︰其用有三︰一，心经本药；二，和血；三，治诸病夜甚。凡血受病，必须用之。血壅而不流则痛，当归之甘温能和血，辛温能散内寒，苦温能助心散寒，使气血各有所归。
好古曰︰入手少阴，以其心生血也。入足太阴，以其脾裹血也。入足厥阴，以其肝藏血也。头，能破血；身，能养血，尾能行血。全用，同人参、黄耆，则补气而生血；同牵牛、大治头痛，诸痛皆属木，故以血药主之。
机曰︰治头痛，酒煮服清，取其浮而上也。治心痛，酒调末服，取其浊而半沉半浮也。治小便出血，用酒煎服，取其沉入下极也。自有高低之分如此。王海藏言当归血药，如何治胸中咳逆上气？按当归其味辛散，乃血中气药也。况咳逆上气，有阴虚阳无所附者，故用血药补阴，则血和而气降矣。
韩𢘅曰︰当归主血分之病。川产力刚可攻，秦产力柔宜补。凡用，本病宜酒制，有痰以姜制，导血归源之理。血虚以人参、石脂为佐，血热以生地黄、条芩为佐，不绝生化之源。血积配以大黄。要之，血药不容舍当归。故古方四物汤以为君，芍药为臣，地黄为佐，芎为使也。</x:t>
  </x:si>
  <x:si>
    <x:t xml:space="preserve">肝</x:t>
  </x:si>
  <x:si>
    <x:t xml:space="preserve">川芎（芎䓖）
【气味】味辛，性温。
【毒性】无毒。
【归经】归肝、胆、心包经。
【主治】活血行气，祛风止痛。
【释名】胡䓖（《别录》）、川芎（《纲目》）、香果（《别录》）、山鞠穷（《纲目》）。
时珍曰︰芎本作营，名义未详。或云︰人头穹窿穷高，天之象也。此药上行，专治头脑 诸疾，故有芎 之名。以胡戎者为佳，故曰胡芎。古人因其根节状如马衔，谓之马衔芎 。 后世因其状如雀脑，谓之雀脑芎。其出关中者，呼为京芎，亦曰西芎；出蜀中者，为川芎；出天台者，为台芎；出江南者，为抚芎，皆因地而名也。《左传》︰楚人谓萧人曰︰有麦曲乎？ 有山鞠穷乎？河鱼腹疾柰何？二物皆御湿，故以谕之。丹溪朱氏治六郁越鞠丸中用越桃、鞠 穷，故以命名。《金光明经》谓之 莫迦。
【发明】
宗奭曰︰今人用此最多，头面风不可缺也，然须以他药佐之。
元素曰︰川芎上行头目，下行血海，故清神及四物汤皆用之。能散肝经之风，治少阳厥 阴经头痛，及血虚头痛之圣药也。其用有四︰为少阳引经，一也；诸经头痛，二也；助清阳 之气，三也；去湿气在头，四也。
杲曰︰头痛必用川芎。如不愈，加各引经药︰太阳羌活，阳明白芷，少阳柴胡，太阴苍术，厥阴吴茱萸，少阴细辛，是也。
震亨曰︰郁在中焦，须抚芎开提其气以升之，气升则郁自降。故抚芎总解诸郁，直达三焦，为通阴阳气血之使。
时珍曰︰芎 ，血中气药也。肝苦急，以辛补之，故血虚者宜之。辛以散之，故气郁者宜之。《左传》言︰麦曲鞠穷御湿，治河鱼腹疾。予治湿泻每加二味，其应如响也。血痢已 通而痛不止者，乃阴亏气郁，药中加芎为佐，气行血调，其病立止。此皆医学妙旨，圆机之士，始可语之。
宗奭曰︰沈括《笔谈》云︰一族子旧服芎 ，医郑叔熊见之云︰芎 不可久服，多令人暴死。后族子果无疾而卒。又朝士张子通之妻，病脑风，服芎 甚久，一旦暴亡。皆目见者。 此皆单服既久，则走散真气。若使他药佐使，又不久服，中病便已，则焉能至此哉？ 虞搏曰︰骨蒸多汗，及气弱之人，不可久服。其性辛散，令真气走泄，而阴愈虚也。
时珍曰︰五味入胃，各归其本脏。久服则增气偏胜，必有偏绝，故有暴夭之患。若药具 五味，备四气，君臣佐使配合得宜，岂有此害哉？如芎 ，肝经药也。若单服既久，则辛喜 归肺，肺气偏胜，金来贼木，肝必受邪，久则偏绝，岂不夭亡？故医者贵在格物也。</x:t>
  </x:si>
  <x:si>
    <x:t xml:space="preserve">秦艽
【气味】味辛、苦，性平。
【毒性】无毒。
【归经】归胃、肝、胆经。
【主治】祛风湿，清湿热，止痹痛，退虚热。
【释名】秦糺（《唐本》）、秦爪（萧炳）。
恭曰：秦艽，俗作秦胶，本名秦糺，与纠同。
时珍曰：秦艽出秦中，以根作罗纹交纠者佳，故名秦艽、秦糺。
【发明】
时珍曰：秦艽，手足阳明经药也，兼入肝胆，故手足不遂、黄胆烦渴之病须之，取其去阳明之湿热也。阳明有湿，则身体酸疼烦热；有热，则日晡潮热骨蒸。所以《圣惠方》治急劳烦热，身体酸疼。用秦艽、柴胡各一两，甘草五钱。为末，每服三钱，白汤调下。治小儿骨蒸潮热，减食瘦弱。用秦艽、炙甘草各一两。每用一、二钱，水煎服之。钱乙加 薄荷叶五钱。</x:t>
  </x:si>
  <x:si>
    <x:t xml:space="preserve">葛根（葛）
【气味】味甘、辛，性凉。
【毒性】无毒。
【归经】归脾、胃、肺经。
【主治】解肌退热，透发麻疹，生津止渴，升阳止泻，通经活络，解酒毒。
【释名】鸡齐（《本经》）、鹿藿（《别录》）、黄斤（《别录》）。
时珍曰︰葛从曷，谐声也。鹿食九草，此其一种，故曰鹿藿。黄斤未详。
【发明】弘景曰︰生葛捣汁饮，解温病发热。五月五日日中时，取根为屑，熬令黄黑，屑末水服方寸匕，疗疟及疮，至良。
颂曰︰张仲景治伤寒有葛根汤，以其主大热、解肌、发腠理故也。
元素曰︰升阳生津。脾虚作渴者，非此不除。勿多用，恐伤胃气。张仲景治太阳阳明合病，桂枝汤内加麻黄、葛根，又有葛根黄芩黄连解肌汤，是用此以断太阳入阳明之路，非即太阳药也。头颅痛如破，乃阳明中风，可用葛根葱白汤，为阳明仙药。若太阳初病，未入阳明而头痛者，不可便服升麻、葛根发之，是反引邪气入阳明，为引贼破家也。
震亨曰︰凡痘已见红点，不可用葛根升麻汤，恐表虚反增斑烂也。
杲曰︰干葛其气轻浮，鼓舞胃气上行，生津液，又解肌热，治脾胃虚弱泄泻圣药也。
徐用诚曰︰葛根气味俱薄，轻而上行，浮而微降，阳中阴也。其用有四︰止渴，一也；解酒，二也；发散表邪，三也；发疮疹难出，四也。
时珍曰︰本草十剂云︰轻可去实，麻黄、葛根之属。盖麻黄乃太阳经药，兼入肺经，肺主皮毛；葛根乃阳明经药，兼入脾经，脾主肌肉。所以二味药皆轻扬发散，而所入迥然不同也。</x:t>
  </x:si>
  <x:si>
    <x:t xml:space="preserve">人参
【气味】味甘、微苦，性微温。
【毒性】无毒。
【归经】归脾、肺、心经。
【主治】大补元气，复脉固脱，益气摄血，生津安神。
【释名】人薓（音参。或省作参）、黄参（《吴普》）、血参（《别录》）、人衔（《本经》）、鬼盖（《本经》）、神草（《别录》）、土精（《别录》）、地精（《广雅》）、海腴、皱面还丹（《广雅》）。
时珍曰︰人薓年深，浸渐长成者，根如人形，有神，故谓之人薓、神草。薓字，从𣹰，亦浸渐之义。𣹰，即浸字，后世因字文繁，遂以参星之字代之，从简便尔。然承误日久，亦不能变矣，惟张仲景《伤寒论》尚作薓字。《别录》一名人微，微乃薓字之讹也。其成有阶级，故曰人衔。其草背阳向阴，故曰鬼盖。其在五参，色黄属土，而补脾胃，生阴血，故有黄参、血参之名。得地之精灵，故有土精、地精之名。《广五行记》云︰隋文帝时，上党有人宅后每夜闻人呼声，求之不得。去宅一里许，见人参枝叶异常，掘之入地五尺，得人参，一如人体，四肢毕备，呼声遂绝。观此，则土精之名，尤可证也。《礼斗威仪》云︰下有人参，上有紫气。《春秋运斗枢》云︰摇光星散而为人参。人君废山渎之利，则摇光不明，人参不生。观此，则神草之名，又可证矣。
【发明】
弘景曰︰人参为药切要，与甘草同功。
杲曰︰人参甘温，能补肺中元气，肺气旺则四脏之气皆旺，精自生而形自盛，肺主诸气故也。张仲景云︰病患汗后身热、亡血、脉沉迟者，下痢身凉、脉微、血虚者，并加人参。
古人血脱者益气，盖血不自生，须得生阳气之药乃生，阳生则阴长，血乃旺也。若单用补血药，血无由而生矣。《素问》言︰无阳则阴无以生，无阴则阳无以化。故补气须用人参，血虚者亦须用之。本草十剂云︰补可去弱，人参、羊肉之属是也。盖人参补气，羊肉补形，形气者，有无之象也。
好古曰︰洁古老人言︰以沙参代人参，取其味甘也。然人参补五脏之阳，沙参补五脏之阴，安得无异？虽云补五脏，亦须各用本脏药相佐使引之。
言闻曰︰人参生用气凉，熟用气温；味甘补阳，微苦补阴。气主生物，本呼天；味主成物，本呼地。气味生成，阴阳之造化也。凉者，高秋清肃之气，天之阴也，其性降；温者，阳春生发之气，天之阳也，其性升。甘者，湿土化成之味，地之阳也，其性浮；微苦者，火土相生之味，地之阴也，其性沉。人参气味俱薄。气之薄者，生降熟升；味之薄者，生升熟降。如土虚火旺之病，则宜生参，凉薄之气，以泻火而补土，是纯用其气也；脾虚肺怯之病，则宜熟参，甘温之味，以补土而生金，是纯用其味也。东垣以相火乘脾，身热而烦，气高而喘，头痛而渴，脉洪而大者，用黄柏佐人参。孙真人治夏月热伤元气，人汗大泄，欲成痿厥，用生脉散，以泻热火而救金水。君以人参之甘寒，泻火而补元气；臣以麦门冬之苦甘寒，清金而滋水源，佐以五味子之酸温，生肾精而收耗气。此皆补天元之真气，非补热火也。白飞霞云︰人参炼膏服，回元气于无何有之乡。凡病后气虚及肺虚嗽者，并宜之。若气虚有火者，合天门冬膏对服之。</x:t>
  </x:si>
  <x:si>
    <x:t xml:space="preserve">肝|肾</x:t>
  </x:si>
  <x:si>
    <x:t xml:space="preserve">熟地黄（地黄）
【气味】味甘，性微温。
【毒性】无毒。
【归经】归肝、肾经。
【主治】补血滋阴，益精填髓。
【释名】芐（音户《别录》）、芑（音起《别录》）、地髓（《本经》）。
大明曰︰生者以水浸验之。浮者名天黄；半浮半沉者名人黄；沉者名地黄。入药沉者为佳，半沉者次之，浮者不堪。
时珍曰︰《尔雅》云︰ 芐，地黄。郭璞云︰江东呼为芐。罗愿云︰芐以沉下者为贵，故字从下。
【发明】
元素曰︰地黄生则大寒而凉血，血热者须用之；熟则微温而补肾，血衰者须用之。又脐下痛属肾经，非熟地黄不能除，乃通肾之药也。
好古曰︰生地黄治心热、手足心热，入手足少阴厥阴，能益肾水，凉心血，其脉洪实者宜之。若脉虚者，则宜熟地黄，假火力蒸九数，故能补肾中元气。仲景八味丸以之为诸药之首，天一所生之源也。汤液四物汤治藏血之脏，以之为君者，癸乙同归一治也。
时珍曰︰按王硕《易简方》云︰男子多阴虚，宜用熟地黄；女子多血热，宜用生地黄。
又云︰生地黄能生精血，天门冬引入所生之处；熟地黄能补精血，用麦门冬引入所补之处。
虞搏《医学正传》云︰生地黄生血，而胃气弱者服之，恐妨食；熟地黄补血，而痰饮多者服之，恐泥膈。或云︰生地黄酒炒则不妨胃，熟地黄姜汁炒则不泥膈。此皆得用地黄之精微者也。
颂曰︰崔元亮《海上方》︰治一切心痛，无问新久。以生地黄一味，随人所食多少，捣绞取汁，搜面作患此病二年，深以为恨，临终戒其家人，吾死后当剖去病本。从其言果得虫，置于竹节中，每所食皆饲之。因食地黄 亦与之，随即坏烂。由此得方。刘禹锡《传信方》亦纪其事云︰贞元十年，通事舍人崔抗女，患心痛垂绝，遂作地黄冷淘食，便吐一物，可方寸匕，状如蛤蟆，无足目，似有口，遂愈。冷淘勿著</x:t>
  </x:si>
  <x:si>
    <x:t xml:space="preserve">酸|甘</x:t>
  </x:si>
  <x:si>
    <x:t xml:space="preserve">五味子
【气味】味酸、甘，性温。
【毒性】无毒。
【归经】归肺、心、肾经。
【主治】收敛固涩，益气生津，补肾宁心。
【释名】荎藸 （《尔雅》，音知除）、玄及（《别录》）、会及（《别录》）。
恭曰︰五味，皮、肉甘、酸，核中辛、苦，都有咸味，此则五味具也。《本经》但云味酸，当以木为五行之先也。
【发明】
成无己曰︰肺欲收，急食酸以收之，以酸补之。芍药、五味之酸，以收逆气而安肺。
杲曰︰收肺气，补气不足，升也。酸以收逆气，肺寒气逆，则宜此与干姜同治之。又五味子收肺气，乃火热必用之药，故治嗽以之为君。但有外邪者不可骤用，恐闭其邪气，必先发散而后用之乃良。有痰者，以半夏为佐；喘者，阿胶为佐，但分两少不同耳。
宗奭曰︰今华州以西至秦州多产之。方红熟时，彼人采得，蒸烂，研滤汁，熬成稀膏，量酸甘入蜜炼匀，待冷收器中。肺虚寒人，作汤时时饮之。作果可以寄远。《本经》言其性温，今食之多致虚热，小儿益甚。《药性论》谓其除热气，《日华子》谓其暖水脏、除烦热，后学至此多惑。今既用治肺虚寒，则更不取其除热之说。
震亨曰︰五味大能收肺气，宜其有补肾之功。收肺气，非除热乎？补肾，非暖水脏乎？乃火热嗽必用之药。寇氏所谓食之多致虚热者，盖收补之骤也，何惑之有？又黄昏嗽乃火气浮入肺中，不宜用凉药，宜五味子、五倍子敛而降之。
思邈曰︰五、六月宜常服五味子汤，以益肺金之气，在上则滋源，在下则补肾。其法︰以五味子一大合，木臼捣细，瓷瓶中，以百沸汤投之，入少蜜，封置火边良久，汤成任饮。
元素曰︰孙真人《千金月令》言︰五月常服五味，以补五脏之气。遇夏月季夏之间，困乏无力，无气以动。与黄 、人参、麦门冬，少加黄柏，煎汤服之。使人精神顿加，两足筋力涌出也。盖五味子之酸，辅人参，能泻丙火而补庚金，收敛耗散之气。
好古曰︰张仲景八味丸，用此补肾，亦兼述类象形也。
机曰︰五味治喘嗽，须分南北。生津止渴，润肺补肾，劳嗽，宜用北者；风寒在肺，宜用南者。
慎微曰︰《抱朴子》云︰五味者，五行之精，其子有五味。淮南公羡门子服之十六年，面色如玉女，入水不沾，入火不灼。</x:t>
  </x:si>
  <x:si>
    <x:t xml:space="preserve">紫菀
【气味】味辛、苦，性温。
【毒性】无毒。
【归经】归肺经。
【主治】润肺下气，化痰止咳。
【释名】青菀（《别录》）、紫蒨（《别录》）、返魂草（《纲目》）、夜牵牛（《斗门方》）。
时珍曰︰其根色紫而柔宛，故名许慎《说文》作茈菀。《斗门方》谓之返魂草。
【发明】</x:t>
  </x:si>
  <x:si>
    <x:t xml:space="preserve">桑白皮（桑）
【气味】味甘，性寒。
【毒性】无毒。
【归经】归肺经。
【主治】泻肺平喘，利水消肿。
【释名】子名椹（《集韵》）。
时珍曰︰徐锴《说文解字》云︰桑，音若，东方自然神木之名，其字象形。桑乃蚕所食，异于东方自然之神木，故加木于桑下而别之。《典术》云︰桑乃箕星之精。
【发明】
杲曰︰桑白皮，甘以固元气之不足而补虚，辛以泻肺气之有馀而止嗽。又云︰桑白皮泻肺，然性不纯良，不宜多用。
时珍曰︰桑白皮长于利小水，乃实则泻其子也，故肺中有水气及肺火有馀者宜之。十剂云︰燥可去湿，桑白皮、赤小豆之属是矣。宋医钱乙治肺气热盛，咳嗽而后喘，面肿身热，泻白散︰用桑白皮（炒）一两，地骨皮（焙）一两，甘草（炒）半两。每服一、二钱，入粳米百粒，水煎，食后温服。桑白皮、地骨皮皆能泻火从小便去，甘草泻火而缓中，粳米清肺而养血，此乃泻肺诸方之准绳也。元医罗天益言其泻肺中伏火而补正气，泻邪所以补正也。若肺虚而小便利者，不宜用之。
颂曰︰桑白皮作线缝金疮肠出，更以热鸡血涂之。唐‧安金藏剖腹，用此法而愈。</x:t>
  </x:si>
  <x:si>
    <x:t xml:space="preserve">麦门冬
【气味】味甘、微苦，性微寒。
【毒性】无毒。
【归经】归心、肺、胃经。
【主治】养阴生津，润肺清心。
【释名】虋冬（音门《尔雅》），秦名羊韭、齐名爱韭、楚名马韭、越名羊耆（并《别录》）。禹韭（《吴普》）、禹余粮（《别录》）、忍冬（《吴普》）、忍凌（《吴普》）、不死药（《吴普》）、阶前草（《梅尧臣诗》）。
弘景曰：根似穬麦，故谓之麦门冬。
时珍曰︰麦须曰虋，此草根似麦而有须，其叶如韭，凌冬不凋，故谓之麦 冬，及有诸韭、忍冬诸名。俗作门冬，便于字也。可以服食断谷，一名仆垒，一名随脂。
【发明】宗奭曰︰麦门冬治肺热之功为多，其味苦，但专泄而不专收，寒多人禁服。治心肺虚热及虚劳。与地黄、阿胶、麻仁，同为润经益血、复脉通心之剂；与五味子、枸杞子，同为生脉之剂。
元素曰︰麦门冬治肺中伏火、脉气欲绝者，加五味子、人参二味为生脉散，补肺中元气不足。
杲曰︰六七月间湿热方旺，人病骨乏无力，身重气短，头旋眼黑，甚则痿软。故孙真人以生脉散补其天元真气。脉者，人之元气也。人参之甘寒，泻热火而益元气。麦门冬之苦寒，滋燥金而清水源。五味子之酸温，泻丙火而补庚金，兼益五脏之气也。
时珍曰︰按︰赵继宗《儒医精要》云︰麦门冬以地黄为使，服之令人头不白，补髓，通肾气，定喘促，令人肌体滑泽，除身上一切恶气不洁之疾，盖有君而有使也。若有君无使，是独行无功矣。此方惟火盛气壮之人服之相宜。若气弱胃寒者，必不可饵也。</x:t>
  </x:si>
  <x:si>
    <x:t xml:space="preserve">玉竹（萎蕤）
【气味】味甘，性微寒。
【毒性】无毒。
【归经】归肺、胃经。
【主治】养阴润燥，生津止渴。
【释名】女萎（《本经》）、葳蕤（《吴普》）、萎 （音威移）、委萎（《尔雅》）、萎香（《纲目》）、荧（《尔雅》，音行）、玉竹（《别录》）、地节（《别录》）。
时珍曰︰按︰黄公绍《古今韵会》云︰葳蕤，草木叶垂之貌。此草根长多须，如冠缨下垂之 而有威仪，故以名之。凡羽盖旌旗之缨 ，皆象葳蕤，是矣。张氏《瑞应图》云︰王者礼备，则葳蕤生于殿前。一名萎香。则威仪之义，于此可见。《别录》作葳蕤，省文也。《说文》作萎 ，音相近也。《尔雅》作委萎，字相近也。其叶光莹而象竹，其根多节，故有荧及玉竹、地节诸名。《吴普本草》又有乌女、虫蝉之名。宋本一名马熏，即乌萎之讹者也。
【发明】
杲曰︰葳蕤能升能降，阳中阴也。其用有四︰主风淫四末，两目泪烂，男子湿注腰痛，女子面生黑 。
时珍曰︰葳蕤性平味甘，柔润可食。故朱肱《南阳活人书》，治风温自汗身重，语言难出，用葳蕤汤，以之为君药。予每用治虚劳寒热 疟，及一切不足之证，用代参、 ，不寒不燥，大有殊功，不只于去风热湿毒而已，此昔人所未阐者也。
藏器曰︰陈寿《魏志‧樊阿传》云︰青粘，一名黄芝，一名地节。此即葳蕤，极似偏精。
本功外，主聪明，调血气，令人强壮。和漆叶为散服，主五脏益精，去三虫，轻身不老，变白，润肌肤，暖腰脚惟有热不可服。晋嵇绍有胸中寒疾，每酒后苦唾，服之得愈。草似竹，取根花叶阴干用。昔华佗入山见仙人所服，以告樊阿，服之寿百岁也。颂曰︰陈藏器以青粘即葳蕤。世无识者，未敢以为信然。
时珍曰︰苏颂注黄精，疑青粘是黄精，与此说不同。今考黄精、葳蕤性味功用大抵相近，而葳蕤之功更胜。故青粘，一名黄芝，与黄精同名；一名地节，与葳蕤同名，则二物虽通用亦可。</x:t>
  </x:si>
  <x:si>
    <x:t xml:space="preserve">天花粉（栝蒌）
【气味】味甘、微苦，性微寒。
【毒性】无毒。
【归经】归肺、胃经。
【主治】清热泻火，生津止渴，消肿排脓。
【释名】果裸（音裸）、栝蒌（《纲目》）、天瓜（《别录》）、黄瓜（《别录》）、地蒌（《本经》）、泽姑（《别录》）
根名白药（《图经》）、天花粉（《图经》）、瑞雪（《赵宜真》）。
时珍曰︰裸，与蓏同。
许慎云︰木上曰果，地下曰蓏。此物蔓生附木，故得兼名。《诗》云︰果裸之实，亦施于宇，是矣。栝蒌，即果裸二字音转也，亦作𤫱𤬏，后人又转为栝蒌，愈转愈失其真矣。古者瓜姑同音，故有泽姑之名。齐人谓之天瓜，象形也。雷 《炮炙论》，以圆者为栝，长者为蒌，亦出牵强，但分雌雄可也。其根作粉，洁白如雪，故谓之天花粉。苏颂《图经》重出天花粉，谬矣，今削之。
【发明】
恭曰︰用根作粉，洁白美好，食之大宜虚热人。
杲曰︰栝蒌根纯阴，解烦渴，行津液。心中枯涸者，非此不能除。与辛酸同用，导肿气成无己曰︰津液不足则为渴。栝蒌根味苦微寒，润枯燥而通行津液，是为渴所宜也。
时珍曰︰栝蒌根味甘微苦酸。其茎叶味酸。酸能生津，感召之理，故能止渴润枯。微苦降火，甘不伤胃。昔人只言其苦寒，似未深察。</x:t>
  </x:si>
  <x:si>
    <x:t xml:space="preserve">扁豆（藊豆）
【气味】味甘，性微温。
【毒性】无毒。
【归经】归脾、胃经。
【主治】健脾化湿，和中消暑。
【释名】沿篱豆（俗）、蛾眉豆（《纲目》）。
时珍曰︰ 藊本作扁，荚形扁也。沿篱，蔓延也。蛾眉，象豆脊白路之形也。
【发明】
时珍曰︰硬壳白扁豆，其子充实，白而微黄，其气腥香，其性温平，得乎中和，脾之谷也。入太阴气分，通利三焦，能化清降浊，故专治中宫之病，消暑除湿而解毒也。其软壳及黑鹊色者，其性微凉，但可供食，亦调脾胃。</x:t>
  </x:si>
  <x:si>
    <x:t xml:space="preserve">谷之三</x:t>
  </x:si>
  <x:si>
    <x:t xml:space="preserve">胆南星（虎掌）
【气味】味苦、微辛，性凉。
【毒性】有毒。
【归经】归肺、肝、脾经。
【主治】清热化痰，息风定惊。
【释名】虎膏（《纲目》）、鬼蒟蒻（《日华》）。
恭曰︰其根四畔有圆牙，看如虎掌，故有此名。
颂曰︰天南星即本草虎掌也，小者名由跋。古方多用虎掌，不言天南星。南星近出唐人中风痰毒方中用之，乃后人采用，别立此名尔。
时珍曰︰虎掌因叶形似之，非根也。南星因根圆白，形如老人星状，故名南星，即虎掌也。苏颂说甚明白。宋《开宝》不当重出南星条，今并入。
【发明】
时珍曰︰虎掌、天南星，乃手足太阴脾肺之药。味辛而麻，故能治风散血；气温而燥，故能胜湿除涎；性紧而毒，故能攻积拔肿而治口 舌糜。
杨士瀛《直指方》云︰诸风口噤，宜用南星，更以人参、石菖蒲佐之。</x:t>
  </x:si>
  <x:si>
    <x:t xml:space="preserve">瓜蒌仁（栝蒌）
【气味】味甘，性寒。
【毒性】无毒。
【归经】归肺、胃、大肠经。
【主治】润肺化痰，滑肠通便。
【释名】果裸（音裸）、栝蒌（《纲目》）、天瓜（《别录》）、黄瓜（《别录》）、地蒌（《本经》）、泽姑（《别录》）
根名白药（《图经》）、天花粉（《图经》）、瑞雪（《赵宜真》）。
时珍曰︰裸，与蓏同。
许慎云︰木上曰果，地下曰蓏。此物蔓生附木，故得兼名。《诗》云︰果裸之实，亦施于宇，是矣。栝蒌，即果裸二字音转也，亦作𤫱𤬏，后人又转为栝蒌，愈转愈失其真矣。古者瓜姑同音，故有泽姑之名。齐人谓之天瓜，象形也。雷 《炮炙论》，以圆者为栝，长者为蒌，亦出牵强，但分雌雄可也。其根作粉，洁白如雪，故谓之天花粉。苏颂《图经》重出天花粉，谬矣，今削之。
【发明】
震亨曰︰栝蒌实治胸痹者，以其味甘性润。甘能补肺，润能降气。胸中有痰者，乃肺受火逼，失其降下之令。今得甘缓润下之助，则痰自降，宜其为治嗽之要药也。且又能洗涤胸膈中垢腻郁热，为治消渴之神药。
时珍曰︰张仲景治胸痹痛引心背，咳唾喘息，及结胸满痛，皆用栝蒌实。乃取其甘寒不犯胃气，能降上焦之火，使痰气下降也。成无己不知此意，乃云苦寒以泻热。盖不尝其味原不苦，而随文傅会尔。</x:t>
  </x:si>
  <x:si>
    <x:t xml:space="preserve">肝|脾|肺</x:t>
  </x:si>
  <x:si>
    <x:t xml:space="preserve">黄芩
【气味】味苦，性寒。
【毒性】无毒。
【归经】归肺、胆、脾、大肠、小肠经。
【主治】清热燥湿，泻火解毒，止血，安胎。
【释名】腐肠（《本经》）、空肠（《别录》）、内虚（《别录》）、妒妇（《吴普》）、经芩 （《别录》）、黄文（《别录》）、印头（《吴普》）、苦督邮（《记事》），内实者名子芩（弘景）、条芩（《纲目》）、 尾芩（《唐本》）、鼠尾芩（《纲目》）。
弘景曰：圆者，名子芩；破者，名宿芩，其腹中皆烂，故名腐肠。
时珍曰：芩，《说文》作 ，谓其色黄也。或云芩者，黔也，黔乃黄黑之色也。宿芩乃旧根，多中空，外黄内黑，即今所谓片芩，故又有腐肠、妒妇诸名。妒 妇心黯，故以比之。子芩乃新根，多内实，即今所谓条芩。或云西芩多中空而色黔，北芩多内实而深黄。
【发明】杲曰：黄芩之中枯而飘者，泻肺火，利气，消痰，除风热，清肌表之热；细实而坚者，泻大肠火，养阴退阳，补膀胱寒水，滋其化源。高下之分与枳实、枳壳同例。
元素曰：黄芩之用有九：泻肺热，一也；上焦皮肤风热风湿，二也；去诸热，三也；利胸中气，四也；消痰膈，五也；除脾经诸湿，六也；夏月须用，七也；妇人产后养阴退阳，八也；安胎，九也。酒炒上行，主上部积血，非此不能除。下痢脓血，腹痛后重，身热久不能止者，与芍药、甘草同用之。凡诸疮痛不可忍者，宜芩、连苦寒之药，详上下，分身、梢及引经药用之。
震亨曰：黄芩降痰，假其降火也。凡去上焦湿热，须以酒洗过用。片芩泻肺火，须用桑白皮佐之。若肺虚者，多用则伤肺，必先以天门冬保定肺气而后用之。黄芩、白术乃安胎圣药，俗以黄芩为寒而不敢用，盖不知胎孕宜清热凉血，血不妄行，乃能养胎。黄芩乃上、中二焦药，能降火下行，白术能补脾也。
罗天益曰：肺主气，热伤气，故身体麻木。又五臭入肺为腥，故黄芩之苦寒，能泻火、补气而利肺，治喉中腥臭。颂曰：张仲景治伤寒心下痞满，泻心汤。凡四方皆用黄芩，以其主诸热、利小肠故也。又太阳病下之利不止，喘而汗出者，有葛根黄芩黄连汤，及主妊娠安胎散，亦多用之。
时珍曰：洁古张氏言：黄芩泻肺火，治脾湿；东垣李氏言：片芩治肺火，条芩治大肠火；丹溪朱氏言：黄芩治上中二焦火；而张仲景治少阳证小柴胡汤，太阳少阳合病下利黄芩汤，少阳证下后心下满而不痛泻心汤，并用之；成无己言黄芩苦而入心，泄痞热。是黄芩能入手少阴阳明、手足太阴少阳六经矣。盖黄芩气寒味苦，色黄带绿，苦入心，寒胜热，泻心火，治脾之湿热，一则金不受刑，一则胃火不流入肺，即所以救肺也。肺虚不宜者，苦寒伤脾胃，损其母也。少阳之证，寒热胸胁痞满，默默不欲饮食，心烦呕，或渴或痞，或小便不利。虽曰病在半表半里，而胸胁痞满，实兼心肺上焦之邪。心烦喜呕，默默不欲饮食，又兼脾胃中焦之证。故用黄芩以治手足少阳相火，黄芩亦少阳本经药也。成无己《注伤寒论》，但云柴胡、黄芩之苦，以发传邪之热；芍药、黄芩之苦，以坚敛肠胃之气，殊昧其治火之妙。杨士瀛《直指方》云：柴胡退热，不及黄芩。盖亦不知柴胡之退热，乃苦以发之，散火之标也；黄芩之退热，乃寒能胜热，折火之本也。仲景又云：少阳证腹中痛者，去黄芩，加芍药。心下悸，小便不利者，去黄芩，加茯苓。似与《别录》治少腹绞痛、利小肠之文不合。成氏言黄芩寒中，苦能坚肾，故去之，盖亦不然。至此当以意逆之，辨以脉证可也。若因饮寒受寒，腹中痛，及饮水心下悸，小便不利，而脉不数者，是里无热证，则黄芩不可用也。若热厥腹痛，肺热而小便不利者，黄芩其可不用乎？故善观书者，先求之理，毋徒泥其文。昔有人素多酒欲，病少腹绞痛不可忍，小便如淋，诸药不效。偶用黄芩、木通、甘草三味煎服，遂止。王海藏言有人因虚服附子药多，病小便秘，服芩、连药而愈。此皆热厥之痛也，学人其可拘乎？予年二十时，因感冒咳嗽既久，且犯戒，遂病骨蒸发热，肤如火燎，每日吐痰碗许，暑月烦渴，寝食几废，六脉浮洪。遍服柴胡、麦门冬、荆沥诸药，月馀益剧，皆以为必死矣。先君偶思李东垣治肺热如火燎，烦躁引饮而昼盛者，气分热也。宜一味黄芩汤，以泻肺经气分之火。遂按方用片芩一两，水二钟，煎一钟，顿服。次日身热尽退，而痰嗽皆愈。药中肯綮，如鼓应桴，医中之妙，有如此哉。</x:t>
  </x:si>
  <x:si>
    <x:t xml:space="preserve">枳实（枳）
【气味】味苦、辛、酸，性微寒。
【毒性】无毒。
【归经】归脾、胃、大肠经。
【主治】破气消积，化痰散痞。
【释名】子名枳实（《本经》）、枳壳（宋《开宝》）。
宗奭曰：枳实、枳壳，一物也。小则其性酷而速，大则其性详而缓。故张仲景治伤寒仓猝之病，承气汤中用枳实，皆取其疏通、决泄、破结实之义。他方但导败风壅之气，可常服者，故用枳壳，其义如此。
恭曰：既称枳实，须合核瓤，今殊不然。
时珍曰：枳乃木名，从只，谐声也。实乃其子，故曰枳实。后人因小者性速，又呼老者为枳壳。生则皮厚而实，熟则壳薄而虚，正如青橘皮、陈橘皮之义。宋人复出枳壳一条，非矣。寇氏以为破结实而名，亦未必然。
【发明】
震亨曰：枳实泻痰，能冲墙倒壁，滑窍破气之药也。
元素曰：心下痞及宿食不消，并宜枳实、黄连。
杲曰：以蜜炙用，则破水积以泄气，除内热。洁古用去脾经积血。脾无积血，则心下不痞也。
好古曰：益气则佐之以人参、白术、干姜，破气则佐之以大黄、牵牛、芒硝，此《本经》所以言益气而复言消痞也。非白术不能去湿，非枳实不能除痞。故洁古制枳术丸方，以调胃脾；张仲景治心下坚大如盘，水饮所作，枳实白术汤，用枳实七枚，术三两，水一斗，煎三升，分三服，腹中软，即消也。余见枳壳下。</x:t>
  </x:si>
  <x:si>
    <x:t xml:space="preserve">干姜
【气味】味辛，性热。
【毒性】无毒。
【归经】归脾、胃、肾、心、肺经。
【主治】温中散寒，回阳通脉，温肺化饮。
【释名】时珍曰：以姜之干者故名，干姜以母姜造之。以白净结实者为良，故人呼为白姜，又曰均姜。凡入药并宜炮用。
【发明】
元素曰：干姜气薄味厚，半沉半浮，可升可降，阳中之阴也。又曰：大辛大热，阳中之阳。其用有四：通心助阳，一也；去脏腑沉寒痼冷，二也；发诸经之寒气，三也；治感寒腹痛，四也。肾中无阳，脉气欲绝，黑附子为引，水煎服之，名姜附汤。亦治中焦寒邪，寒淫所胜，以辛散之也。又能补下焦，故四逆汤用之。干姜本辛，炮之稍苦，故止而不移，所以能治里寒，非若附子行而不止也。理中汤用之者，以其回阳也。
李杲曰：干姜生辛炮苦，阳也。生则逐寒邪而发表，炮则除胃冷而守中。多用则耗散元气，辛以散之，是壮火食气故也，须以生甘草缓之。辛热以散里寒，同五味子用以温肺，同入参用以温胃也。
好古曰：干姜，心、脾二经气分药也，故补心气不足。或言：干姜辛热而言补脾。今理中汤用之，言泄不言补，何也？盖辛热燥湿，泄脾中寒湿邪气，非泄正气也。又云：服干姜以治中者，必僭上，不可不知。
震亨曰：干姜入肺中利肺气，入肾中燥下湿，入肝经引血药生血，同补阴药亦能引血药入气分生血，故血虚发热、产后大热者用之。止唾血、痢血，须炒黑用之。有血脱色白而夭不泽脉濡者，此大寒也。宜干姜之辛温以益血，大热以温经。
时珍曰：干姜，能引血药入血分，气药入气分，又能去恶养新，有阳生阴长之意，故血虚者用之；而人吐血、衄血、下血，有阴无阳者，亦宜用之。乃热因热用，从治之法也。</x:t>
  </x:si>
  <x:si>
    <x:t xml:space="preserve">细辛
【气味】味辛，性温。
【毒性】小毒。
【归经】归肺、肾、心经。
【主治】解表散寒，祛风止痛，通窍，温肺化饮。
【释名】小辛（《本经》）、少辛（《山海经》）。
颂曰：华州真细辛，根细而味极辛，故名之曰细辛。
时珍曰：小辛、少辛，皆此义也。按《山海经》云，浮戏之山多少辛。《管子》云，五沃之土，群药生少辛，是矣。
【发明】
宗奭曰：治头面风痛，不可缺此。
元素曰：细辛气温，味大辛，气浓于味，阳也，升也，入足厥阴、少阴血分，为手少阴引经之药。香味俱细，故入少阴，与独活相类。以独活为使，治少阴头痛如神。亦止诸阳头痛，诸风通用之。味辛而热，温少阴之经，散水气以去内寒。
成无己曰：水停心下不行，则肾气燥，宜辛以润之。细辛之辛，以行水气而润燥。
杲曰：胆气不足，细辛补之。又治邪气自里之表，故仲景少阴证，用麻黄附子细辛汤。
时珍曰：气之浓者能发热，阳中之阳也。辛温能散，故诸风寒、风湿头痛、痰饮、胸中滞气、惊痫者，宜用之。口疮、喉痹、 齿诸病用之者，取其能散浮热，亦火郁则发之之义也。辛能泄肺，故风寒咳嗽上气者，宜用之。辛能补肝，故胆气不足，惊痫眼目诸病，宜用之。辛能润燥，故通少阴及耳窍，便涩者宜用之。
承曰：细辛非华阴者不得为真。若单用末，不可过一钱。多则气闷塞不通者死，虽死无伤。近年开平狱中尝治此，不可不记。非本有毒，但不识多寡耳。</x:t>
  </x:si>
  <x:si>
    <x:t xml:space="preserve">苍术
【气味】辛、苦，温。
【毒性】无毒。
【归经】归脾、胃、肝经。
【主治】燥湿健脾，祛风散寒，明目。
【释名】赤术（《别录》）、山精（《抱朴》）、仙术（《纲目》）、山蓟（《本经》）。
时珍曰︰《异术》言︰术者山之精也，服之令人长生辟谷，致神仙，故有山精、仙术之号。术有赤、白二种，主治虽近，而性味止发不同。本草不分苍、白，亦未可据。今将《本经》并《别录》、甄权、大明四家所说功用，参考分别，各自附方，庶使用者有所依凭。
【发明】
宗 曰︰苍术，气味辛烈；白术，微辛苦而不烈。古方及《本经》止言术，未分苍、白。只缘陶隐居言术有两种，自此人多贵白者，往往将苍术置而不用。如古方平胃散之类，苍术为最要药，功效尤速。殊不详本草原无白术之名。嵇康曰︰闻道人遗言，饵术、黄精，令人久寿。亦无白字，用宜两审。
杲曰︰本草但言术，不分苍、白。而苍术别有雄壮上行之气，能除湿，下安太阴，使邪气不传入脾也。以其经泔浸、火炒，故能出汗，与白术止汗特异，用者不可以此代彼。盖有止、发之殊，其馀主治则同。
元素曰︰苍术与白术主治同，但比白术气重而体沉。若除上湿发汗，功最大；若补中焦，除脾胃湿，力少不如白术。腹中窄狭者，须用之。
震亨曰︰苍术治湿，上、中、下皆有可用。又能总解诸郁。痰、火、湿、食、气、血六郁，皆因传化失常，不得升降。病在中焦，故药必兼升降。将欲升之，必先降之；将欲降之，必先升之。故苍术为足阳明经药，气味辛烈，强胃强脾，发谷之气，能径入诸经，疏泄阳明之湿，通行敛涩。香附乃阴中快气之药，下气最速。一升一降，故郁散而平。杨士瀛曰︰脾精不禁，小便漏浊淋不止，腰背酸疼，宜用苍术以敛脾精，精生于谷故也。弘景曰︰白术少膏，可作丸散；赤术多膏，可作煎用。昔刘涓子 取其精而丸之，名守中金丸，可以长生。颂曰︰服食多单饵术，或合白茯苓，或合石菖蒲，并捣末。旦日水服，晚再进，久久弥佳。 取生术，去土水浸，再三煎如饴糖，酒调饮之，更善。今茅山所造术煎，是此法也。
陶隐居言取其精丸之，今乃是膏煎，恐非真也。慎微曰︰梁庾肩吾答陶隐居 术煎启云︰绿叶抽条，紫花标色。百邪外御，六腑内充。山精见书，华神在录。木荣火谢，尽采撷之难； 启旦移申，穷淋漉之剂。又谢术蒸启云︰味重金浆，芳逾玉液。足使坐致延生，伏深铭感。
又葛洪《抱朴子‧内篇》云︰南阳文氏，汉末逃难壶山中，饥困欲死。有人教之食术，遂不饥。数十年乃还乡里，颜色更少，气力转胜。故术一名山精，《神农药经》所谓必欲长生，常服山精，是也。
时珍曰︰按︰《吐纳经》云︰紫微夫人术序云︰吾察草木之胜速益于己者，并不及术之多验也。可以长生久视，远而更灵。山林隐逸，得服术者，五岳比肩。又《神仙传》云︰陈子皇得饵术要方，其妻姜氏得疲病，服之自愈，颜色气力如二十时也。时珍谨按︰以上诸说，皆似苍术，不独白术。今服食家亦呼苍术为仙术，故皆列于苍术之后。又张仲景辟一切恶气，用赤术同猪蹄甲烧烟。陶隐居亦言术能除恶气，弭灾 。故今病疫及岁旦，人家往往烧苍术以辟邪气。《类编》载越民高氏妻，病恍惚谵语，亡夫之鬼凭之。其家烧苍术烟，鬼遽求去。《夷坚志》载江西一士人，为女妖所染。其鬼将别曰︰君为阴气所浸，必当暴泄，但多服平胃散为良。中有苍术能去邪也。许叔微《本事方》云︰微患饮癖三十年。始因少年夜坐写文，左向伏几，是以饮食多坠左边。中夜必饮酒数杯，又向左卧。壮时不觉，三、五年后，觉酒止从左下有声，胁痛食减嘈杂，饮酒半杯即止。十数日，必呕酸水数升。暑月止右边有汗，左边绝无。遍访名医及海上方，间或中病，止得月馀复作。其补，如天雄、附子、矾石辈；利，如牵牛、甘遂、大戟，备尝之矣。自揣必有癖囊，如潦水之有科臼，不盈科不行。但清者可行，而浊者停滞，无路以决之，故积至五、七日必呕而去。脾土恶湿，而水则流湿，莫若燥脾以去湿，崇土以填科臼。乃悉屏诸药，只以苍术一斤（去皮，切片，为末），生油麻（半两）（水二盏，研，滤汁），大枣（五十枚）（煮，去皮核）。捣和丸梧子大。每日空腹温服五十丸，增至一、二百丸。忌桃、李、雀肉。服三月而疾除。自此常服，不呕不痛，胸膈宽利，饮啖如故，暑月汗亦周身，灯下能书细字，皆术之力也。初服时必觉微燥，以山栀子末，沸汤点服解之，久服亦自不燥矣。</x:t>
  </x:si>
  <x:si>
    <x:t xml:space="preserve">厚朴（浓朴）
【气味】味苦、辛，性温。
【毒性】无毒。
【归经】归脾、胃、肺、大肠经。
【主治】燥湿消痰，下气除满。
【释名】烈朴（《日华》）、赤朴（《别录》）、浓皮（同）、重皮（《广雅》），树名榛（《别录》），子名逐折（《别录》）。
时珍曰︰其木质朴而皮浓，味辛烈而色紫赤，故有浓朴、烈、赤诸名。
颂曰︰《广雅》谓之重皮，方书或作浓皮也。
【发明】
宗奭曰：厚朴，平胃散中用，最调中。至今此药盛行，既能温脾胃，又能走冷气，为世所须也。
元素曰：厚朴之用有三：平胃，一也；去腹胀，二也；孕妇忌之，三也。虽除腹胀，若虚弱人，宜斟酌用之，误服脱人元气。惟寒胀大热药中兼用，乃结者散之之神药也。
震亨曰：厚朴属土，有火。其气温，能泻胃中之实也，平胃散用之。佐以苍术，正为泻胃中之湿，平胃土之太过，以致于中和而已，非谓温补脾胃也。习以成俗，皆谓之补，哀哉！其治腹胀者，因其味辛以提其滞气，滞行则宜去之。若气实人，误服参、耆药多补气，胀闷或作喘，宜此泻之。
好古曰：《本草》言厚朴治中风伤寒头痛，温中益气，消痰下气，厚肠胃，去腹满，果泄气乎？果益气乎？盖与枳实、大黄同用，则能泄实满，所谓消痰下气是也。若与橘皮、苍术同用，则能除湿满，所谓温中益气是也。与解利药同用，则治伤寒头痛；与泻痢药同用，则厚肠胃。大抵其性味苦温，用苦则泄，用温则补也。故成无己云：厚朴之苦，以泄腹满。
杲曰：苦能下气，故泄实满；温能益气，故散湿满。</x:t>
  </x:si>
  <x:si>
    <x:t xml:space="preserve">木之二</x:t>
  </x:si>
  <x:si>
    <x:t xml:space="preserve">山药（薯蓣）
【气味】味甘，性平。
【毒性】无毒。
【归经】归脾、肺、肾经。
【主治】益气养阴，补脾肺肾，固精止带。
【释名】藷藇（音诸预《山海经》）、土藷（音除《别录》）、山藷（《图经》）、山芋（《吴普》）、山药（《衍义》）、玉延（《吴普》）。
吴普曰︰薯蓣，一名薯薯，一名儿草，一名修脆。齐、鲁名山芋，郑、越名土薯，秦、楚名玉延。
颂曰︰江、闽人单呼为薯（音若殊及韶），亦曰山薯。《山海经》云︰景山北望少泽，其草多薯藇（音同薯蓣）。则是一种，但字（或音殊，或音诸）不一，或语有轻重，或相传之讹耳。
宗奭曰︰薯蓣，因唐代宗名预，避讳改为薯药；又因宋英宗讳署，改为山药。尽失当日本名。恐岁久以山药为别物，故详著之。
【发明】
权曰︰凡患人体虚羸者，宜加而用之。
诜曰︰利丈夫，助阴力。熟煮和蜜，或为汤煎，或为粉，并佳。干之入药更妙。惟和面作 则动气，为不能制面毒也。
李杲曰︰山药入手太阴。张仲景八味丸用干山药，以其凉而能补也。亦治皮肤干燥，以此润之。
时珍曰︰按吴绶云︰山药入手、足太阴二经，补其不足，清其虚热。又按︰王履《溯洄集》云︰山药虽入手太阴，然肺为肾之上源，源既有滋，流岂无益，此八味丸所以用其强阴也。又按曹毗《杜兰香传》云︰食薯蓣可以辟雾露。</x:t>
  </x:si>
  <x:si>
    <x:t xml:space="preserve">菜之二</x:t>
  </x:si>
  <x:si>
    <x:t xml:space="preserve">心|脾|肾</x:t>
  </x:si>
  <x:si>
    <x:t xml:space="preserve">莲子（莲藕）
【气味】味甘、涩，性平。
【毒性】无毒。
【归经】归脾、肾、心经。
【主治】补脾止泻，止带，益肾涩精，养心安神。
【释名】其根藕（《尔雅》），其实莲（《尔雅》），其茎叶荷（《说文》）。
韩保升曰︰藕生水中，其叶名荷。按︰《尔雅》云︰荷，芙蕖。其茎茄，其叶蕸，其本蔤，其华菡萏，其实莲，其根藕，其中菂，菂中薏。邢昺注云︰芙蕖，总名也，别名芙蓉，江东人呼为荷。菡萏，莲花也。菂，莲实也。薏，菂中青心也。郭璞注云︰蔤，乃茎下白蒻在泥中者。莲，乃房也；菂，乃子也；薏，乃中心苦薏也。江东人呼荷花为芙蓉，北人以藕为荷，亦以莲为荷，蜀人以藕为茄，此皆习俗传误也。陆机《诗疏》云︰其茎为荷。其花未发为菡萏，已发为芙蕖。其实莲，莲之皮青里白。其子菂，菂为苦薏也。
时珍曰︰《尔雅》以荷为根名，韩氏以荷为叶名，陆机以荷为茎名。按︰茎乃负叶者也，有负荷之义，当从陆说。蔤乃嫩蒻，如竹之行鞭者。节生二茎，一为叶，一为花，尽处乃生藕，为花、叶、根、实之本。显仁藏用，功成不居，可谓退藏于密矣，故谓之蔤。花叶常偶生，不偶不生，故根曰藕。或云藕善耕泥，故字从耦，耦者耕也。茄音加，加于蔤上也。蕸音遐，远于密也。菡萏，函合未发之意。芙蓉，敷布容艳之意。莲者连也，花实相连而出也。菂者的也，子在房中点点如的也。的乃凡物点注之名。薏，犹意也，含苦在内也。古诗云︰食子心无弃，苦心生意存是矣。
【发明】
时珍曰︰莲产于淤泥而不为泥染；居于水中而不为水没。根茎花实，凡品难同；清净济用，群美兼得。自 而节节生茎，生叶，生花，生藕；由菡萏而生蕊，生莲，生 ，生薏。其莲 则始而黄，黄而青，青而绿，绿而黑，中含白肉，内隐青心。石莲坚刚，可历永久。薏藏生意，藕复萌芽，展转生生，造化不息。故释氏用为引譬，妙理具存；医家取为服食，百病可却。盖莲之味甘气温而性啬，禀清芳之气，得稼穑之味，乃脾之果也。脾者，黄宫，所以交媾水、火，会合木、金者也。土为元气之母，母气既和，津液相成，神乃自生，久视耐老，此其权舆也。昔人治心肾不交，劳伤白浊，有清心莲子饮；补心肾，益精血，有瑞莲丸，皆得此理。
藏器曰︰经秋正黑，名石莲子，入水必沉，惟煎盐卤能浮之。此物居山海间，经百年不坏，人得食之，令发黑不老。
诜曰︰诸鸟、猿猴取得不食，藏之石室内，人得三百年者，食之永不老也。又雁食之，粪于田野山岩之中，不逢阴雨，经久不坏。人得之，每旦空腹食十枚，身轻能登高涉远也。</x:t>
  </x:si>
  <x:si>
    <x:t xml:space="preserve">果之六</x:t>
  </x:si>
  <x:si>
    <x:t xml:space="preserve">脾|肾</x:t>
  </x:si>
  <x:si>
    <x:t xml:space="preserve">砂仁
【气味】味辛，性温。
【毒性】无毒。
【归经】归脾、胃、肾经。
【主治】化湿开胃，温脾止泻，理气安胎。
【释名】时珍曰︰名义未详。藕下白 多密，取其密藏之意。此物实在根下，仁藏壳内，亦或此意欤。
【发明】
时珍曰︰按韩 《医通》云︰肾恶燥，以辛润之。缩砂仁之辛，以润肾燥。又云︰缩砂属土，主醒脾调胃，引诸药归宿丹田。香而能窜，和合五脏冲和之气，如天地以土 为冲和之气，故补肾药用同地黄丸蒸，取其达下之旨也。又化骨，食草木药及方士炼三黄皆用之，不知其性何以能制此物也？</x:t>
  </x:si>
  <x:si>
    <x:t xml:space="preserve">藿香
【气味】味辛，性微温。
【毒性】无毒。
【归经】归脾、胃、肺经。
【主治】芳香化湿，和中止呕，发表解暑。
【释名】兜娄婆香（《楞严经》）。
时珍曰︰豆叶曰藿，其叶似之，故名。《楞严经》云︰坛前以兜娄婆香煎水洗浴。即此。《法华经》谓之多摩罗跋香，《金光明经》谓之钵怛罗香，皆兜娄二字梵言也。《涅槃》又谓之迦算香。
【发明】
杲曰︰芳香之气助脾胃，故藿香能止呕逆，进饮食。
好古曰︰手、足太阴之药。 故入顺气乌药散，则补肺；入黄 、四君子汤，则补脾也。</x:t>
  </x:si>
  <x:si>
    <x:t xml:space="preserve">白芷
【气味】辛，温。
【毒性】无毒。
【归经】归肺、胃、大肠经。
【主治】解表散寒，祛风止痛，宣通鼻窍，燥湿止带，消肿排脓。
【释名】白茝（音止，又昌海切《别录》）、芳香（《本经》）、泽芬（《别录》）、苻蓠（《别录》）、䖀（许骄切《吴普》）、莞（音官《别录》）；叶名蒚麻（音力《别录》）、药（音约《图经》）。
时珍曰︰徐锴云︰初生根干为芷，则白芷之义取乎此也。
王安石《字说》云︰ 香可以养鼻，又可养体，故 字从臣。臣音怡，养也。
许慎《说文》云︰晋谓之 ，齐谓之 ，楚谓之蓠，又谓之药。生于下泽，芬芳与兰同德，故骚人以兰 为咏，而本草有芬香、泽芬之名，古人谓之香白芷云。
【发明】
杲曰︰白芷疗风通用，其气芳香，能通九窍，表汗不可缺也。
刘完素曰︰治正阳明头痛，热厥头痛，加而用之。
好古曰︰同辛夷、细辛用治鼻病，入内托散用长肌肉，则入阳明可知矣。
时珍曰︰白芷色白味辛，行手阳明庚金；性温气浓，行足阳明戊土；芳香上达，入手太阴肺经。肺者，庚之弟，戊之子也。故所主之病不离三经。如头目眉齿诸病，三经之风热也；如漏带痈疽诸病，三经之湿热也。风热者辛以散之，湿热者温以除之。为阳明主药，故又能治血病胎病，而排脓生肌止痛。按王 《百一选方》云︰王定国病风头痛，至都 梁求名医杨介治之，连进三丸，即时病失。恳求其方，则用香白芷一味，洗晒为末，炼蜜丸弹子大。每嚼一丸，以茶清或荆芥汤化下。遂命名都梁丸。其药治头风眩运，女人胎前产后，伤风头痛，血风头痛，皆效。戴原礼《要诀》亦云︰头痛挟热，项生磊块者，服之甚宜。又《仙神隐书》言︰种白芷能辟蛇，则《夷坚志》所载治腹蛇伤之方，亦制以所畏也，而本草不曾言及。
宗奭曰︰《药性论》言白芷能蚀脓。今人用治带下，肠有败脓，淋露不已，腥秽殊甚，遂致脐腹冷痛，皆由败脓血所致，须此排脓。白芷一两，单叶红蜀葵根二两，白芍药、白枯 矾各半两。为末，以蜡化丸梧子大。每空心及饭前，米饮下十丸或十五丸。俟脓尽，乃以他药补之。</x:t>
  </x:si>
  <x:si>
    <x:t xml:space="preserve">大腹皮（槟榔）
【气味】味辛，性微温。
【毒性】无毒。
【归经】归脾、胃、大肠、小肠经。
【主治】行气宽中，行水消肿。
【释名】宾门（李当之《药对》）、仁频（《上林赋》）、洗瘴丹（《候氏药谱》）。
时珍曰︰宾与郎皆贵客之称。稽含《南方草木状》言︰交广人凡贵胜族客，必先呈此果。若邂逅不设，用相嫌恨。则槟榔名义，盖取于此。雷《炮炙论》谓尖者为槟，圆者为榔，亦似强说。又颜师古注《上林赋》云︰仁频即槟榔也。诜曰︰闽中呼为橄榄子。
【发明】</x:t>
  </x:si>
  <x:si>
    <x:t xml:space="preserve">果之三</x:t>
  </x:si>
  <x:si>
    <x:t xml:space="preserve">木通（通草）
【气味】味苦，性寒。
【毒性】无毒。
【归经】归心、小肠、膀胱经。
【主治】利尿通淋，清心除烦，通经下乳。
【释名】木通（士良）、附支（《本经》）、丁翁（《吴普》）、万年藤（甄权），子名燕覆（《唐本》）。
时珍曰︰有细细孔，两头皆通，故名通草，即今所谓木通也。今之通草，乃古之通脱木也。宋本草混注为一，名实相乱，今分出之。
【发明】
杲曰︰本草十剂︰通可去滞，通草、防己之属是也。夫防己大苦寒，能泻血中湿热之滞，又通大便。通草甘淡，能助西方秋气下降，利小便，专泻气滞也。肺受热邪，津液气化之原绝，则寒水断流，膀胱受湿热，癃闭约缩，小便不通，宜此治之。其症胸中烦热，口燥舌干，咽干，大渴引饮，小便淋沥，或闭塞不通，胫酸脚热，并宜通草主之。凡气味与之同者，茯苓、泽泻、灯草、猪苓、琥珀、瞿麦、车前子之类，皆可以渗湿利小便，泄其滞气也。又曰︰木通下行，泄小肠火，利小便，与琥珀同功，无他药可比。
时珍曰︰木通手厥阴心包络、手足太阳小肠、膀胱之药也。故上能通心清肺，治头痛，利九窍；下能泄湿热，利小便，通大肠，治遍身拘痛。《本经》及《别录》皆不言及利小便治淋之功，甄权、日华子辈始发扬之。盖其能泄丙丁之火，则肺不受邪，能通水道。水源既清，则津液自化，而诸经之湿与热，皆由小便泄去。故古方导赤散用之，亦泻南补北、扶西抑东之意。杨仁斋《直指方》言︰人遍身胸腹隐热，疼痛拘急，足冷，皆是伏热伤血。血属于心，宜木通以通心窍，则经络流行也。</x:t>
  </x:si>
  <x:si>
    <x:t xml:space="preserve">心|肝|肾</x:t>
  </x:si>
  <x:si>
    <x:t xml:space="preserve">生地黄（地黄）
【气味】味甘、苦，性寒。
【毒性】无毒。
【归经】归心、肝、肾经。
【主治】清热凉血，养阴生津。
【释名】芐（音户《别录》）、芑（音起《别录》）、地髓（《本经》）。
大明曰︰生者以水浸验之。浮者名天黄；半浮半沉者名人黄；沉者名地黄。入药沉者为佳，半沉者次之，浮者不堪。
时珍曰︰《尔雅》云︰ 芐，地黄。郭璞云︰江东呼为芐。罗愿云︰芐以沉下者为贵，故字从下。
【发明】
好古曰︰生地黄入手少阴，又为手太阳之剂，故钱仲阳泻丙火与木通同用以导赤也。诸经之血热，与他药相随，亦能治之。溺血、便血皆同。
权曰︰病患虚而多热者，宜加用之。
戴原礼曰︰阴微阳盛，相火炽强，来乘阴位，日渐煎熬，为虚火之证者，宜地黄之属，以滋阴退阳。
宗奭曰︰《本经》只言干、生二种，不言熟者。如血虚劳热，产后虚热，老人中虚燥热者，若与生干，当虑太寒，故后世改用蒸曝熟者。生熟之功殊别，不可不详。
时珍曰︰《本经》所谓干地黄者，乃阴干、日干、火干者，故又云生者尤良。《别录》复云生地黄者，乃新掘鲜者，故其性大寒。其熟地黄乃后人复蒸晒者。诸家本草皆指干地黄为熟地黄，虽主治证同，而凉血、补血之功稍异，故今别出熟地黄一条于下。</x:t>
  </x:si>
  <x:si>
    <x:t xml:space="preserve">心|肝|脾|肺</x:t>
  </x:si>
  <x:si>
    <x:t xml:space="preserve">竹茹（竹）
【气味】味甘，性微寒。
【毒性】无毒。
【归经】归肺、胃、心、胆经。
【主治】清热化痰，除烦止呕。
【释名】时珍曰︰竹字象形。许慎《说文》云︰“竹，冬生草也”。故字从倒草。戴凯之《竹谱》云︰植物之中，有名曰竹。不刚不柔，非草非木。小异实虚，大同节目。
【发明】</x:t>
  </x:si>
  <x:si>
    <x:t xml:space="preserve">石菖蒲（菖蒲）
【气味】味辛、苦，性温。
【毒性】无毒。
【归经】归心、胃经。
【主治】开窍豁痰，醒神益智，化湿开胃。
【释名】昌阳（《本经》）、尧韭（普）、水剑草（《纲目》）。
时珍曰︰菖蒲，乃蒲类之昌盛者，故曰菖蒲。又《吕氏春秋》云︰冬至后五十七日，菖始生。菖者百草之先生者，于是始耕。则菖蒲、昌阳又取此义也。《典术》云︰尧时天降精于庭为韭，感百阴之气为菖蒲。故曰尧韭。方士隐为水剑，因叶形也。
【发明】
颂曰︰古方有单服菖蒲法。蜀人治心腹冷气 痛者，取一、二寸捶碎，同吴茱萸煎汤饮之。亦将随行，卒患心痛，嚼一、二寸，热汤或酒送下，亦效。
时珍曰︰国初周颠仙对太祖高皇帝常嚼菖蒲饮水。问其故。云服之无腹痛之疾。高皇御制碑中载之。菖蒲气温味辛，乃手少阴、足厥阴之药。心气不足者用之，虚则补其母也。肝苦急以辛补之，是矣。《道藏经》有《菖蒲传》一卷，其语粗陋。今略节其要云︰菖蒲者，水草之精英，神仙之灵药也。其法采紧小似鱼鳞者一斤，以水及米泔浸各一宿，刮去皮切，曝干捣筛，以糯米粥和匀，更入熟蜜搜和，丸如梧子大，稀葛袋盛，置当风处令干。每旦酒、饮任下三十丸，临卧更服三十丸。服至一月，消食；二月，痰除；服至五年，骨髓充，颜色泽，白发黑，落齿更生。其药以五德配五行︰叶青，花赤，节白，心黄，根黑。能治一切诸风，手足顽痹，瘫缓不遂，五劳七伤，填血补脑，坚骨髓，长精神，润五脏，裨六腑，开胃口，和血脉，益口齿，明耳目，泽皮肤，去寒热，除三尸九虫，天行时疾，瘴疫瘦病，泻痢痔漏，妇人带下，产后血运。并以酒服。河内叶敬母中风，服之一年而百病愈。寇天师服之得道，至今庙前犹生菖蒲。郑鱼、曾原等，皆以服此得道也。
又按︰葛洪《抱朴子》云︰韩众服菖蒲十三年，身上生毛，冬袒不寒，日记万言。商丘子不娶，惟食菖蒲根，不饥不老，不知所终。《神仙传》云︰咸阳王典食菖蒲得长生。安期生采一寸九节菖蒲服，仙去。又按︰ 仙《神隐书》云︰石菖蒲置一盆于几上，夜间观书，则收烟无害目之患。或置星露之下，至旦取叶尖露水洗目，大能明视，久则白昼见星。端午日以酒服，尤妙。苏东坡云︰凡草生石上，必须微土以附其根。惟石菖蒲濯去泥土，渍以清水，置盆中，可数十年不枯。节叶坚瘦，根须连络，苍然于几案间，久更可喜。其延年轻身之功，既非昌阳可比；至于忍寒淡泊，不待泥土而生，又岂昌阳所能仿佛哉？
杨士瀛曰︰下痢噤口，虽是脾虚，亦热气闭隔心胸所致。俗用木香失之温，用山药失之闭。惟参苓白术散加石菖蒲，粳米饮调下。或用参、苓、石莲肉，少入菖蒲服。胸次一开，自然思食。</x:t>
  </x:si>
  <x:si>
    <x:t xml:space="preserve">草之八</x:t>
  </x:si>
  <x:si>
    <x:t xml:space="preserve">茯神（茯苓）
【气味】味甘、淡，性平。
【毒性】无毒。
【归经】归心、脾经。
【主治】宁心安神，利水渗湿。
【释名】伏灵（《纲目》）、伏菟（《本经》）、松腴、不死面（《记事珠》），抱根者名伏神（《别录》）。
宗奭曰︰多年樵斫之松根之气味，抑郁未绝，精英未沦。其精气盛者，发泄于外，结为茯苓，故不抱根，离其本体，有零之义也。津气不盛，只能附结本根，既不离本，故曰伏神。
时珍曰︰茯苓，《史记•龟策传》作伏灵。盖松之神灵之气，伏结而成，故谓之伏灵、伏神也。《仙经》言︰伏灵大如拳者，佩之令百鬼消灭，则神灵之气，亦可征矣。俗作苓者，传写之讹尔。下有伏灵，上有菟丝，故又名伏莬。或云“其形如兔，故名”，亦通。
【发明】
弘景曰︰仙方只云茯苓而无茯神，为疗既同，用应无嫌。
时珍曰︰《神农本草》只言茯苓，《名医别录》始添茯神，而主治皆同。后人治心病必用茯神。故洁古张氏云︰风眩心虚，非茯神不能除。然茯苓亦未尝不治心病也。陶弘景始言茯苓赤泻白补。
李杲复分赤入丙丁、白入壬癸。此其发前人之秘者。时珍则谓茯苓、茯神，只当云赤入血分，则白茯神不能治心病，赤茯苓不能入膀胱矣。张元素不分赤白之说，于理欠通。
《圣济录》松节散︰用茯神心中木一两，乳香一钱，石器炒，研为末。每服二钱，木瓜酒下。治风寒冷湿搏于筋骨，足筋挛痛，行步艰难，但是诸筋挛缩疼痛并主之。</x:t>
  </x:si>
  <x:si>
    <x:t xml:space="preserve">甘|酸</x:t>
  </x:si>
  <x:si>
    <x:t xml:space="preserve">心|肝</x:t>
  </x:si>
  <x:si>
    <x:t xml:space="preserve">酸枣仁（酸枣）
【气味】味甘、酸，性平。
【毒性】无毒。
【归经】归肝、胆、心经。
【主治】养心补肝，宁心安神，敛汗生津。
【释名】樲（《尔雅》）、山枣（《弘景》）。
【发明】恭曰︰《本经》用实疗不得眠，不言用仁。今方皆用仁。补中益肝，坚筋骨，助阴气，皆酸枣仁之功也。
宗奭曰︰酸枣，《经》不言用仁，而今天下皆用之。
志曰︰按︰《五代史‧后唐》刊石药验云︰酸枣仁，睡多生使，不得睡炒熟。陶云食之醒睡，而《经》云疗不得眠。盖其子肉味酸，食之使不思睡；核中仁服之，疗不得眠。正如麻黄发汗，根节止汗也。
时珍曰︰酸枣实，味酸性收，故主肝病，寒热结气，酸痹久泄，脐下满痛之症。其仁甘而润，故熟用疗胆虚不得眠、烦渴虚汗之症，生用疗胆热好眠，皆足厥阴、少阳药也。今人专以为心家药，殊昧此理。</x:t>
  </x:si>
  <x:si>
    <x:t xml:space="preserve">柏子仁（柏）
【气味】味甘，性平。
【毒性】无毒。
【归经】归心、肾、大肠经。
【主治】养心安神，润肠通便，止汗。
【释名】椈（音菊《尔雅》）、侧柏（《尔雅翼》）。
李时珍曰︰按︰魏子才《六书精蕴》云︰万木皆向阳，而柏独西指，盖阴木而有贞德者，故字从白。白者，西方也。陆佃《埤雅》云︰柏之指西，犹针之指南也。柏有数种，入药惟取叶扁而侧生者，故曰侧柏。
寇宗奭曰︰予官陕西，登高望柏，千万株皆一一西指。盖此木至坚，不畏霜雪，得木之正气，他木不及。所以受金之正气所制，一一西指也。
【发明】
王好古曰︰柏子仁，肝经气分药也。又润肾，古方十精丸用之。
时珍曰︰柏子仁性平而不寒不燥，味甘而补，辛而能润，其气清香，能透心肾，益脾盖仙家上品药也，宜乎滋养之剂用之。
《列仙传》云︰赤松子食柏实，齿落更生，行及奔马。谅非虚语也。</x:t>
  </x:si>
  <x:si>
    <x:t xml:space="preserve">远志
【气味】味苦、辛，性温。
【毒性】无毒。
【归经】归心、肾、肺经。
【主治】安神益智，交通心肾，祛痰，消肿。
【释名】苗名小草（《本经》）、细草（《本经》）、棘菀（《本经》）、 绕（《本经》）。
时珍曰︰此草服之能益智强志，故有远志之称。《世说》载郝隆讥谢安云︰处则为远志，出则为小草。《记事珠》谓之醒心杖。
【发明】
好古曰︰远志，肾经气分药也。
时珍曰︰远志，入足少阴肾经，非心经药也。其功专于强志益精，治善忘。盖精与志，皆肾经之所藏也。肾经不足，则志气衰，不能上通于心，故迷惑善忘。《灵枢经》云︰肾藏精，精合志。肾盛怒而不止则伤志，志伤则喜忘其前言，腰脊不可以俯仰屈伸，毛悴色夭。又云︰人之善忘者，上气不足，下气有馀，肠胃实而心肺虚，虚则营卫留于下，久之不以时上，故善忘也。陈言《三因方》远志酒，治痈疽，云有奇功，盖亦补肾之力尔。葛洪《抱朴子》云：陵阳子仲服远志二十年，有子三十七人，能开书所视不忘，坐在立亡。</x:t>
  </x:si>
  <x:si>
    <x:t xml:space="preserve">肉桂（桂）
【气味】味辛、甘，性大热。
【毒性】无毒。
【归经】归肾、脾、心、肝经。
【主治】补火助阳，引火归元，散寒止痛，温通经脉。
【释名】时珍曰︰按︰范成大《桂海志》云︰凡木叶心皆一纵理，独桂有两道如圭形，故字从圭。
陆佃《埤雅》云︰桂犹圭也。宣导百药，为之先聘通使，如执圭之使也。《尔雅》谓之梫者，能侵害他木也。故《吕氏春秋》云︰桂枝之下无杂木。《雷公炮炙论》云︰桂钉木根，其木即死，是也。桂即牡桂之浓而辛烈者，牡桂即桂之薄而味淡者，《别录》不当重出，今并为一，而分目于下。
【发明】
承曰︰凡桂之浓实气味重者，宜入治水脏及下焦药；轻薄气味淡者，宜入治头目发散药。故《本经》以菌桂养精神，牡桂利关节。仲景发汗用桂枝，乃枝条，非身干也，取其轻薄能发散。又有一种柳桂，乃桂之嫩小枝条，尤宜入上焦药用。
时珍曰︰麻黄遍彻皮毛，故专于发汗而寒邪散，肺主皮毛，辛走肺也。桂枝透达营卫，故能解肌而风邪去，脾主营，肺主卫，甘走脾，辛走肺也。肉桂下行，益火之原，此东垣所谓肾苦燥，急食辛以润之，开腠理，致津液，通其气者也。《圣惠方》言︰桂心入心，引血化汗化脓。盖手少阴君火、厥阴相火，与命门同气者也。《别录》云桂通血脉是矣。
曾世荣言︰小儿惊风及泄泻，并宜用五苓散以泻丙火，渗土湿。内有桂，能抑肝风而扶脾土。
又《医余录》云︰有人患赤眼肿痛，脾虚不能饮食，肝脉盛，脾脉弱。用凉药治肝则脾愈虚，用暖药治脾则肝愈盛。但于温平药中倍加肉桂，杀肝而益脾，故一治两得之。传云木得桂而枯是也。此皆与《别录》桂利肝肺气，牡桂治胁痛胁风之义相符。人所不知者，今为拈出。
又桂性辛散，能通子宫而破血，故《别录》言其堕胎，庞安时乃云炒过则不损胎也。又丁香、官桂治痘疮灰塌，能温托化脓，详见丁香下。</x:t>
  </x:si>
  <x:si>
    <x:t xml:space="preserve">桃仁
【气味】苦、甘，平。
【毒性】小毒
【归经】归心、肝、大肠经。
【主治】活血祛瘀，润肠通便，止咳平喘
【释名】时珍曰︰桃性早花，易植而子繁，故字从木、兆。十亿曰兆，言其多也。或云从兆谐声也。
【发明】
杲曰︰桃仁苦重于甘，气薄味浓，沉而降，阴中之阳，手、足厥阴经血分药也。苦以泄滞血，甘以生新血，故破凝血者用之。其功有四︰治热入血室，一也；泄腹中滞血，二也；除皮肤血热燥痒，三也；行皮肤凝聚之血，四也。
成无己曰︰肝者血之源，血聚则肝气燥。肝苦急，急食甘以缓之。桃仁之甘以缓肝散血，故张仲景抵当汤用之，以治伤寒八、九日，内有畜血，发热如狂，小腹满痛，小便自利者。又有当汗失汗，热毒深入，吐血及血结胸，烦躁谵语者，亦以此汤主之。与虻虫、水蛭、大黄同用。</x:t>
  </x:si>
  <x:si>
    <x:t xml:space="preserve">红花（红蓝花）
【气味】味辛，性温。
【毒性】无毒
【归经】归心、肝经。
【主治】活血通经，散瘀止痛
【释名】红花（《开宝》）、黄蓝颂曰︰其花红色，叶颇似蓝，故有蓝名。
【发明】
时珍曰︰血生于心包，藏于肝，属于冲任。红花汁与之同类，故能行男子血脉，通女子经水。多则行血，少则养血。按《养 漫笔》云︰新昌徐氏妇，病产晕已死，但胸膈 微热。有名医陆氏曰︰血闷也。得红花数十斤，乃可活。遂亟购得，以大锅煮汤，盛三桶于窗格之下，舁妇寝其上熏之，汤冷再加。有顷指动，半日乃苏。按此亦得唐许胤宗，以黄汤熏柳太后风病之法也。</x:t>
  </x:si>
  <x:si>
    <x:t xml:space="preserve">赤芍（芍药）
【气味】苦，微寒。
【毒性】无毒。
【归经】归肝经。
【主治】清热凉血，散瘀止痛，清肝泻火。
【释名】将离（《纲目》）、犁食（《别录》）、白术（《别录》）、余容（《别录》）、铤（《别录》），白者名金芍药，赤者名木芍药（《图经》）。
时珍曰：芍药，犹约也。约，美好貌。此草花容婥约，故以为名。又《雅翼》言：制食之毒，莫良于芍，故得药名，亦通。
郑风诗云：伊其相谑，赠之以芍药。
《韩诗外传》云：芍药，离草也。董子云：芍药一名将离，故将别赠之。俗呼其花之千叶者，为小牡丹；赤者为木芍药，与牡丹同名也。
【发明】志曰：赤者，利小便下气；白者，止痛散血。
大明曰：赤者补气，白者补血。
弘景曰：赤者小利，俗方以止痛不减当归。白者道家亦服食之，及煮石用。
成无己曰：**白补而赤泻，白收而赤散。酸以收之，甘以缓之，故酸甘相合，用补阴血。收逆气而除肺燥。**又云：芍药之酸，敛津液而益营血，收阴气而泄邪热。
元素曰：**白补赤散，泻肝补脾胃。**酒浸行经，止中部腹痛；与姜同用，温经散湿通塞，利腹中痛，胃气不通。**白芍入脾经补中焦，乃下利必用之药。**盖泻利皆太阴病，故不可缺此。得炙甘草为佐，治腹中痛，夏月少加黄芩，恶寒加桂，此仲景神方也。其用凡六：安脾经，一也；治腹痛，二也；收胃气，三也；止泻痢，四也；和血脉，五也；固腠理，六也。
宗奭曰：芍药须用单叶红花者为佳，然血虚寒人禁之。古人云：减芍药以避中寒。诚不可忽。
震亨曰：芍药泻脾火，性味酸寒，冬月必以酒炒。凡腹痛多是血脉凝涩，亦必酒炒用。然止能治血虚腹痛，余并不治。为其酸寒收敛，无温散之功也。下痢腹痛必炒用，后重者不炒。产后不可用者，以其酸寒伐生发之气也。必不得已，亦酒炒用之。
时珍曰：白芍药益脾，能于土中泻木。赤芍药散邪，能行血中之滞。《日华子》言：赤补气，白治血，欠审矣。产后肝血已虚，不可更泻，故禁之。酸寒之药多矣，何独避芍药耶？以此杲曰：或言古人以酸涩为收，《本经》何以言利小便？曰：芍药能益阴滋湿而停津液，故小便自行，非因通利也。曰：又言缓中何也？曰：损其肝者缓其中，即调血也，故四物汤用芍药。大抵酸涩者为收敛停湿之剂，故主手足太阴经收敛之体，又能治血海而入于九地之下，后至厥阴经。白者色在西方，故补；赤者色在南方，故泻。</x:t>
  </x:si>
  <x:si>
    <x:t xml:space="preserve">苦|甘|酸</x:t>
  </x:si>
  <x:si>
    <x:t xml:space="preserve">牛膝
【气味】苦、甘、酸，平。
【毒性】无毒。
【归经】归 肝、肾经。
【主治】逐瘀通经，补肝肾，强筋骨，利尿通淋，引血下行。
【释名】牛荎（《广雅》）、百倍（《本经》）。
弘景曰︰其茎有节，似牛膝，故以为名。
时珍曰︰《本经》又名百倍，隐语也，言其滋补之功，如牛之多力也。其叶似苋，其节对生，故俗有山苋、对节之称。
【发明】
权曰︰病患虚羸者，加而用之。
震亨曰︰牛膝能引诸药下行，筋骨痛风在下者，宜加用之。凡用土牛膝，春夏用叶，秋冬用根，惟叶汁效尤速。
时珍曰︰牛膝乃足厥阴、少阴之药。所主之病，大抵得酒则能补肝肾，生用则能去恶血，二者而已。其治腰膝骨痛、足痿阴消、失溺久疟、伤中少气诸病，非取其补肝肾之功欤？其症瘕心腹诸痛、按陈日华《经验方》云︰方夷吾书云︰老人久苦淋疾，百药不效。偶见临汀《集要方》中用牛膝者，服之而愈。又叶朝议亲人患血淋，流下小便在盆内凝如 ，膝根煎浓汁，日饮五服，名地髓汤。虽未即愈，而血色渐淡，久乃复旧。后十年病又作，服之又瘥。因检本草，见《肘后方》治小便不利，茎中痛欲死，用牛膝并叶，以酒煮服之。今再拈出，表其神功。又按杨士瀛《直指方》云︰小便淋痛，或尿血，或沙石胀痛。用川牛膝一两，水二盏，煎一盏，温服。一妇患此十年，服之得效。杜牛膝亦可，或入麝香、乳香尤良。</x:t>
  </x:si>
  <x:si>
    <x:t xml:space="preserve">柴胡（茈胡）
【气味】味苦、辛，性微寒。
【毒性】无毒。
【归经】归肝、胆、肺经。
【主治】疏散退热，疏肝解郁，升举阳气。
【释名】地熏（《本经》）、芸蒿（《别录》）、山菜（《吴普》）、茹草（《吴普》）。
恭曰：茈，是古柴字。《上林赋》云茈姜，及《尔雅》云茈草，并作此茈字。此草根紫色，今太常用茈胡是也。又以木代系，相承呼为柴胡。且检诸本草无名此者。
时珍曰：茈字，有柴、紫二音。茈姜、茈草之茈，皆音紫；茈胡之茈，音柴。茈胡生山中，嫩则可茹，老则采而为柴，故苗有芸蒿、山菜、茹草之名，而根名柴胡也。苏恭之说殊欠明。古本张仲景《伤寒论》，尚作茈字也
【发明】
之才曰：茈胡，得茯苓、桔梗、大黄、石膏、麻子仁、甘草、桂。以水一斗，煮取四升入硝石三方寸匕，疗伤寒寒热头痛，心下烦满。
颂曰：张仲景治伤寒，有大、小柴胡，及柴胡加龙骨、柴胡加芒硝等汤，故后人治寒热，此为最要之药。
杲曰：能引清气而行阳道，伤寒外，诸有热则加之，无热则不加也。又能引胃气上行、升腾而行春令者，宜加之。又凡诸疟，以柴胡为君，随所发时所在经分，佐以引经之药。十二经疮疽中，须用柴胡以散诸经血结气聚，功与连翘同也。
好古曰：柴胡能去脏腑内外俱乏，既能引清气上行而顺阳道，又入足少阳。在经主气，在脏主血。证前行则恶热，却退则恶寒。惟气之微寒，味之薄者，故能行经。若佐以三棱、广术、巴豆之类，则能消坚积，是主血也。妇人经水适来适断，伤寒杂病，易老俱用小柴胡汤，加以四物之类，并秦艽、牡丹皮辈，为调经之剂。又言妇人产后血热必用之药也。
宗奭曰：柴胡，《本经》并无一字治劳，今人治劳方中鲜有不用者。呜呼﹗凡此误世甚多。尝原病劳，有一种其脏虚损，复受邪热，因虚而致劳，故曰劳者牢也，当须斟酌用之。如《经验方》中治劳热青蒿煎之用柴胡，正合宜尔，服之无不效，热去即须急止。若或无热，得此愈甚，虽至死，人亦不怨，目击甚多。《日华子》又谓补五劳七伤，《药性论》亦谓治劳乏羸瘦。若此等病，苟无实热，医者执而用之，不死何待？注释本草，一字亦不可忽。 盖万世之后，所误无穷，可不谨哉？如张仲景治寒热往来如疟状，用柴胡汤，正合其宜也。
时珍曰：劳有五劳，病在五脏。若劳在肝、胆、心，及包络有热，或少阳经寒热者，则柴胡乃手足厥阴、少阳必用之药；劳在脾胃有热，或阳气下陷，则柴胡乃引清气、退热必用之药；惟劳在肺、肾者，不用可尔。然东垣李氏言诸有热者，宜加之；无热，则不加。又言诸经之疟，皆以柴胡为君。十二经疮疽，须用柴胡以散结聚。则是肺疟、肾疟，十二经之疮，有热者皆可用之矣。但要用者精思病原，加减佐使可也。寇氏不分脏腑经络、有热无热，乃谓柴胡不治劳乏，一概摈斥，殊非通论。如《和剂局方》治上下诸血，龙脑鸡苏丸，用银柴胡浸汁熬膏之法，则世人知此意者鲜矣。按：庞元英《谈薮》云：张知 久病疟，热时如火，年余骨立。医用茸、附诸药，热益甚。召医官孙琳诊之。琳投小柴胡汤一帖，热减十之九，三服脱然。琳曰：此名劳疟，热从髓出，加以刚剂，气血愈亏，安得不瘦？盖热有在皮肤、在脏腑、在骨髓，非柴胡不可。若得银柴胡，只须一服；南方者力减，故三服乃效也。观此，则得用药之妙的矣。寇氏之说，可尽凭乎？</x:t>
  </x:si>
  <x:si>
    <x:t xml:space="preserve">天门冬
【气味】味甘、苦，性寒。
【毒性】无毒。
【归经】归肺、肾经。
【主治】养阴润燥，清肺生津。
【释名】虋冬（音门《尔雅》）、颠勒（《本经》）、天棘（《纲目》）、万岁藤（《救荒》）。
禹锡曰︰按︰《尔雅》云︰蔷蘼，虋冬。注云︰门冬也，一名满冬。《抱朴子》云︰一名颠棘，或名地门冬，或名筵门冬。在东岳名淫羊藿；在中岳名天门冬；在西岳名管松；在北岳，名无不愈；在南岳名百部；在京陆山阜名颠棘；在越人，名浣草。虽处处有之，其名不同，其实一也。别有百部草，其根有百许如一，而苗小异，其苗似菝 ，惟可治咳，不中服食，须分别之。
时珍曰︰草之茂者为 ，俗作门。此草蔓茂，而功同麦门冬，故曰天门冬，或曰天棘。《尔雅》云︰髦，颠棘也。因其细叶如髦，有细棘也。颠、天，音相近也。按︰《救荒本草》云︰俗名万岁藤，又名娑萝树。其形与治肺之功颇同百部，故亦名百部也。蔷蘼乃营实苗，而《尔雅》指为虋冬，盖古书错简也。
【发明】
权曰︰天门冬冷而能补，患人体虚而热者，宜加用之。和地黄为使，服之耐老头不白。
宗奭曰︰治肺热之功为多。其味苦，专泄而不专收，寒多人禁服之。
元素曰︰苦以泄滞血，甘以助元气，及治血妄行，此天门冬之功也。保定肺气，治血热侵肺，上气喘促，宜加人参、黄耆为主，用之神效。
嘉谟曰︰天、麦门冬并入手太阴，祛烦解渴，止咳消痰。而麦门冬兼行手少阴，清心降火，使肺不犯邪，故止咳立效。天门冬复走足少阴，滋肾助元，全其母气，故消痰殊功。盖肾主津液，燥则凝而为痰，得润剂则化，所谓治痰之本也。
好古曰︰入手太阴、足少阴经。营卫枯涸，宜以湿剂润之。二门冬、人参、五味、枸杞子同为生脉之剂，此上焦独取寸口之意。
赵继宗曰︰五药虽为生脉之剂，然生地黄、贝母为天门冬之使；地黄、车前，为麦门冬之使；茯苓，为人参之使。若有君无使，是独行无功也。故张三丰与胡KT 尚书长生不方，用天门冬三斤，地黄一斤， 乃有君而有使也。
禹锡曰︰《抱朴子》言︰入山便可以天门冬蒸煮，啖之，取足以断谷。若有力可饵之，或作散、酒服，或捣汁作液、膏服。至百日丁壮兼倍，快于术及黄精也。二百日强筋髓，驻颜色。与炼成松脂同蜜丸服，尤善。杜紫微服之，御八十外家，一百四十岁，日行三百里。
慎微曰︰《列仙传》云︰赤须子食天门冬，齿落更生，细发复出。太原甘始服天门冬，在人间三百馀年。《圣化经》云︰以天门冬、茯苓等分，为末，日服方寸匕。则不畏寒，大寒时单衣汗出也。
时珍曰︰天门冬清金降火，益水之上源，故能下通肾气，入滋补方，合群药用之有效。若脾胃虚寒人，单饵既久，必病肠滑，反成痼疾。此物性寒而润，能利大肠故也。</x:t>
  </x:si>
  <x:si>
    <x:t xml:space="preserve">甘|苦|咸</x:t>
  </x:si>
  <x:si>
    <x:t xml:space="preserve">玄参
【气味】味甘、苦、咸，性微寒。
【毒性】无毒。
【归经】归肺、胃、肾经。
【主治】清热凉血，滋阴降火，解毒散结。
【释名】黑参（《纲目》）、玄台（《吴普》）、重台（《本经》）、鹿肠（《吴普》）、正马（《别录》）、逐马（《药性》）、馥草（《开宝》）、野脂麻（《纲目》）、鬼藏（《吴普》）。时珍曰︰玄，黑色也。《别录》一名端，一名咸，多未详。
弘景曰︰其茎微似人参，故得参名。志曰︰合香家用之，故俗呼馥草。
【发明】
元素曰︰玄参乃枢机之剂，管领诸气上下，清肃而不浊，风药中多用之。故《活人书》治伤寒阳毒，汗下后毒不散，及心下懊 ，烦不得眠，心神颠倒欲绝者，俱用玄参。以此论之，治胸中氤氲之气，无根之火，当以玄参为圣剂也。
时珍曰︰肾水受伤，真阴失守，孤阳无根，发为火病。法宜壮水以制火，故玄参与地黄同功。其消瘰 亦是散火，刘守真言︰结核是火病。</x:t>
  </x:si>
  <x:si>
    <x:t xml:space="preserve">丹参
【气味】味苦，性微寒。
【毒性】无毒。
【归经】归心、肝经。
【主治】活血祛瘀，通经止痛，清心除烦，凉血消痈。
【释名】赤参（《别录》）、山参（《日华》）、 蝉草（《本经》）、木羊乳（《吴普》）、逐马（弘景）、奔马草（《四声》）。
时珍曰︰五参五色配五脏。故人参入脾，曰黄参；沙参入肺，曰白参；玄参入肾，曰黑参；牡蒙入肝，曰紫参；丹参入心，曰赤参。其苦参，则右肾命门之药也。古人舍紫参而称苦参，未达此义尔。炳曰︰丹参治风软脚，可逐奔马，故名奔马草。曾用，实有效。
【发明】
时珍曰︰丹参色赤味苦，气平而降，阴中之阳也。入手少阴、厥阴之经，心与包络血分药也。按︰《妇人明理论》云︰四物汤治妇人病，不问产前、产后，经水多少，皆可通用。惟一味丹参散，主治与之相同。盖丹参能破宿血，补新血，安生胎，落死胎，止崩中带下，调经脉，其功大类当归、地黄、芎 、芍药故也。</x:t>
  </x:si>
  <x:si>
    <x:t xml:space="preserve">黄连
【气味】味苦，大寒。
【毒性】无毒。
【归经】归心、脾、胃、肝、胆、大肠经。
【主治】清热燥湿，泻火解毒。
【释名】王连（《本经》）、支连（《药性》）。
时珍曰：其根连珠而色黄，故名。
【发明】元素曰：黄连性寒味苦，气味俱浓，可升可降，阴中阳也，入手少阴经。其用有六：泻心脏火，一也；去中焦湿热，二也；诸疮必用，三也；去风湿，四也；赤眼暴发，五也；止中部见血，六也。张仲景治九种心下痞，五等泻心汤，皆用之。
成无己曰：苦入心，寒胜热，黄连、大黄之苦寒，以导心下之虚热。蛔得甘则动，得苦 则安，黄连、黄柏之苦，以安蛔也。
好古曰：黄连苦燥，苦入心，火就燥。泻心者，其实泻脾也，实则泻其子也。
震亨曰：黄连，去中焦湿热而泻心火。若脾胃气虚，不能转运者，则以茯苓、黄芩代之。以猪胆汁拌炒，佐以龙胆草，则大泻肝胆之火。下痢胃口热禁口者，用黄连、人参煎汤，终日呷之，如吐再强饮，但得一呷下咽便好。
刘完素曰：古方以黄连为治痢之最。盖治痢惟宜辛苦寒药，辛能发散开通郁结，苦能燥 湿，寒能胜热，使气宣平而已。诸苦寒药多泄，惟黄连、黄柏性冷而燥，能降火去湿而止泻痢，故治痢以之为君。
宗奭曰：今人多用黄连治痢，盖执以苦燥之义。下俚但见肠虚渗泄，微似有血，便即用之，又罔顾寒热多少，惟欲尽剂，由是多致危困。若气实初病，热多血痢，服之便止，不必 尽剂。虚而冷者，慎勿轻用。
杲曰：诸痛痒疮疡，皆属心火。凡诸疮宜以黄连、当归为君，甘草、黄芩为佐。凡眼暴 发赤肿，痛不可忍者，宜黄连、当归以酒浸煎之。宿食不消，心下痞满者，须用黄连、枳实。
颂曰：黄连治目方多，而羊肝丸尤奇异。今医家洗眼，以黄连、当归、芍药等分，用雪 水或甜水煎汤热洗之，冷即再温，甚益眼目。但是风毒赤目花翳，用之无不神效。盖眼目之病，皆是血脉凝滞使然，故以行血药合黄连治之。血得热则行，故乘热洗也。
韩 曰：火分之病，黄连为主，不但泻心火，而与芩、柏诸苦药例称者比也。目疾，入以人乳浸蒸，或点或服之。生用为君，佐以官桂少许，煎百沸，入蜜空心服之，能使心肾 交于顷刻。入五苓、滑石，大治梦遗。以黄土、姜汁、酒、蜜四炒为君，以使君子为臣，白芍药酒煮为佐，广木香为使，治小儿五疳。以茱萸炒者，加木香等分，生大黄倍之，水丸，治五痢。此皆得制方之法也。
时珍曰：黄连，治目及痢为要药。古方治痢：香连丸，用黄连、木香；姜连散，用干姜、黄连；变通丸，用黄连、茱萸；姜黄散，用黄连、生姜。治消渴，用酒蒸黄连；治伏暑，用酒煮黄连；治下血，用黄连、大蒜；治肝火，用黄连、茱萸；治口疮，用黄连、细辛。皆是一冷一热，一阴一阳，寒因热用，热因寒用，君臣相佐，阴阳相济，最得制方之妙，所以有成功而无偏胜之害也。
弘景曰：俗方多用黄连治痢及渴，道方服食长生。
慎微曰：刘宋王微《黄连赞》云：黄连味苦，左右相因。断凉涤暑，阐命轻身。缙云昔御，飞跸上 。不行而至，吾闻其人。又梁江淹《黄连颂》云：黄连上草，丹砂之次。御孽 辟妖，长灵久视。骖龙行天，驯马匝地。鸿飞以仪，顺道则利。
时珍曰：《本经》、《别录》并无黄连久服长生之说，惟陶弘景言道方久服长生。
《神仙传》载封君达、黑穴公，并服黄连五十年得仙。窃谓黄连大苦大寒之药，用之降火燥 湿，中病即当止。岂可久服，使肃杀之令常行，而伐其生发冲和之气乎？《素问》载岐伯言 ：五味入胃，各归所喜攻。久而增气，物化之常也。气增而久，夭之由也。王冰注云：酸入肝为温，苦入心为热，辛入肺为清，咸入肾为寒，甘入脾为至阴而四气兼之，皆增其味而益其气，故各从本脏之气为用。所以久服黄连、苦参反热，从火化也，余味皆然。久则脏气偏 胜，即有偏绝，则有暴夭之道。是以绝粒服饵之人不暴亡者，无五味偏助也。又秦观与乔希 圣论黄连书云：闻公以眼疾饵黄连，至十数两犹不巳，殆不可也。医经有久服黄连、苦参反 热之说。此虽大寒，其味至苦，入胃则先归于心，久而不己，心火偏胜则热，乃其理也。况 眼疾本于肝热，肝与心为子母。心火也，肝亦火也，肾孤脏也，人患一水不胜二火。岂可久 服苦药，使心有所偏胜，是以火救火，其可乎？秦公此书，盖因王公之说而推详之也。我明荆端王素多火病，医令服金花丸，乃芩、连、栀、柏四味，饵至数年，其火愈炽，遂至内障 丧明。观此，则寒苦之药，不但使人不能长生，久则气增偏胜，速夭之由矣。当以《素问》 之言为法，陶氏道书之说，皆谬谈也。杨士瀛云：黄连能去心窍恶血。</x:t>
  </x:si>
  <x:si>
    <x:t xml:space="preserve">龙眼
【气味】味甘，性温。
【毒性】无毒。
【归经】归心、脾经。
【主治】补益心脾，养血安神。
【释名】龙目（《吴普》）、圆眼（俗名）、益智（《本经》）、亚荔枝（《开宝》）、荔枝奴、骊珠、燕卵、蜜脾、鲛泪、时珍曰︰龙眼、龙目，象形也。《吴普本草》谓之龙目，又曰比目。曹宪《博雅》谓之益智。
弘景曰︰广州有龙眼，非益智也，恐彼人别名耳。
志曰︰甘味归脾，能益人智，故名益智，非今之益智子也。
颂曰︰荔枝才过，龙眼即熟，故南人目为荔枝奴。又名木弹。晒干寄远，北人以为佳果，目为亚荔枝。
【发明】
时珍曰︰食品以荔枝为贵，而资益则龙眼为良。盖荔枝性热，而龙眼性和平也。严用和《济生方》，治思虑劳伤心脾有归脾汤，取甘味归脾、能益人智之义。</x:t>
  </x:si>
  <x:si>
    <x:t xml:space="preserve">木香
【气味】味辛、苦，性温。
【毒性】无毒。
【归经】归脾、胃、大肠、三焦、胆经。
【主治】行气止痛，健脾消食。
【释名】蜜香（《别录》）、青木香（弘景）、五木香（《图经》）、南木香（《纲目》）。
时珍曰︰木香，草类也。本名蜜香，因其香气如蜜也。缘沉香中有蜜香，遂讹此为木香尔。昔人谓之青木香。后人因呼马兜铃根为青木香，乃呼此为南木香、广木香以别之。今人又呼一种蔷薇为木香，愈乱真矣。《三洞珠囊》云︰五香者，即青木香也。一株五根，一茎五枝，一枝五叶，叶间五节，故名五香，烧之能上彻九天也。古方治痈疽有五香连翘汤，内用青木香。《古乐府》云︰氍毹 五木香，皆指此也。
颂曰︰《修养书》云︰正月一日取五木煮汤以浴，令人至老须发黑。徐锴注云︰道家谓青木香为五香，亦云五木，多以为浴是矣。《金光明经》谓之矩琵佗香。
【发明】
弘景曰︰青木香，大秦国人以疗毒肿、消恶气有验。今惟制蛀虫丸用之。常以煮汁沐浴大佳。
宗奭曰︰木香专泄决胸腹间滞塞冷气，他则次之。得橘皮、肉豆蔻、生姜相佐使绝佳，效尤速。
元素曰︰木香除肺中滞气，若治中、下二焦气结滞，及不转运，须用槟榔为使。
震亨曰︰调气用木香，其味辛，气能上升，如气郁不达者宜之。若阴火冲上者，则反助 火邪，当用黄柏、知母，而少以木香佐之。
好古曰︰本草云︰主气劣，气不足，补也；通壅气，导一切气，破也。安胎，健脾胃，补也；除 癖症块，破也。其不同如此。洁古张氏 机曰︰与补药为佐则补，与泄药为君则泄也。
时珍曰︰木香乃三焦气分之药，能升降诸气。诸气 郁，皆属于肺，故上焦气滞用之者，乃金郁则泄之也。中气不运，皆属于脾，故中焦气滞宜之者，脾胃喜芳香也。大肠气滞则后重，膀胱气不化则癃淋，肝气郁则为痛，故下焦气滞者宜之，乃塞者通之也。
权曰︰《隋书》言︰樊子盖为武威太守，车驾入吐谷浑，子盖以彼多瘴气，献青木香以御雾露之邪。
颂曰︰《续传信方》著张仲景青木香丸，主阳衰诸不足。用昆仑青木香、六路诃子皮各二十两。捣筛，糖和丸梧桐子大。每空腹酒下三十丸，日再，其效尤速。郑驸马去沙糖用白蜜，加羚羊角十二两。用药不类古方，而云仲景，不知何从而得也？</x:t>
  </x:si>
  <x:si>
    <x:t xml:space="preserve">龙胆草（龙胆）
【气味】味苦，性寒。
【毒性】无毒。
【归经】归肝、胆经。
【主治】清热燥湿，泻肝胆火。
【释名】陵游（《本经》）。
志曰：叶如龙葵，味苦如胆，因以为名。
【发明】
元素曰：龙胆味苦性寒，气味俱浓，沉而降，阴也，足厥阴、少阳经气分药也。其用有四：除下部风湿，一也；及湿热，二也；脐下至足肿痛，三也；寒湿脚气，四也。 下行之功与防己同，酒浸则能上行，外行以柴胡为主，龙胆为使治眼中疾必用之药。好古曰：益肝胆之气而泄火。
时珍曰：相火寄在肝胆，有泻无补，故龙胆之益肝胆之气，正以其能泻肝胆之邪热也。但大苦大寒，过服恐伤胃中生发之气，反助火邪，亦久服黄连反从火化之义。《别录》久服轻身之说，恐不足信。</x:t>
  </x:si>
  <x:si>
    <x:t xml:space="preserve">泽泻
【气味】味甘、淡，性寒。
【毒性】无毒。
【归经】归肾、膀胱经。
【主治】利小便，清湿热，泄肾浊。
【释名】水泻（《本经》）、鹄泻（《本经》）、及泻（《别录》）、蕍（音俞）、芒芋（《本经》）、禹孙（《侯氏药谱》）。
时珍曰︰去水曰泻，如泽水之泻也。禹能治水，故曰禹孙。馀未详。
【发明】
颂曰︰《素问》治酒风身热汗出，用泽泻、术；《深师方》治支饮，亦用泽泻、术，但煮法小别尔。张仲景治杂病，心下有支饮苦冒，有泽泻汤，治伤寒有大小泽泻汤、五苓散辈，皆用泽泻，行利停水，为最要药。元素曰︰泽泻乃除湿之圣药，入肾经，治小便淋沥，去阴间汗。无此疾服之，令人目
宗奭曰︰泽泻之功，长于行水。张仲景治水蓄渴烦，小便不利，或吐或泻，五苓散主之，方用泽泻，故知其长于行水。本草引扁鹊云︰多服病患眼。诚为行去其水也。凡服泽泻散人，未有不小便多者。小便既多，肾气焉得复实？今人止泄精，多不敢用之。仲景八味丸用之者，亦不过引接桂、附等，归就肾经，别无他意。
好古曰︰《本经》云久服明目，扁鹊云多服昏目，何也？易老云︰去脬中留垢，以其味咸能泻伏水故也。泻伏水，去留垢，故明目；小便利，肾气虚，故昏目。
王履曰︰寇宗奭之说，王好古韪之。窃谓八味丸以地黄为君，余药佐之，非止补血，兼补气也，所谓阳旺则能生阴血也。地黄、山茱萸、茯苓、牡丹皮皆肾经之药，附子、官桂乃右肾命门之药，皆不待泽泻之接引而后至也。则八味丸之用此，盖取其泻肾邪，养五脏，益气力，起阴气，补虚损五劳之功而已。虽能泻肾，从于诸补药群众之中，则亦不能泻矣。
时珍曰︰泽泻气平，味甘而淡。淡能渗泄，气味俱薄，所以利水而泄下。脾胃有湿热，则头重而目昏耳鸣。泽泻渗去其湿，则热亦随去，而土气得令，清气上行，天气明爽，故泽泻有养五脏、益气力、治头旋、聪明耳目之功。若久服，则降令太过，清气不升，真阴潜耗，安得不目昏耶？仲景地黄丸用茯苓、泽泻者，乃取其泻膀胱之邪气，非引接也。古人用补药必兼泻邪，邪去则补药得力，一辟一阖，此乃玄妙。后世不知此理，专一于补，所以久服必致偏胜之害也﹗</x:t>
  </x:si>
  <x:si>
    <x:t xml:space="preserve">肝|脾|肺|肾</x:t>
  </x:si>
  <x:si>
    <x:t xml:space="preserve">车前子（车前）
【气味】味甘，性寒。
【毒性】无毒。
【归经】归肝、肾、肺、小肠经。
【主治】清热利尿，渗湿止泻，明目，清肺化痰。
【释名】当道（《本经》）、芣苡（音浮以）、马舄（音昔）、牛遗（并《别录》）、牛舌（《诗疏》）、车轮菜（《救荒》）、地衣（《纲目》）、蛤蟆衣（《别录》）。
时珍曰︰按《尔雅》云︰芣苡，马舄。马舄，车前。陆玑《诗疏》云︰此草牛马迹中，故有车前、当道、马舄、牛遗之名。舄，足履也。幽州人谓之牛舌草。虾蟆喜藏伏于下，故江东称为虾蟆衣。又《韩诗外传》言︰直曰车前；瞿曰芣苡，恐亦强说也生于两旁者。
【发明】
弘景曰︰车前子性冷利，仙经亦服饵之，云令人身轻，能跳越岸谷，不老长生也。
颂曰︰车前子入药最多。驻景丸用车前、菟丝二物，蜜丸食下服，古今以为奇方也。
好古曰︰车前子，能利小便而不走气，与茯苓同功。
时珍曰︰按《神仙服食经》云︰车前一名地衣，雷之精也，服之形化，八月采之。今车前五月子已老，而云七八月者，地气有不同尔。唐《张籍诗》云︰开州午月，皆道有神。惭愧文君怜病眼，三千里外寄闲人。观此亦以五月采开州者为良，又可见其治目之功。大抵入服食，须佐他药，如六味地黄丸之用泽泻可也。若单用则泄太过，恐非久服之物。欧阳公常得暴下病，国医不能治。夫人买市人药一帖，进之而愈。力叩其方，则车前子一味为末，米饮服二钱匕。云此药利水道而不动气，水道利则清浊分，而谷藏自止矣。</x:t>
  </x:si>
  <x:si>
    <x:t xml:space="preserve">茴香
【气味】味辛，性温。
【毒性】无毒。
【归经】归肝、肾、脾、胃经。
【主治】散寒止痛，理气和胃。
【释名】茴香（《图经》），八月珠（《侯氏药谱》）。
颂曰： 香，北人呼为茴香，声相近也。
思邈曰：煮臭肉，下少许，即无臭气，臭酱入末亦香，故曰茴香。
时珍曰：俚俗多怀之衿衽咀嚼，恐 香之名，或以此也。
【发明】诜曰：茴香，国人重之，云有助阳道，未得其方法也。
好古曰：茴香，本治膀胱药，以其先丙，故曰小肠也，能润丙燥；以其先戊，故从丙至壬，又手、足少阴二药，以开上下经之通道，所以壬与丙交也。
时珍曰：小茴香性平，理气开胃，夏月祛蝇辟臭，食料宜之。大茴香性热，多食伤目发疮，食料不宜过用。古方有去铃丸：用茴香二两，连皮生姜四两，同入坩器内腌一伏时，慢火炒之，入盐一两，为末，糊丸梧子大。每服三、五十丸，空心盐酒下。此方本治脾胃虚弱病。茴香得盐则引入肾经，发出邪气。肾不受邪，病自不生也。亦治小肠疝气有效。</x:t>
  </x:si>
  <x:si>
    <x:t xml:space="preserve">枸杞子（枸杞地骨皮）
【气味】味甘，性平。
【毒性】无毒。
【归经】归肝、肾经。
【主治】滋补肝肾，益精明目。
【释名】枸 （《尔雅》。音计。《本经》作枸忌）、枸棘（《衍义》）、苦杞（《诗疏》）、红菜头（《图经》）、天精（《抱朴》）、地骨（《本经》）、地辅（《本经》）、地仙（《日华》）、却暑（《别录》）。
时珍曰︰枸、杞二树名。此物棘如枸之刺，茎如杞之条，故兼名之。道书言︰千载枸杞，其形如犬，故得枸名，未审然否？
颂曰︰仙人杖有三种︰一是枸杞；一是菜类，叶似苦苣；一是枯死竹竿之色黑者也。
【发明】
弘景曰︰枸杞叶作羹，小苦。俗谚云︰去家千里，勿食萝摩、枸杞。此言二物补益精气，强盛阴道也。枸杞根、实为服食家用，其说甚美，名为仙人之杖，远有旨乎？
颂曰︰茎、叶及子，服之轻身益气。《淮南枕中记》载︰西河女子服枸杞法︰正月上寅采根，二月上卯治服之；三月上辰采茎，四月上巳治服之；五月上午采其叶，六月上未治服之；七月上申采花，八月上酉治服之；九月上戌采子，十月上亥治服之；十一月上子采根，十二月上丑治服之。又有花、实、根、茎、叶作煎，或单榨子汁煎膏服之者，其功并同。世传蓬莱县南丘村多枸杞，高者一、二丈，其根盘结甚固。其乡人多寿考，亦饮食其水土之气使然。又润州开元寺大井旁生枸杞，岁久。土人目为枸杞井，云饮其水甚益人也。
𢽾曰︰其根似物形状者为上。
时珍曰︰按︰刘禹锡《枸杞井诗》云︰僧房药树依寒井，井有清泉药有灵。翠黛叶生笼石，殷红子熟照铜瓶。枝繁本是仙人杖，根老能成瑞犬形。上品功能甘露味，还知一勺可延龄。又《续仙传》云︰朱孺子见溪侧二花犬，逐入于枸杞丛下。掘之得根，形如二犬。烹而食之，忽觉身轻。周密《浩然斋日抄》云︰宋徽宗时，顺州筑城，得枸杞于土中，其形如状，驰献阙下，乃仙家所谓千岁枸杞，其形如犬者。据前数说，则枸杞之滋益不独子，而根亦不止于退热而已。但根、苗、子之气味稍殊，而主治亦未必无别。盖其苗乃天精，苦甘而凉，上焦心肺客热者宜之；根乃地骨，甘淡而寒，下焦肝肾虚热者宜之。此皆三焦气分之药，所谓热淫于内、泻以甘寒也。至于子则甘平而润，性滋而补，不能退热，只能补肾润肺，生精益气。此乃平补之药，所谓精不足者、补之以味也。分而用之，则各有所主；兼而用之，则一举两得。世人但知用黄芩、黄连，苦寒以治上焦之火；黄柏、知母，苦寒以治下焦阴火。
谓之补阴降火，久服致伤元气。而不知枸杞、地骨甘寒平补，使精气充而邪火自退之妙，惜哉﹗予尝以青蒿佐地骨退热，屡有殊功，人所未喻者。兵部尚书刘松石，讳天和，麻城人。
所集《保寿堂方》载地仙丹云︰昔有异人赤脚张，传此方于猗氏县一老人，服之寿百馀，行走如飞，发白反黑，齿落更生，阳事强健。此药性平，常服能除邪热，明目轻身。春采枸杞叶，名天精草；夏采花，名长生草；秋采子，名枸杞子；冬采根，名地骨皮。并阴干，用无灰酒浸一夜，晒露四十九昼夜，取日精月华气，待干为末，炼蜜丸如弹子大。每早晚各用一丸细嚼，以隔夜百沸汤下。此药采无刺味甜者，其有刺者服之无益。</x:t>
  </x:si>
  <x:si>
    <x:t xml:space="preserve">乌药
【气味】味辛，性温。
【毒性】无毒。
【归经】归肺、脾、肾、膀胱经。
【主治】行气止痛，温肾散寒。
【释名】旁其（《拾遗》）、鳑魮（《纲目》）、矮樟（《纲目》）。
时珍曰︰乌以色名。其叶状似 鲫鱼，故俗呼为 树。《拾遗》作旁其，方音讹也。南人亦呼为矮樟，其气似樟也。
【发明】
宗奭曰︰乌药性和，来气少，走泄多，但不甚刚猛。与沉香同磨作汤点服，治胸腹冷气甚稳当。
时珍曰︰乌药辛温香窜，能散诸气。故《惠民和剂局方》治中风中气诸证，用乌药顺气散者，先疏其气，气顺则风散也。严用和《济生方》治七情郁结，上气喘急，用四磨汤者，降中兼升，泻中带补也。其方以人参、乌药、沉香、槟榔各磨浓汁七分，合煎，细细咽之。
《朱氏集验方》治虚寒小便频数，缩泉丸，用同益智子等分为丸服者，取其通阳明、少阴经也，方见草部益智子下。</x:t>
  </x:si>
  <x:si>
    <x:t xml:space="preserve">沉香
【气味】味辛、苦，性微温。
【毒性】无毒。
【归经】归脾、胃、肾经。
【主治】行气止痛，温中止呕，纳气平喘。
【释名】沉水香（《纲目》）、蜜香（《南越志》）。
时珍曰︰木之心节置水则沉，故名沉水，亦曰水沉。半沉者为栈香，不沉者为黄熟香。
《南越志》言︰交州人称为蜜香，谓其气如蜜脾也。梵书名阿迦香。
【发明】</x:t>
  </x:si>
  <x:si>
    <x:t xml:space="preserve">辛|苦|甘</x:t>
  </x:si>
  <x:si>
    <x:t xml:space="preserve">香附（莎根，香附子）
【气味】味辛、微苦、微甘，性平。
【毒性】无毒。
【归经】归肝、脾、三焦经。
【主治】疏肝解郁，理气宽中，调经止痛。
【释名】雀头香（《唐本》）、草附子（《图经》）、水香棱（《图经》）、水巴戟（《图经》）、水莎（《图经》）、侯莎（《尔雅》）、莎结（《图经》）、夫须（《别录》）、续根草（《图经》）、地毛（《广雅》）。
时珍曰︰《别录》止云莎草，不言用苗用根。后世皆用其根，名香附子，而不知莎草之名也。其草可为笠及雨衣，疏而不沾，故字从草从沙。亦作蓑字，因其为衣垂 ，如孝子衰衣之状，故又从苔乃笠名，贱夫所须也。其根相附连续而生，可以合香，故谓之香附子。上古谓之雀头香。 按《江表传》云︰魏文帝遣使于吴求雀头香，即此。其叶似三棱及巴戟，而生下湿地，故有水三棱、水巴戟之名。俗人呼为雷公头。《金光明经》谓之月萃哆。《记事珠》谓之抱灵居士。
【发明】好古曰︰香附治膀胱两胁气妨，心忪少气，是能益气，乃血中之气药也。本草不言治崩漏，而方中用治崩漏，是能益气而止血也。又能逐去瘀血，是推陈也。正如巴豆治大便不通而又止泄泻同意。又云︰香附阳中之阴，血中之气药，凡气郁血气必用之。炒黑能止血治崩漏，此妇人之仙药也。多服亦能走气。
震亨曰︰香附须用童子小便浸过，能总解诸郁，凡血气必用之药，引至气分而生血，此正阴生阳长之义。本草不言补，而方家言于老人有益，意有存焉。盖于行中有补理。天之所以为天者，健而有常也。健运不息，所以生生无穷，即此理尔。今即香中亦用之。
时珍曰︰香附之气平而不寒，香而能窜。其味多辛能散，微苦能降，微甘能和。乃足厥 阴肝、手少阳三焦气分主药，而兼通十二经气分。生则上行胸膈，外达皮肤；熟则下走肝肾，外彻腰足。炒黑则止血，得童溲浸炒则入血分而补虚，盐水浸炒则入血分而润燥，青盐炒则补肾气，酒浸炒则行经络，醋浸炒则消积聚，姜汁炒则化痰饮。得参、术，则补气；得归、，则补血；得木香，则疏滞和中；得檀香则理气醒脾，得沉香则升降诸气，得芎 、苍术 则总解诸郁，得栀子、黄连则能降火热，得茯神则交济心肾，得茴香、破故纸则引气归元，得浓朴、半夏则决壅消胀，得紫苏、葱白则解散邪气，得三棱、莪术则消磨积块，得艾叶则治血气暖子宫，乃气病之总司，女科之主帅也。飞霞子韩 云︰香附能推陈致新，故诸书皆云益气。而俗有耗气之说，宜于女人不宜于男子者，非矣。盖妇人以血用事，气行则无疾。 老人精枯血闭，惟气是资。小儿气日充，则形乃日固。大凡病则气滞而馁，故香附于气分为君药，世所罕知。臣以参、 ，佐以甘草，治虚怯甚速也。 游方外时，悬壶轻赉，治百病黄鹤丹，治妇人青囊丸，随宜用引，辄有小效。人索不已，用者当思法外意可也。黄鹤丹乃铢衣翁在黄鹤楼所授之方，故名。其方用香附一斤，黄连半斤，洗晒为末，水糊丸梧子大。 假如外感，葱姜汤下；内伤，米饮下；气病，木香汤下；血病，酒下；痰病，姜汤下；火病，白汤下。余可类推。青囊丸乃邵应节真人祷母病，感方士所授者。方用香附（略炒）一斤，乌药（略炮）五两三钱，为末，水醋煮面糊为丸。随证用引，如头痛，茶下；痰气，姜汤下；多用酒下，为妙。</x:t>
  </x:si>
  <x:si>
    <x:t xml:space="preserve">五灵脂
【气味】味甘、苦、咸，性温。
【毒性】无毒
【归经】归肝经。
【主治】活血止痛，化瘀止血。
【释名】鹖鴠、独舂。屎名五灵脂。
时珍曰：杨氏《丹铅录》谓寒号虫即鹖鴠，今从之。鹖鴠，《诗》作盍旦，《礼》作曷旦，《说文》作䳚鴠，《广志》作侃旦，《唐诗》作渴旦，皆随义借名耳。扬雄《方言》云：鹖鴠，自关而西谓之鹖鴠；自关而东谓之城旦，亦曰倒悬。周、魏、宋、楚谓之独舂。郭璞云：鹖鴠，夜鸣求旦之鸟。夏月毛盛，冬月裸体，昼夜鸣叫，故曰寒号，曰鹖旦。古刑有城旦舂，谓昼夜舂米也。故又有城旦、独舂之名。《月令》云：仲冬，曷旦不鸣。盖冬至阳生渐暖故也。其屎名五灵脂者，谓状如凝脂而受五行之灵气也。
【发明】
宗奭曰︰五灵脂引经有功，不能生血，此物入肝最速也。尝有人病目中翳。往来不定，此乃血所病也。肝受血则能视，目病不治血，为背理也。用五灵脂之药而愈。又有人被毒蛇所伤，良久昏愦。一老僧以酒调药二钱灌之，遂苏。仍以滓敷咬处，少顷复灌二钱，其苦皆去。问之，乃五灵脂一两，雄黄半两，同为末耳。其后有中蛇毒者，用之咸效。
时珍曰︰五灵脂，足厥阴肝经药也。气味俱浓，阴中之阴，故入血分。肝主血，诸痛皆属于木，诸虫皆生于风；故此药能治血病，散血和血而止诸痛。治惊痫，除疟痢，消积化痰，疗疳杀虫，治血痹、血眼诸症，皆属肝经也。失笑散，不独治妇人心痛血痛；凡男女老幼，一切心腹、胁肋、少腹痛，疝气，并胎前产后，血气作痛，及血崩经溢，百药不效者，俱能奏功。屡用屡验，真近世神方也。又案︰李仲南云︰五灵脂治崩中，非只治血之药，乃去风之剂。风，动物也，冲任经虚，被风伤袭营血，以致崩中暴下，与荆芥、防风治崩义同。方悟古人识见，深奥如此。此亦一说，但未及肝血虚滞，亦自生风之意。</x:t>
  </x:si>
  <x:si>
    <x:t xml:space="preserve">禽之二</x:t>
  </x:si>
  <x:si>
    <x:t xml:space="preserve">丹皮（牡丹）
【气味】味苦、辛，性微寒。
【毒性】无毒。
【归经】归心、肝、肾经。
【主治】清热凉血，活血化瘀，退虚热。
【释名】鼠姑（《本经》）、鹿韭（《本经》）、百两金（《唐本》）、木芍药（《纲目》）、花王（《洛阳名园记》）。
时珍曰︰牡丹，以色丹者为上，虽结子而根上生苗，故谓之牡丹。唐人谓之木芍药，以其花似芍药，而宿干似木也。群花品中，以牡丹第一，芍药第二，故世谓牡丹为花王，芍药为花相。欧阳修《花谱》所载，凡三十馀种。其名或以地，或以人，或以色，或以异，详见本书。
【发明】
元素曰︰牡丹乃天地之精，为群花之首。叶为阳，发生也；花为阴，成实也。 丹者赤色，火也。故能泻阴胞中之火。四物东加之，治妇人骨蒸。又曰︰牡丹皮入手厥阴、足少阴，故治无汗之骨蒸；地骨皮入足少阴、手少阳，故治有汗之骨蒸。神不足者手少阴，志不足者足少阴，故仲景肾气丸用之，治神志不足也。又能治肠胃积血，及吐血、衄血，必用之药，故犀角地黄汤用之。
杲曰︰心虚，肠胃积热，心火炽甚，心气不足者，以牡丹皮为君。
时珍曰︰牡丹皮治手、足少阴、厥阴四经血分伏火。盖伏火即阴火也，阴火即相火也。 古方惟以此治相火，故仲景肾气丸用之。后人乃专以黄柏治相火，不知牡丹之功更胜也。此乃千载秘奥，人所不知，今为拈出。赤花者利，白花者补，人亦罕悟，宜分别之。</x:t>
  </x:si>
  <x:si>
    <x:t xml:space="preserve">延胡索
【气味】味辛、苦，性温。
【毒性】无毒
【归经】归肝、脾、心经。
【主治】活血化瘀，行气止痛。
【释名】玄胡索。好古曰：本名玄胡索，避宋真宗讳，改玄为延也。
【发明】
李珣曰：主肾气，及破产后恶露或儿枕，与三棱、鳖甲、大黄为散，甚良，虫蛀成末者，尤良。
时珍曰：玄胡索，味苦微辛，气温，入手、足太阴、厥阴四经。能行血中气滞，气中血滞，故专治一身上下诸痛，用之中的，妙不可言。
荆穆王妃胡氏，因食荞麦面着怒，遂病胃脘当心痛，不可忍。医用吐下行气化滞诸药，皆入口即吐，不能奏功，大便三日不通。因思《雷公炮炙论》云：心痛欲死，速觅延胡。乃以玄胡索末三钱，温酒调下，即纳药。少顷，大便行而痛遂止。又华圭年五十余，病下痢腹痛垂死，已备棺木。予用此药三钱，米饮服之，痛即减十之五，调理而安。按方勺《泊宅编》云：一人病遍体作痛，殆不可忍。都下医或云中风，或云中湿，或云肺气，药悉不效。周离亨言是气血凝滞所致，用延胡索、当归、桂心等分为末，温酒服三四钱，随量频进，以痛止为度，遂痛若失。盖延胡索活血化气，第一品药也。
赵待制传云：凡治妇人，月候不调，腹中结块，产前产后诸疾，及跌打损伤，心腹诸痛，服之立效。盖其温而能散，利气止痛也。</x:t>
  </x:si>
  <x:si>
    <x:t xml:space="preserve">川楝子（楝）
【气味】味苦，性寒。
【毒性】小毒。
【归经】归肝、小肠、膀胱经。
【主治】疏肝泄热，行气止痛，杀虫。
【释名】苦楝（《图经》），实名金铃子（《侯氏药谱》）。
时珍曰︰按︰罗愿《尔雅翼》云︰楝叶可以练物，故谓之楝。其子如小铃，熟则黄色。名金铃，象形也。
【发明】
元素曰︰热厥暴痛，非此不能除。
时珍曰︰楝实，导小肠、膀胱之热，因引心包相火下行，故心腹痛及疝气为要药。甄权乃言不入汤使，则《本经》何以有治热狂、利小便之文耶？近方治疝，有四治、五治、七治诸法，盖亦配合之巧耳。</x:t>
  </x:si>
  <x:si>
    <x:t xml:space="preserve">钩藤（钓藤）
【气味】味甘，性凉。
【毒性】无毒。
【归经】归肝、心包经。
【主治】息风定惊，清热平肝。
【释名】弘景曰︰出建平。亦作吊藤。疗小儿，不入余方。
时珍曰︰其刺曲如钓钩，故名。或作吊，从简耳。
【发明】
时珍曰︰钓藤，手足厥阴药也。足厥阴主风，手厥阴主火。 惊痫眩晕，皆肝风相火之病。钓藤通心包于肝木，风静火息，则诸证自除。或云︰入数寸</x:t>
  </x:si>
  <x:si>
    <x:t xml:space="preserve">菊花（菊）
【气味】味甘、苦，性微寒。
【毒性】无毒。
【归经】归肺、肝经。
【主治】疏散风热，平抑肝阳，清肝明目，清热解毒。
【释名】节华（《本经》）、女节（《别录》）、女华（《别录》）、女茎（《别录》）、日精（《别录》）、更生（《别录》）、傅延年（《别录》）、治蔷（《尔雅》）、金蕊（《纲目》）、阴成（《别录》）、周盈（《别录》）。
时珍曰︰按陆佃《埤雅》云︰菊本作蘜，从鞠。鞠，穷也。
《月令》︰九月，菊有黄华。华事至此而穷尽，故谓之蘜。节华之名，亦取其应节候也。
崔实《月令》云︰女节、女华，菊华之名也。治蔷、日精，菊根之名也。
《抱朴子》云︰仙方所谓日精、更生、周盈，皆一菊而根、茎、花、实之名异也。
【发明】震亨曰︰黄菊花属土与金，有水与火，能补阴血，故养目。
时珍曰︰菊春生夏茂，秋花冬实，备受四气，饱经露霜，叶枯不落，花槁不零，味兼甘苦，性禀平和。昔人谓其能除风热，益肝补阴，盖不知其得金水之精英尤多，能益金水二脏也。补水所以制火，益金所以平木，木平则风息，火降则热除，用治诸风头目，其旨深微。黄者入金水阴分；白者，入金水阳分；红者，行妇人血分。皆可入药，神而明之，存乎其人。其苗可蔬，叶可啜，花可饵，根实可药，囊之可枕，酿之可饮，自本至末，罔不有功。宜乎前贤比之君子，神农列之上品，隐士采入酒饵，骚人餐其落英。费长房言︰九日饮菊酒，可以辟不祥。《神仙传》言︰康风子、朱孺子皆以服菊花成仙。《荆州记》言︰胡广久病风羸，饮菊潭水多寿。菊之贵重如此，是岂群芳可伍哉？钟会《菊有五美赞》云︰圆花高悬，准天极也。纯黄不杂，后土色也。早植晚发，君子德也；冒霜吐颖，象贞质也；杯中体轻，神仙 食也。《西京杂记》言︰采菊花茎叶，杂秫米酿酒，至次年九月始熟，用之</x:t>
  </x:si>
  <x:si>
    <x:t xml:space="preserve">咸</x:t>
  </x:si>
  <x:si>
    <x:t xml:space="preserve">蛤蚧
【气味】咸，平。
【毒性】小毒。
【归经】归 肺、肾经。
【主治】补肺益肾，纳气定喘，助阳益精。
【释名】蛤蟹（《日华》）、仙蟾（《纲目》）。
志曰︰一雌一雄，常自呼其名。
时珍曰︰蛤蚧，因声而名，仙蟾，因形而名；岭南人呼蛙为蛤，又因其首如蛙、蟾也。雷𢽾以雄为蛤，以雌为蚧，亦通。
【发明】宗奭曰︰补肺虚劳嗽有功。
时珍曰︰昔人言补可去弱，人参羊肉之属。蛤蚧补肺气，定喘止渴，功同人参。益阴血，助精扶羸，功同羊肉。近世治劳损痿弱，许叔微治消渴，皆用之，俱取其滋补也。刘纯云︰气液衰、阴血竭者，宜用之。何大英云︰定喘止嗽，莫佳于此。</x:t>
  </x:si>
  <x:si>
    <x:t xml:space="preserve">鳞之一</x:t>
  </x:si>
  <x:si>
    <x:t xml:space="preserve">酸|涩</x:t>
  </x:si>
  <x:si>
    <x:t xml:space="preserve">山茱萸
【气味】味酸、涩，性微温。
【毒性】无毒。
【归经】归肝、肾经。
【主治】补益肝肾，收涩固脱。
【释名】蜀酸枣（《本经》）、肉枣（《纲目》）、鬾实（《别录》）、鸡足（《吴普》）、鼠矢（《吴普》）。
宗奭曰︰山茱萸与吴茱萸甚不相类，治疗大不同，未审何缘命此名也？
时珍曰︰《本经》一名蜀酸枣，今人呼为肉枣，皆象形也。
【发明】
好古曰︰滑则气脱，涩剂所以收之。山茱萸止小便利，秘精气，取其味酸涩以收滑也。仲景八味丸用之为君，其性味可知矣。</x:t>
  </x:si>
  <x:si>
    <x:t xml:space="preserve">附子
【气味】味辛、甘，性大热。
【毒性】有毒。
【归经】归心、肾、脾经。
【主治】回阳救逆，补火助阳，散寒止痛。
【释名】其母名乌头（《本经》）。
时珍曰︰初种为乌头，象乌之头也。附乌头而生者为附子，如子附母也。乌头如芋魁，附子如芋子，盖一物也。别有草乌头、白附子，故俗呼此为黑附子，川乌头以别之。诸家不分乌头有川、草两种，皆混杂注解，今悉正之。
【发明】宗奭曰︰补虚寒须用附子，风家即多用天雄，大略如此。其乌头、乌喙、附子，则量其材而用之。时珍曰︰按王氏《究原方》云︰附子性重滞，温脾逐寒。川乌头性轻疏，温脾去风。若是寒疾即用附子；风疾即用川乌头。一云︰凡人中风，不可先用风药及乌附。 若先用气药，后用乌附乃宜也。又凡用乌、附药，并宜冷服者，热因寒用也。盖阴寒在下，虚阳上浮。治之以寒，则阴气益甚而病增；治之以热，则拒格而不纳。热药冷冻饮料，下嗌之后，冷体既消，热性便发，而病气随愈。不违其情，而致大益，此反治之妙也。昔张仲景治寒疝 内结，用蜜煎乌头。《近效方》治喉痹，用蜜炙附子，含之咽汁。朱丹溪治疝气，用乌头、栀子。并热因寒用也。李东垣治冯翰林侄阴盛格阳伤寒，面赤目赤，烦渴引饮，脉来七、八至，但按之则散。用姜附东加人参，投半斤服之，得汗而愈。此则神圣之妙也。 吴绶曰︰附子乃阴证要药。凡伤寒传变三阴，及中寒夹阴，虽身大热而脉沉者，必用之。或厥冷腹痛，脉沉细，甚则唇青囊缩者，急须用之，有退阴回阳之力，起死回生之功。近 世阴证伤寒，往往疑似，不敢用附子，直待阴极阳竭而用之，已迟矣。且夹阴伤寒，内外皆阴，阳气顿衰。必须急用人参，健脉以益其原；佐以附子，温经散寒。舍此不用，将何以救 之？
刘完素曰︰俗方治麻痹多用乌附，其气暴能冲开道路，故气愈麻；及药气尽而正气行，则麻病愈矣。
张元素曰︰附子以白术为佐，乃除寒湿之圣药。湿药宜少加之引经。又益火之原，以消阴翳，则便溺有节，乌、附是也。 虞抟曰︰附子禀雄壮之质，有斩关夺将之气。能引补气药行十二经，以追复散失之元阳；引 补血药入血分，以滋养不足之真阴；引发散药开腠理，以驱逐在表之风寒；引温暖药达下焦，以祛除在里之冷湿。
震亨曰︰气虚热甚者，宜少用附子，以行参 。肥人多湿，亦宜少加乌、附行经。仲景八味丸，用为少阴响导，其补自是地黄，后世因以附子为补药，误矣。附子走而不守，取其健悍 走下之性，以行地黄之滞，可致远尔。乌头、天雄皆气壮形伟，可为下部药之佐；无人表其害人之祸，相习用为治风之药及补药，杀人多矣。 王履曰︰仲景八味丸，盖兼阴火不足者设。钱仲阳六味地黄丸，为阴虚者设。附子乃补阳之药，非为行滞也。
好古曰︰乌、附，非身凉而四肢厥者，不可僭用。服附子以补火，必妨涸水。
时珍曰︰乌、附毒药，非危病不用，而补药中少加引导，其功甚捷。有人才服钱匕，即发燥不堪，而昔人补剂用为常药，岂古今运气不同耶？荆府都昌王，体瘦而冷，无他病。日以附子煎汤饮，兼嚼硫黄，如此数岁。蕲州卫张百户，平生服鹿茸、附子药，至八十馀，康 健倍常。宋张杲《医说》载︰赵知府耽酒色，每日煎干姜熟附汤，吞硫黄金液丹百粒，乃能健啖，否则倦弱不支，寿至九十。他人服一粒即为害。若此数人，皆其脏腑禀赋之偏，服之有益无害，不可以常理概论也。又《琐碎录》言︰滑台风土极寒，民啖附子如啖芋栗。此则地气使然尔。</x:t>
  </x:si>
  <x:si>
    <x:t xml:space="preserve">甘|咸</x:t>
  </x:si>
  <x:si>
    <x:t xml:space="preserve">龟板胶（水龟）
【气味】甘、咸，凉。
【毒性】无毒。
【归经】归 肝、肾、心经。
【主治】滋阴潜阳，益肾健骨，养血补心，凉血止血。
【释名】神屋（《本经》）、败龟版（《日华》）、败将（《日华》）、漏天机（《图经》）。
时珍曰︰并隐名也。
【发明】
阴之物，禀北方之气而生，故能补阴、治血、治劳也。
时珍曰︰龟、鹿皆灵而有寿。龟首常藏向腹，能通任脉。故取其甲以补心、补肾、补血，皆以养阴也。鹿鼻常反向尾，能通督脉，故取其角以补命、补精、补气，皆以养阳也。
乃物理之玄微，神工之能事。观龟甲所主诸病，皆属阴虚血弱，自可心解矣。又见鳖甲。</x:t>
  </x:si>
  <x:si>
    <x:t xml:space="preserve">介之一</x:t>
  </x:si>
  <x:si>
    <x:t xml:space="preserve">鹿角胶
【气味】甘、咸，温。
【毒性】无毒。
【归经】归 肝、肾经。
【主治】温补肝肾，益精养血，止血。
【释名】一名鹿角胶（《本经》）、粉名鹿角霜。
甄权曰︰白胶一名黄明胶。
时珍︰正误见黄明胶。
【发明】𢽾曰︰凡使，鹿角胜于麋角。
颂曰︰今医家多用麋茸、麋角，云力紧于鹿也。
时珍曰︰苏东坡《良方》云︰鹿阳兽，见阴而角解；麋阴兽，见阳而角解。故补阳以鹿角为胜，补阴以麋角为胜。其不同如此，但云鹿胜麋，麋胜鹿，疏矣。按此说与沈存中“鹿茸利补阴，麋茸利补阳”之说相反。以理与功推之，苏说为是。详见茸下。</x:t>
  </x:si>
  <x:si>
    <x:t xml:space="preserve">兽之二</x:t>
  </x:si>
  <x:si>
    <x:t xml:space="preserve">菟丝子
【气味】甘，温。
【毒性】无毒。
【归经】归 肝、肾、脾经。
【主治】补肾益精，养肝明目，止泻，安胎。
【释名】菟缕（《别录》）、菟蔂（《别录》）、菟芦（《本经》）、菟丘（《广雅》）、赤网（《别录》）、玉女（《尔雅》）、唐蒙（《尔雅》）、火焰草（《纲目》）、野狐丝（《纲目》）、金线草（《纲目》）。
禹锡曰︰按《吕氏春秋》云︰或谓菟丝无根也。其根不属地，茯苓是也。《抱朴子》云︰菟丝之草，下有伏菟之根。无此菟，则丝不得生于上，然实不属也。伏菟抽则菟丝死。又云︰菟丝初生之根，其形似兔握，故割其血以和丹服，立能变化。则菟丝之名因此也。
弘景曰︰旧言下有茯苓，上有菟丝，不必尔也。
颂曰︰《抱朴》所说今未见，岂别一类乎？孙炎释《尔雅》云︰唐也，蒙也，女萝也，菟丝也，一物四名，而本草唐蒙为一名。《诗》云︰茑与女萝。毛苌云︰女萝，菟丝也。而本草菟丝无女萝之名，惟松萝一名女萝。岂二物皆是寄生同名，而本草脱漏乎？
震亨曰︰菟丝未尝与茯苓共类，女萝附松而生，不相关涉，皆承讹而言也。
时珍曰︰《毛诗》注女萝即菟丝。《吴普本草》菟丝一名松萝。陆佃言︰在木为女萝，在草为菟丝，二物殊别，皆由《尔雅》释《诗》误以为一物故也。张揖《广雅》云︰菟丘，菟丝也。女萝，松萝也。陆玑《诗疏》言︰菟丝蔓草上，黄赤如金；松萝蔓松上，生枝正青，无杂蔓者，皆得之。详见木部松萝下。又菟丝茯苓说，见茯苓下。
【发明】𢽾曰︰菟丝子禀中和凝正阳气，一茎从树感枝而成，从中春上阳结实，故偏补人卫气，助人筋脉。
颂曰︰《抱朴子》仙方单服法︰取实一斗，酒一斗浸，曝干再浸又曝，令酒尽乃止，捣筛。每酒服二钱，日二服。此药治腰膝去风，兼能明目。久服令人光泽，老变为少。十日外，饮啖如汤沃雪也。</x:t>
  </x:si>
  <x:si>
    <x:t xml:space="preserve">沙苑子 （白蒺藜）
【气味】甘，温。
【毒性】无毒。
【归经】归肝、肾经。
【主治】补肾固精，养肝明目。
【释名】茨（《尔雅》）、旁通（《本经》）、屈人（《本经》）、止行（《本经》）、豺羽（《本经》）、升推（《本经》）。
弘景曰︰多生道上及墙上，叶布地，子有刺，状如菱而小。长安最饶，人行多著木履。今军家乃铸铁作之，以布敌路，名铁蒺藜。
《易》云︰据于蒺藜，言其凶伤；
《诗》云︰墙有茨，不可扫也，以刺梗秽。方用甚稀。
时珍曰︰蒺，疾也；藜，利也；茨，刺也。其刺伤人，甚疾而利也。屈人、止行，皆因其伤人也。
【发明】
颂曰︰古方皆用有刺者，治风明目最良。神仙方亦有单服蒺藜法，云不问黑白，但取坚实者，舂去刺用。
时珍曰︰古方补肾治风，皆用刺蒺藜。后世补肾多用沙苑蒺藜，或以熬膏和药，恐其功亦不甚相远也。刺蒺藜炒黄去刺，磨面作饼，或蒸食，可以救荒。</x:t>
  </x:si>
  <x:si>
    <x:t xml:space="preserve">芡实
【气味】甘、涩，平。
【毒性】无毒。
【归经】归脾、肾经。
【主治】补肾固精，养肝明目。
【释名】鸡头（《本经》）、雁喙（同）、雁头（《古今注》）、鸿头（韩退之）、鸡雍（《庄子》）、卯菱（《管子》）、 子（音唯《弘景》）、水流黄（《谈圃》）。
弘景曰︰此即今 子也。茎上花似鸡冠，故名鸡头。
颂曰︰其苞形类鸡、雁头，故有诸名。
时珍曰︰芡可济俭歉，故谓之芡。鸡雍见《庄子‧徐无鬼篇》。卯菱见《管子‧五行篇》。扬雄《方言》云︰南楚谓之鸡头，幽燕谓之雁头，徐、青、淮、泗谓之芡子。其茎谓之 ，亦曰 。郑樵《通志》以钩 为芡，误矣。钩 ，陆生草也，其茎可食。水流黄见下。
【发明】
弘景曰︰《仙方》取此合莲实饵之，甚益人。
恭曰︰作粉食，益人胜于菱也。
颂曰︰取其实及中子，捣烂曝干，再捣筛末，熬金樱子煎和丸服之，云补下益人，谓之水陆丹。
时珍曰︰案孙升《谈圃》云︰芡本不益人，而俗谓之水流黄何也？盖人之食芡，必咀之，终日嗫嗫。而芡味甘平，腴而不腻。食之者能使华液流通，转相灌溉，其功胜于乳石也。《淮南子》云︰狸头愈 ，鸡头已 。注者云︰即芡实也。</x:t>
  </x:si>
  <x:si>
    <x:t xml:space="preserve">龙骨
【气味】甘、涩，平。
【毒性】无毒。
【归经】归心、肝、肾经。
【主治】镇惊安神，平肝潜阳，收敛固涩，收湿敛疮。
【释名】时珍曰︰按许慎《说文》︰龙字篆文象形。《生肖论》云︰龙耳亏聪，故谓之龙。梵书名那伽。
【发明】
敩曰︰气入丈夫肾脏中，故益肾药宜用之。
时珍曰︰涩可去脱。故成氏云︰龙骨能收敛浮越之正气，固大肠而镇惊。又主带脉为病。</x:t>
  </x:si>
  <x:si>
    <x:t xml:space="preserve">牡蛎
【气味】咸，微寒。
【毒性】无毒。
【归经】归肝、胆、肾经。
【主治】重镇安神，潜阳补阴，软坚散结，收敛固涩，制酸止痛。
【释名】牡蛤（《别录》）、蛎蛤（《本经》）、古贲（《异物志》）、蚝。
弘景曰︰道家方以左顾是雄，故名牡蛎，右顾则牝蛎也。或以尖头为左顾，未详孰是。
藏器曰︰天生万物皆有牡牝。惟蛎是咸水结成，块然不动，阴阳之道，何从而生？《经》言牡者，应是雄耳。
宗奭曰︰《本经》不言左顾，止从陶说。而段成式亦云︰牡蛎言牡，非谓雄也。且如牡丹，岂有牝丹乎？此物无目，更何顾盻？
时珍曰︰蛤蚌之属，皆有胎生、卵生。独此化生，纯雄无雌，故得牡名。曰蛎曰蚝，言其粗大也。
【发明】
权曰︰病虚而多热者，宜同地黄、小草用之。
好古曰︰牡蛎入足少阴，为软坚之剂。以柴胡引之，能去胁下硬。以茶引之，能消项上结核。以大黄引之，能消股间肿。以地黄为使，能益精收涩，止小便，本肾经血分之药也。
成无己曰︰牡蛎之咸，以消胸膈之满，以泄水气，使痞者消，硬者软也。
元素曰︰壮水之主，以制阳光，则渴饮不思。故蛤蛎之类，能止渴也。</x:t>
  </x:si>
  <x:si>
    <x:t xml:space="preserve">介之二</x:t>
  </x:si>
  <x:si>
    <x:t xml:space="preserve">心|肾</x:t>
  </x:si>
  <x:si>
    <x:t xml:space="preserve">莲须（莲藕）
【气味】甘、涩，平。
【毒性】无毒。
【归经】归心、肾经。
【主治】清心益肾，涩精止血。
【释名】其根藕（《尔雅》），其实莲（《尔雅》），其茎叶荷（《说文》）。
韩保升曰︰藕生水中，其叶名荷。按︰《尔雅》云︰荷，芙蕖。其茎茄，其叶蕸，其本蔤，其华菡萏，其实莲，其根藕，其中菂，菂中薏。邢昺注云︰芙蕖，总名也，别名芙蓉，江东人呼为荷。菡萏，莲花也。菂，莲实也。薏，菂中青心也。
郭璞注云︰蔤，乃茎下白蒻在泥中者。莲，乃房也；菂，乃子也；薏，乃中心苦薏也。江东人呼荷花为芙蓉，北人以藕为荷，亦以莲为荷，蜀人以藕为茄，此皆习俗传误也。陆机《诗疏》云︰其茎为荷。其花未发为菡萏，已发为芙蕖。其实莲，莲之皮青里白。其子菂，菂为苦薏也。
时珍曰︰《尔雅》以荷为根名，韩氏以荷为叶名，陆机以荷为茎名。按︰茎乃负叶者也，有负荷之义，当从陆说。蔤乃嫩蒻，如竹之行鞭者。节生二茎，一为叶，一为花，尽处乃生藕，为花、叶、根、实之本。显仁藏用，功成不居，可谓退藏于密矣，故谓之蔤。花叶常偶生，不偶不生，故根曰藕。或云藕善耕泥，故字从耦，耦者耕也。茄音加，加于蔤上也。蕸音遐，远于密也。菡萏，函合未发之意。芙蓉，敷布容艳之意。莲者连也，花实相连而出也。菂者的也，子在房中点点如的也。的乃凡物点注之名。薏，犹意也，含苦在内也。古诗云︰食子心无弃，苦心生意存是矣。
【发明】
时珍曰︰莲须本草不收，而《三因》诸方、固真丸、巨胜子丸各补益方中，往往用之。其功大抵与莲子同也。</x:t>
  </x:si>
  <x:si>
    <x:t xml:space="preserve">续断
【气味】味苦、辛，性微温。
【毒性】无毒
【归经】归肝、肾经。
【主治】肝肾亏虚，冲任不固之崩漏，胎漏、胎动不安。
【释名】属折（《本经》）、接骨（《别录》）、龙豆（《本经》）、南草（《别录》）。
时珍曰︰续断、属折、接骨，皆以功命名也。
【发明】
时珍曰︰宋张叔潜秘书，知剑州时，其阁下病血痢。一医用平胃散一两，入川续断末二钱半。每服二钱，水煎服即愈。绍兴壬子，会稽时行痢疾。叔潜之子以方传人，往往有验。小儿痢服之效。</x:t>
  </x:si>
  <x:si>
    <x:t xml:space="preserve">糯米（稻）
【气味】味甘，性温。
【毒性】无毒
【归经】归脾、胃、肺经。
【主治】脾胃虚寒泄泻；消渴尿多；自汗盗汗。
【释名】稌（音杜）、糯（亦作穤）。
时珍曰：稻、稌者，粳、糯之通称。《物理论》所谓 “稻者溉种之总称” 是矣。本草则专指糯以为稻也。稻从舀（音函），象人在臼上治稻之义。稌则方言稻音之转尔。其性粘软，故谓之糯。
颖曰：糯米缓筋，令人多睡，其性懦也。
【发明】
思邈曰︰糯米味甘，脾之谷也，脾病宜食之。 杨士瀛曰︰痘疹用 米，取其解毒，能酿而发之也。
时珍曰︰糯米性温，酿酒则热，熬饧尤甚，故脾肺虚寒者宜之。若素有痰热风病，及脾病不能转输，食之最能发病成积。孟诜、苏颂或言其性凉、性寒者，谬说也。《别录》已谓其温中坚大便，令人多热，是岂寒凉者乎？今人冷泄者，炒食即止。老人小便数者，作粢糕 或丸子，夜食亦止。其温肺暖脾可验矣。痘证用之，亦取此义。</x:t>
  </x:si>
  <x:si>
    <x:t xml:space="preserve">肝|肺|肾</x:t>
  </x:si>
  <x:si>
    <x:t xml:space="preserve">阿胶
【气味】甘，平。
【毒性】无毒。
【归经】归肺、肝、肾经。
【主治】补血滋阴，润燥，止血。
【释名】傅致胶（《本经》）。
弘景曰︰出东阿，故名阿胶。
时珍曰︰阿井，在今山东兖州府阳谷县东北六十里，即古之东阿县也。有官舍禁之。
郦道元《水经注》云︰东阿有井大如轮，深六七丈，岁常煮胶以贡天府者，即此也。其井乃济水所注，取井水煮胶，用搅浊水则清。故人服之，下膈疏痰止吐。盖济水清而重，其性趋下，故治淤浊及逆上之痰也。
【发明】藏器曰︰诸胶皆主风、止泄、补虚，而驴皮主风为最。
宗奭曰︰驴皮煎胶，取其发散皮肤之外也。用乌者，取乌色属水，以制热则生风之义，如乌蛇、乌鸦、乌鸡之类皆然。时珍曰︰阿胶大要只是补血与液，故能清肺益阴而治诸证。按陈自明云︰补虚用牛皮胶，去风用驴皮胶。
成无己云︰阴不足者补之以味，阿胶之甘以补阴血。，不论肺虚肺实，可下可温，须用阿胶以安肺润肺。其性和平，为肺经要药。小儿惊风后瞳仁不正者，以阿胶倍人参煎服最良。阿胶育神，人参益气也。又痢疾多因伤暑伏热而成，阿胶乃大肠之要药。有热毒留滞者，则能疏导；无热毒留滞者，则能平安。数说足以发明阿胶之蕴矣。</x:t>
  </x:si>
  <x:si>
    <x:t xml:space="preserve">兽之一</x:t>
  </x:si>
  <x:si>
    <x:t xml:space="preserve">鸡子黄
【气味】味甘，性平。
【毒性】无毒。
【归经】归心、肾、脾经。
【主治】滋阴养血，润燥息风，清心安神，养胃止渴。
【释名】烛夜（《古今志》）。
时珍曰︰按徐铉云︰“鸡者稽也，能稽时也。”
《广志》云︰“大曰蜀，小曰荆，雏曰𪇗 。
《梵书》曰︰“鸡曰鸠七咤 。”
【发明】
时珍曰︰鸡子黄，气味俱浓，阴中之阴，故能补形。昔人谓其与阿胶同功，正此意也。其治呕逆诸疮，则取其除热引虫而已。颂曰︰鸡子入药最多，而发煎方特奇。刘禹锡《传信方》云︰乱发鸡子膏，治孩子热疮。用鸡子五枚，去白取黄，乱发如鸡子大，相和，于铁铫中炭火熬之。初甚干，少顷即发焦，乃有液出。旋取置碗中，以液尽为度。取涂疮上，即以苦参末粉之。顷在武陵生子，蓐内便有热疮，涂诸药无益，而日益剧，蔓延半身，昼夜号啼，不乳不睡。因阅本草发 条云︰合鸡子黄煎之，消为水，疗小儿惊热、下痢。注云︰俗中妪母为小儿作鸡子煎，用发杂熬之，良久得汁，与小儿服，去痰热，主百病。又鸡子条云︰疗火疮。因是用之，果如神效也。</x:t>
  </x:si>
  <x:si>
    <x:t xml:space="preserve">BookName</x:t>
  </x:si>
  <x:si>
    <x:t xml:space="preserve">BookType</x:t>
  </x:si>
  <x:si>
    <x:t xml:space="preserve">Author</x:t>
  </x:si>
  <x:si>
    <x:t xml:space="preserve">xing_yi_ji_kao</x:t>
  </x:si>
  <x:si>
    <x:t xml:space="preserve">行医记考</x:t>
  </x:si>
  <x:si>
    <x:t xml:space="preserve">Clinical_log</x:t>
  </x:si>
  <x:si>
    <x:t xml:space="preserve">huang_di_nei_jing</x:t>
  </x:si>
  <x:si>
    <x:t xml:space="preserve">黄帝内经</x:t>
  </x:si>
  <x:si>
    <x:t xml:space="preserve">theory</x:t>
  </x:si>
  <x:si>
    <x:t xml:space="preserve">神农本草经</x:t>
  </x:si>
  <x:si>
    <x:t xml:space="preserve">Herb</x:t>
  </x:si>
  <x:si>
    <x:t xml:space="preserve">诸病源候论</x:t>
  </x:si>
  <x:si>
    <x:t xml:space="preserve">巢元方</x:t>
  </x:si>
  <x:si>
    <x:t xml:space="preserve">伤寒论</x:t>
  </x:si>
  <x:si>
    <x:t xml:space="preserve">Formula</x:t>
  </x:si>
  <x:si>
    <x:t xml:space="preserve">张仲景</x:t>
  </x:si>
  <x:si>
    <x:t xml:space="preserve">温病条辨</x:t>
  </x:si>
  <x:si>
    <x:t xml:space="preserve">吴鞠通</x:t>
  </x:si>
  <x:si>
    <x:t xml:space="preserve">金匮要略</x:t>
  </x:si>
  <x:si>
    <x:t xml:space="preserve">太平惠民和剂局方</x:t>
  </x:si>
  <x:si>
    <x:t xml:space="preserve">备急千金要方</x:t>
  </x:si>
  <x:si>
    <x:t xml:space="preserve">孙思邈</x:t>
  </x:si>
  <x:si>
    <x:t xml:space="preserve">太医院经验奇效良方大全</x:t>
  </x:si>
  <x:si>
    <x:t xml:space="preserve">景岳全书</x:t>
  </x:si>
  <x:si>
    <x:t xml:space="preserve">张景岳</x:t>
  </x:si>
  <x:si>
    <x:t xml:space="preserve">小儿药证直诀</x:t>
  </x:si>
  <x:si>
    <x:t xml:space="preserve">钱乙</x:t>
  </x:si>
  <x:si>
    <x:t xml:space="preserve">医方考</x:t>
  </x:si>
  <x:si>
    <x:t xml:space="preserve">吴崑</x:t>
  </x:si>
  <x:si>
    <x:t xml:space="preserve">普济本事方</x:t>
  </x:si>
  <x:si>
    <x:t xml:space="preserve">许叔微</x:t>
  </x:si>
  <x:si>
    <x:t xml:space="preserve">兰室秘藏</x:t>
  </x:si>
  <x:si>
    <x:t xml:space="preserve">李杲</x:t>
  </x:si>
  <x:si>
    <x:t xml:space="preserve">柳州医话</x:t>
  </x:si>
  <x:si>
    <x:t xml:space="preserve">魏之琇</x:t>
  </x:si>
  <x:si>
    <x:t xml:space="preserve">严氏济生方</x:t>
  </x:si>
  <x:si>
    <x:t xml:space="preserve">严用和</x:t>
  </x:si>
  <x:si>
    <x:t xml:space="preserve">仁斋直指方论</x:t>
  </x:si>
  <x:si>
    <x:t xml:space="preserve">杨士瀛</x:t>
  </x:si>
  <x:si>
    <x:t xml:space="preserve">究原方</x:t>
  </x:si>
  <x:si>
    <x:t xml:space="preserve">张松</x:t>
  </x:si>
  <x:si>
    <x:t xml:space="preserve">医方集解</x:t>
  </x:si>
  <x:si>
    <x:t xml:space="preserve">汪昂</x:t>
  </x:si>
  <x:si>
    <x:t xml:space="preserve">王氏博济方</x:t>
  </x:si>
  <x:si>
    <x:t xml:space="preserve">王衮</x:t>
  </x:si>
  <x:si>
    <x:t xml:space="preserve">医林改错</x:t>
  </x:si>
  <x:si>
    <x:t xml:space="preserve">王清任</x:t>
  </x:si>
  <x:si>
    <x:t xml:space="preserve">TheoryID</x:t>
  </x:si>
  <x:si>
    <x:t xml:space="preserve">TheoryName</x:t>
  </x:si>
  <x:si>
    <x:t xml:space="preserve">ba_mai</x:t>
  </x:si>
  <x:si>
    <x:t xml:space="preserve">把脉</x:t>
  </x:si>
  <x:si>
    <x:t xml:space="preserve">游戏中人体被划分为表、心、肝、脾、肺、肾六个区域；每个区域由气、血、寒热、湿燥四种属性构成；医者通过把脉确定病位和病性。
【寸关尺】
寸、关、尺是脉诊中的三个把脉位置，在手腕桡骨动脉上。医者通过按压这三个位置，感受脉象的强弱、快慢、沉浮、流畅程度，从而推测人体不同区域和脏腑的健康状况。
【对应脏腑区域】
浮脉：表
左寸：心
左关：肝
左尺：肾阴
右寸：肺
右关：脾
右尺：肾阳
【脉象】
游戏中脉象由波形图表示。
波峰的高低反映气的强弱；
波峰越高气滞程度越高，波峰越低气虚程度越高。
波线的粗细反映血的状态；
波线越粗血瘀程度越高，波线越细血虚程度越高。
波宽的宽窄反映湿燥程度；
波宽越宽越湿，波宽越窄越燥。
波速的快慢反映寒热程度；
波速越快越热，波速越慢越寒。</x:t>
  </x:si>
  <x:si>
    <x:t xml:space="preserve">kai_fang</x:t>
  </x:si>
  <x:si>
    <x:t xml:space="preserve">开方</x:t>
  </x:si>
  <x:si>
    <x:t xml:space="preserve">点击选中君臣佐使区域，药材栏选取添加药材和药量，左键点击增加，右键减少。可以在搜索栏输入药材名或拼音，拼音首字母快速查找药材。
【君臣佐使】
方剂配伍的基本原则，指一个药方里不同药材扮演的不同角色，就像一只分工明确的团队。
君药：针对主要病症的核心药材，力量最强，用量最大。
臣药：辅助君药增强疗效，治疗兼带症状。
佐药：制约君臣药的毒性或烈性，治疗次要症状。
使药：调和诸药，引导药物直达病位，解毒缓解副作用。</x:t>
  </x:si>
  <x:si>
    <x:t xml:space="preserve">李东璧在行医过程中记录的心得笔记，白天行医时可翻阅笔记查找药材，方剂，疾病。
在搜索栏输入药材，方剂，疾病的中文名或拼音，拼音首字母可快速查找。</x:t>
  </x:si>
  <x:si>
    <x:t xml:space="preserve">yu_zhi_fang_ji</x:t>
  </x:si>
  <x:si>
    <x:t xml:space="preserve">预制方剂</x:t>
  </x:si>
  <x:si>
    <x:t xml:space="preserve">现在你可以预制方剂，开方时搜索并选取方剂名可以填写该方剂的所有药材。</x:t>
  </x:si>
</x:sst>
</file>

<file path=xl/styles.xml><?xml version="1.0" encoding="utf-8"?>
<x:styleSheet xmlns:x="http://schemas.openxmlformats.org/spreadsheetml/2006/main">
  <x:numFmts count="3">
    <x:numFmt numFmtId="200" formatCode="0"/>
    <x:numFmt numFmtId="201" formatCode="0.0%"/>
    <x:numFmt numFmtId="202" formatCode="0.0"/>
  </x:numFmts>
  <x:fonts count="17">
    <x:font>
      <x:sz val="11"/>
      <x:color theme="1"/>
      <x:name val="游ゴシック"/>
    </x:font>
    <x:font>
      <x:sz val="11"/>
      <x:color theme="1"/>
      <x:name val="Microsoft YaHei"/>
    </x:font>
    <x:font>
      <x:sz val="11"/>
      <x:color theme="1"/>
      <x:name val="Meiryo UI"/>
    </x:font>
    <x:font>
      <x:sz val="11"/>
      <x:color theme="1"/>
      <x:name val="Noto Sans JP"/>
    </x:font>
    <x:font>
      <x:sz val="11"/>
      <x:color theme="1"/>
      <x:name val="Meiryo UI"/>
    </x:font>
    <x:font>
      <x:sz val="11"/>
      <x:color theme="1"/>
      <x:name val="Microsoft YaHei UI"/>
    </x:font>
    <x:font>
      <x:sz val="11"/>
      <x:color theme="1"/>
      <x:name val="Noto Sans JP"/>
    </x:font>
    <x:font>
      <x:sz val="11"/>
      <x:color theme="1"/>
      <x:name val="微软雅黑"/>
    </x:font>
    <x:font>
      <x:b/>
      <x:sz val="11"/>
      <x:color theme="1"/>
      <x:name val="Noto Sans JP"/>
    </x:font>
    <x:font>
      <x:sz val="11"/>
      <x:color theme="1"/>
      <x:name val="Noto Sans JP"/>
    </x:font>
    <x:font>
      <x:b/>
      <x:sz val="11"/>
      <x:color theme="1"/>
      <x:name val="Noto Sans JP"/>
    </x:font>
    <x:font>
      <x:sz val="11"/>
      <x:color theme="1"/>
      <x:name val="Microsoft YaHei"/>
    </x:font>
    <x:font>
      <x:sz val="11"/>
      <x:color theme="1"/>
      <x:name val="Noto Sans JP"/>
    </x:font>
    <x:font>
      <x:sz val="11"/>
      <x:color theme="1"/>
      <x:name val="微软雅黑"/>
    </x:font>
    <x:font>
      <x:sz val="11"/>
      <x:color theme="1"/>
      <x:name val="Microsoft YaHei UI"/>
    </x:font>
    <x:font>
      <x:sz val="11"/>
      <x:color theme="1"/>
      <x:name val="游ゴシック"/>
    </x:font>
    <x:font>
      <x:sz val="6"/>
      <x:name val="游ゴシック"/>
    </x:font>
  </x:fonts>
  <x:fills count="14">
    <x:fill>
      <x:patternFill patternType="none"/>
    </x:fill>
    <x:fill>
      <x:patternFill patternType="gray125"/>
    </x:fill>
    <x:fill>
      <x:patternFill patternType="solid">
        <x:fgColor rgb="FF92D050"/>
      </x:patternFill>
    </x:fill>
    <x:fill>
      <x:patternFill patternType="solid">
        <x:fgColor rgb="FF00B0F0"/>
      </x:patternFill>
    </x:fill>
    <x:fill>
      <x:patternFill patternType="solid">
        <x:fgColor rgb="FFFF0000"/>
      </x:patternFill>
    </x:fill>
    <x:fill>
      <x:patternFill patternType="solid">
        <x:fgColor rgb="FFFFC000"/>
      </x:patternFill>
    </x:fill>
    <x:fill>
      <x:patternFill patternType="solid">
        <x:fgColor theme="0"/>
      </x:patternFill>
    </x:fill>
    <x:fill>
      <x:patternFill patternType="solid">
        <x:fgColor rgb="FFFFFF00"/>
      </x:patternFill>
    </x:fill>
    <x:fill>
      <x:patternFill patternType="solid">
        <x:fgColor rgb="FF0070C0"/>
      </x:patternFill>
    </x:fill>
    <x:fill>
      <x:patternFill patternType="solid">
        <x:fgColor rgb="FF92D050"/>
      </x:patternFill>
    </x:fill>
    <x:fill>
      <x:patternFill patternType="solid">
        <x:fgColor rgb="FFFF0000"/>
      </x:patternFill>
    </x:fill>
    <x:fill>
      <x:patternFill patternType="solid">
        <x:fgColor rgb="FFFFC000"/>
      </x:patternFill>
    </x:fill>
    <x:fill>
      <x:patternFill patternType="solid">
        <x:fgColor rgb="FFFF0000"/>
      </x:patternFill>
    </x:fill>
    <x:fill>
      <x:patternFill patternType="solid">
        <x:fgColor rgb="FFFFC000"/>
      </x:patternFill>
    </x:fill>
  </x:fills>
  <x:borders count="5">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left style="thin">
        <x:color rgb="FF000000"/>
      </x:left>
      <x:right style="thin">
        <x:color rgb="FF000000"/>
      </x:right>
      <x:top style="thin">
        <x:color rgb="FF000000"/>
      </x:top>
      <x:bottom style="thin">
        <x:color rgb="FF000000"/>
      </x:bottom>
    </x:border>
    <x:border>
      <x:left style="thin">
        <x:color rgb="FF808080"/>
      </x:left>
      <x:right style="thin">
        <x:color rgb="FF808080"/>
      </x:right>
      <x:top style="thin">
        <x:color rgb="FF808080"/>
      </x:top>
      <x:bottom style="thin">
        <x:color rgb="FF808080"/>
      </x:bottom>
    </x:border>
  </x:borders>
  <x:cellStyleXfs count="1">
    <x:xf numFmtId="0" fontId="0" fillId="0" borderId="0"/>
  </x:cellStyleXfs>
  <x:cellXfs count="87">
    <x:xf numFmtId="0" fontId="0" fillId="0" borderId="0" xfId="0"/>
    <x:xf numFmtId="0" fontId="2" fillId="2" borderId="1" xfId="0" applyFont="1" applyFill="1" applyBorder="1"/>
    <x:xf numFmtId="0" fontId="2" fillId="3" borderId="1" xfId="0" applyFont="1" applyFill="1" applyBorder="1"/>
    <x:xf numFmtId="0" fontId="0" fillId="0" borderId="1" xfId="0" applyBorder="1"/>
    <x:xf numFmtId="0" fontId="0" fillId="0" borderId="1" xfId="0" applyBorder="1" applyAlignment="1">
      <x:alignment horizontal="left"/>
    </x:xf>
    <x:xf numFmtId="0" fontId="0" fillId="6" borderId="1" xfId="0" applyFill="1" applyBorder="1" applyAlignment="1">
      <x:alignment horizontal="left"/>
    </x:xf>
    <x:xf numFmtId="0" fontId="0" fillId="6" borderId="1" xfId="0" applyFill="1" applyBorder="1"/>
    <x:xf numFmtId="0" fontId="3" fillId="0" borderId="1" xfId="0" applyFont="1" applyBorder="1"/>
    <x:xf numFmtId="0" fontId="2" fillId="2" borderId="1" xfId="0" applyFont="1" applyFill="1" applyBorder="1" applyAlignment="1">
      <x:alignment horizontal="left"/>
    </x:xf>
    <x:xf numFmtId="0" fontId="0" fillId="0" borderId="0" xfId="0" applyAlignment="1">
      <x:alignment horizontal="left"/>
    </x:xf>
    <x:xf numFmtId="0" fontId="3" fillId="0" borderId="1" xfId="0" applyFont="1" applyBorder="1" applyAlignment="1">
      <x:alignment horizontal="left"/>
    </x:xf>
    <x:xf numFmtId="0" fontId="1" fillId="0" borderId="1" xfId="0" applyFont="1" applyBorder="1"/>
    <x:xf numFmtId="0" fontId="3" fillId="2" borderId="1" xfId="0" applyFont="1" applyFill="1" applyBorder="1" applyAlignment="1">
      <x:alignment horizontal="left"/>
    </x:xf>
    <x:xf numFmtId="0" fontId="2" fillId="7" borderId="1" xfId="0" applyFont="1" applyFill="1" applyBorder="1" applyAlignment="1">
      <x:alignment horizontal="center" vertical="center"/>
    </x:xf>
    <x:xf numFmtId="0" fontId="2" fillId="4" borderId="1" xfId="0" applyFont="1" applyFill="1" applyBorder="1" applyAlignment="1">
      <x:alignment horizontal="center" vertical="center"/>
    </x:xf>
    <x:xf numFmtId="0" fontId="2" fillId="8" borderId="1" xfId="0" applyFont="1" applyFill="1" applyBorder="1" applyAlignment="1">
      <x:alignment horizontal="center" vertical="center"/>
    </x:xf>
    <x:xf numFmtId="0" fontId="2" fillId="2" borderId="1" xfId="0" applyFont="1" applyFill="1" applyBorder="1" applyAlignment="1">
      <x:alignment horizontal="center" vertical="center"/>
    </x:xf>
    <x:xf numFmtId="0" fontId="3" fillId="2" borderId="1" xfId="0" applyFont="1" applyFill="1" applyBorder="1" applyAlignment="1">
      <x:alignment horizontal="center"/>
    </x:xf>
    <x:xf numFmtId="0" fontId="3" fillId="7" borderId="1" xfId="0" applyFont="1" applyFill="1" applyBorder="1" applyAlignment="1">
      <x:alignment horizontal="center"/>
    </x:xf>
    <x:xf numFmtId="0" fontId="3" fillId="4" borderId="1" xfId="0" applyFont="1" applyFill="1" applyBorder="1" applyAlignment="1">
      <x:alignment horizontal="center"/>
    </x:xf>
    <x:xf numFmtId="0" fontId="3" fillId="3" borderId="1" xfId="0" applyFont="1" applyFill="1" applyBorder="1" applyAlignment="1">
      <x:alignment horizontal="center"/>
    </x:xf>
    <x:xf numFmtId="0" fontId="0" fillId="6" borderId="1" xfId="0" applyFill="1" applyBorder="1" applyAlignment="1">
      <x:alignment horizontal="center"/>
    </x:xf>
    <x:xf numFmtId="0" fontId="4" fillId="2" borderId="1" xfId="0" applyFont="1" applyFill="1" applyBorder="1"/>
    <x:xf numFmtId="0" fontId="3" fillId="0" borderId="0" xfId="0" applyFont="1"/>
    <x:xf numFmtId="0" fontId="5" fillId="4" borderId="1" xfId="0" applyFont="1" applyFill="1" applyBorder="1"/>
    <x:xf numFmtId="0" fontId="5" fillId="0" borderId="1" xfId="0" applyFont="1" applyBorder="1"/>
    <x:xf numFmtId="0" fontId="6" fillId="4" borderId="1" xfId="0" applyFont="1" applyFill="1" applyBorder="1"/>
    <x:xf numFmtId="0" fontId="6" fillId="4" borderId="1" xfId="0" applyFont="1" applyFill="1" applyBorder="1" applyAlignment="1">
      <x:alignment horizontal="left"/>
    </x:xf>
    <x:xf numFmtId="0" fontId="6" fillId="0" borderId="1" xfId="0" applyFont="1" applyBorder="1"/>
    <x:xf numFmtId="0" fontId="6" fillId="2" borderId="1" xfId="0" applyFont="1" applyFill="1" applyBorder="1"/>
    <x:xf numFmtId="0" fontId="6" fillId="5" borderId="1" xfId="0" applyFont="1" applyFill="1" applyBorder="1"/>
    <x:xf numFmtId="0" fontId="6" fillId="3" borderId="1" xfId="0" applyFont="1" applyFill="1" applyBorder="1"/>
    <x:xf numFmtId="0" fontId="6" fillId="0" borderId="1" xfId="0" applyFont="1" applyBorder="1" applyAlignment="1">
      <x:alignment horizontal="left"/>
    </x:xf>
    <x:xf numFmtId="0" fontId="6" fillId="2" borderId="1" xfId="0" applyFont="1" applyFill="1" applyBorder="1" applyAlignment="1">
      <x:alignment horizontal="left"/>
    </x:xf>
    <x:xf numFmtId="0" fontId="6" fillId="5" borderId="1" xfId="0" applyFont="1" applyFill="1" applyBorder="1" applyAlignment="1">
      <x:alignment horizontal="left"/>
    </x:xf>
    <x:xf numFmtId="0" fontId="6" fillId="3" borderId="1" xfId="0" applyFont="1" applyFill="1" applyBorder="1" applyAlignment="1">
      <x:alignment horizontal="left"/>
    </x:xf>
    <x:xf numFmtId="0" fontId="6" fillId="0" borderId="0" xfId="0" applyFont="1" applyAlignment="1">
      <x:alignment horizontal="left"/>
    </x:xf>
    <x:xf numFmtId="49" fontId="6" fillId="0" borderId="1" xfId="0" applyNumberFormat="1" applyFont="1" applyBorder="1" applyAlignment="1">
      <x:alignment horizontal="left" vertical="center" wrapText="1"/>
    </x:xf>
    <x:xf numFmtId="49" fontId="6" fillId="0" borderId="0" xfId="0" applyNumberFormat="1" applyFont="1" applyAlignment="1">
      <x:alignment horizontal="left"/>
    </x:xf>
    <x:xf numFmtId="0" fontId="8" fillId="2" borderId="1" xfId="0" applyFont="1" applyFill="1" applyBorder="1" applyAlignment="1">
      <x:alignment horizontal="left" vertical="center" wrapText="1"/>
    </x:xf>
    <x:xf numFmtId="0" fontId="8" fillId="2" borderId="1" xfId="0" applyFont="1" applyFill="1" applyBorder="1" applyAlignment="1">
      <x:alignment horizontal="left" vertical="center"/>
    </x:xf>
    <x:xf numFmtId="49" fontId="8" fillId="2" borderId="1" xfId="0" applyNumberFormat="1" applyFont="1" applyFill="1" applyBorder="1" applyAlignment="1">
      <x:alignment horizontal="left" vertical="center" wrapText="1"/>
    </x:xf>
    <x:xf numFmtId="0" fontId="9" fillId="4" borderId="1" xfId="0" applyFont="1" applyFill="1" applyBorder="1"/>
    <x:xf numFmtId="0" fontId="3" fillId="0" borderId="2" xfId="0" applyFont="1" applyBorder="1"/>
    <x:xf numFmtId="0" fontId="10" fillId="2" borderId="1" xfId="0" applyFont="1" applyFill="1" applyBorder="1" applyAlignment="1">
      <x:alignment horizontal="left" vertical="center" wrapText="1"/>
    </x:xf>
    <x:xf numFmtId="0" fontId="10" fillId="2" borderId="2" xfId="0" applyFont="1" applyFill="1" applyBorder="1" applyAlignment="1">
      <x:alignment horizontal="left" vertical="center" wrapText="1"/>
    </x:xf>
    <x:xf numFmtId="0" fontId="7" fillId="0" borderId="1" xfId="0" applyFont="1" applyBorder="1"/>
    <x:xf numFmtId="0" fontId="1" fillId="0" borderId="1" xfId="0" applyFont="1" applyBorder="1" applyAlignment="1">
      <x:alignment horizontal="left"/>
    </x:xf>
    <x:xf numFmtId="0" fontId="1" fillId="0" borderId="0" xfId="0" applyFont="1"/>
    <x:xf numFmtId="0" fontId="7" fillId="0" borderId="0" xfId="0" applyFont="1"/>
    <x:xf numFmtId="0" fontId="6" fillId="0" borderId="1" xfId="0" applyFont="1" applyBorder="1" applyAlignment="1">
      <x:alignment horizontal="left" vertical="center" wrapText="1"/>
    </x:xf>
    <x:xf numFmtId="0" fontId="6" fillId="0" borderId="1" xfId="0" applyFont="1" applyBorder="1" applyAlignment="1">
      <x:alignment horizontal="left" vertical="center"/>
    </x:xf>
    <x:xf numFmtId="0" fontId="11" fillId="0" borderId="1" xfId="0" applyFont="1" applyBorder="1" applyAlignment="1">
      <x:alignment horizontal="left" vertical="center" wrapText="1"/>
    </x:xf>
    <x:xf numFmtId="0" fontId="11" fillId="0" borderId="1" xfId="0" applyFont="1" applyBorder="1" applyAlignment="1">
      <x:alignment horizontal="left" vertical="center"/>
    </x:xf>
    <x:xf numFmtId="0" fontId="3" fillId="0" borderId="1" xfId="0" applyFont="1" applyBorder="1" applyAlignment="1">
      <x:alignment horizontal="left" vertical="center" wrapText="1"/>
    </x:xf>
    <x:xf numFmtId="0" fontId="1" fillId="0" borderId="1" xfId="0" applyFont="1" applyBorder="1" applyAlignment="1">
      <x:alignment horizontal="left" vertical="center" wrapText="1"/>
    </x:xf>
    <x:xf numFmtId="0" fontId="12" fillId="0" borderId="1" xfId="0" applyFont="1" applyBorder="1" applyAlignment="1">
      <x:alignment horizontal="left" vertical="center" wrapText="1"/>
    </x:xf>
    <x:xf numFmtId="0" fontId="11" fillId="0" borderId="1" xfId="0" applyFont="1" applyBorder="1" applyAlignment="1">
      <x:alignment horizontal="left"/>
    </x:xf>
    <x:xf numFmtId="49" fontId="11" fillId="0" borderId="1" xfId="0" applyNumberFormat="1" applyFont="1" applyBorder="1" applyAlignment="1">
      <x:alignment horizontal="left" vertical="center" wrapText="1"/>
    </x:xf>
    <x:xf numFmtId="0" fontId="10" fillId="4" borderId="1" xfId="0" applyFont="1" applyFill="1" applyBorder="1"/>
    <x:xf numFmtId="0" fontId="10" fillId="7" borderId="1" xfId="0" applyFont="1" applyFill="1" applyBorder="1"/>
    <x:xf numFmtId="0" fontId="13" fillId="0" borderId="1" xfId="0" applyFont="1" applyBorder="1" applyAlignment="1">
      <x:alignment horizontal="left" vertical="center" wrapText="1"/>
    </x:xf>
    <x:xf numFmtId="0" fontId="1" fillId="2" borderId="1" xfId="0" applyFont="1" applyFill="1" applyBorder="1" applyAlignment="1">
      <x:alignment horizontal="left"/>
    </x:xf>
    <x:xf numFmtId="0" fontId="8" fillId="7" borderId="1" xfId="0" applyFont="1" applyFill="1" applyBorder="1" applyAlignment="1">
      <x:alignment horizontal="left" vertical="center" wrapText="1"/>
    </x:xf>
    <x:xf numFmtId="0" fontId="8" fillId="3" borderId="1" xfId="0" applyFont="1" applyFill="1" applyBorder="1" applyAlignment="1">
      <x:alignment horizontal="left" vertical="center" wrapText="1"/>
    </x:xf>
    <x:xf numFmtId="0" fontId="11" fillId="0" borderId="1" xfId="0" applyFont="1" applyBorder="1" applyAlignment="1">
      <x:alignment horizontal="left" wrapText="1"/>
    </x:xf>
    <x:xf numFmtId="0" fontId="9" fillId="0" borderId="1" xfId="0" applyFont="1" applyBorder="1" applyAlignment="1">
      <x:alignment horizontal="left" vertical="center" wrapText="1"/>
    </x:xf>
    <x:xf numFmtId="0" fontId="14" fillId="0" borderId="1" xfId="0" applyFont="1" applyBorder="1" applyAlignment="1">
      <x:alignment horizontal="left" vertical="center" wrapText="1"/>
    </x:xf>
    <x:xf numFmtId="0" fontId="14" fillId="0" borderId="1" xfId="0" applyFont="1" applyBorder="1" applyAlignment="1">
      <x:alignment horizontal="left" vertical="center"/>
    </x:xf>
    <x:xf numFmtId="0" fontId="14" fillId="0" borderId="1" xfId="0" applyFont="1" applyBorder="1" applyAlignment="1">
      <x:alignment horizontal="left"/>
    </x:xf>
    <x:xf numFmtId="0" fontId="12" fillId="0" borderId="1" xfId="0" applyFont="1" applyBorder="1" applyAlignment="1">
      <x:alignment horizontal="left"/>
    </x:xf>
    <x:xf numFmtId="49" fontId="6" fillId="0" borderId="1" xfId="0" applyNumberFormat="1" applyFont="1" applyBorder="1" applyAlignment="1">
      <x:alignment horizontal="left" vertical="center"/>
    </x:xf>
    <x:xf numFmtId="0" fontId="15" fillId="0" borderId="0" xfId="0" applyFont="1"/>
    <x:xf numFmtId="0" fontId="0" fillId="0" borderId="0" xfId="0" applyNumberFormat="1" applyFont="1" applyFill="1" applyBorder="1"/>
    <x:xf numFmtId="0" fontId="0" fillId="0" borderId="3" xfId="0" applyNumberFormat="1" applyFont="1" applyFill="1" applyBorder="1"/>
    <x:xf numFmtId="0" fontId="0" fillId="0" borderId="3" xfId="0" applyNumberFormat="1" applyFont="1" applyFill="1" applyBorder="1" applyAlignment="1">
      <x:alignment horizontal="center"/>
    </x:xf>
    <x:xf numFmtId="0" fontId="0" fillId="9" borderId="3" xfId="0" applyNumberFormat="1" applyFont="1" applyFill="1" applyBorder="1" applyAlignment="1">
      <x:alignment horizontal="center"/>
    </x:xf>
    <x:xf numFmtId="0" fontId="0" fillId="10" borderId="3" xfId="0" applyNumberFormat="1" applyFont="1" applyFill="1" applyBorder="1" applyAlignment="1">
      <x:alignment horizontal="center"/>
    </x:xf>
    <x:xf numFmtId="0" fontId="0" fillId="11" borderId="3" xfId="0" applyNumberFormat="1" applyFont="1" applyFill="1" applyBorder="1" applyAlignment="1">
      <x:alignment horizontal="center"/>
    </x:xf>
    <x:xf numFmtId="0" fontId="0" fillId="0" borderId="4" xfId="0" applyNumberFormat="1" applyFont="1" applyFill="1" applyBorder="1"/>
    <x:xf numFmtId="0" fontId="0" fillId="0" borderId="4" xfId="0" applyNumberFormat="1" applyFont="1" applyFill="1" applyBorder="1" applyAlignment="1">
      <x:alignment horizontal="center"/>
    </x:xf>
    <x:xf numFmtId="0" fontId="0" fillId="0" borderId="4" xfId="0" applyNumberFormat="1" applyFont="1" applyFill="1" applyBorder="1" applyAlignment="1">
      <x:alignment horizontal="right"/>
    </x:xf>
    <x:xf numFmtId="200" fontId="0" fillId="0" borderId="4" xfId="0" applyNumberFormat="1" applyFont="1" applyFill="1" applyBorder="1" applyAlignment="1">
      <x:alignment horizontal="right"/>
    </x:xf>
    <x:xf numFmtId="201" fontId="0" fillId="0" borderId="4" xfId="0" applyNumberFormat="1" applyFont="1" applyFill="1" applyBorder="1" applyAlignment="1">
      <x:alignment horizontal="right"/>
    </x:xf>
    <x:xf numFmtId="0" fontId="0" fillId="12" borderId="3" xfId="0" applyNumberFormat="1" applyFont="1" applyFill="1" applyBorder="1" applyAlignment="1">
      <x:alignment horizontal="center"/>
    </x:xf>
    <x:xf numFmtId="0" fontId="0" fillId="13" borderId="3" xfId="0" applyNumberFormat="1" applyFont="1" applyFill="1" applyBorder="1" applyAlignment="1">
      <x:alignment horizontal="center"/>
    </x:xf>
    <x:xf numFmtId="202" fontId="0" fillId="0" borderId="4" xfId="0" applyNumberFormat="1" applyFont="1" applyFill="1" applyBorder="1" applyAlignment="1">
      <x:alignment horizontal="right"/>
    </x:xf>
  </x:cellXfs>
  <x:cellStyles count="1">
    <x:cellStyle name="標準" xfId="0"/>
  </x:cellStyles>
  <x:dxfs count="168">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A61B1B"/>
      </x:font>
      <x:fill>
        <x:patternFill>
          <x:bgColor rgb="FFFCE8E6"/>
        </x:patternFill>
      </x:fill>
    </x:dxf>
    <x:dxf>
      <x:font>
        <x:color rgb="FF7F6000"/>
      </x:font>
      <x:fill>
        <x:patternFill>
          <x:bgColor rgb="FFFFF2CC"/>
        </x:patternFill>
      </x:fill>
    </x:dxf>
    <x:dxf>
      <x:font>
        <x:color rgb="FF375623"/>
      </x:font>
      <x:fill>
        <x:patternFill>
          <x:bgColor rgb="FFE2F0D9"/>
        </x:patternFill>
      </x:fill>
    </x:dxf>
    <x:dxf>
      <x:font>
        <x:color rgb="FFA61B1B"/>
      </x:font>
      <x:fill>
        <x:patternFill patternType="solid">
          <x:bgColor rgb="FFFCE8E6"/>
        </x:patternFill>
      </x:fill>
    </x:dxf>
    <x:dxf>
      <x:font>
        <x:color rgb="FF7F6000"/>
      </x:font>
      <x:fill>
        <x:patternFill patternType="solid">
          <x:bgColor rgb="FFFFF2CC"/>
        </x:patternFill>
      </x:fill>
    </x:dxf>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84642875654ddb" /><Relationship Type="http://schemas.openxmlformats.org/officeDocument/2006/relationships/theme" Target="/xl/theme/theme1.xml" Id="Raad295d157854805" /><Relationship Type="http://schemas.openxmlformats.org/officeDocument/2006/relationships/sharedStrings" Target="/xl/sharedStrings.xml" Id="Ra3112ad160d5434d" /><Relationship Type="http://schemas.openxmlformats.org/officeDocument/2006/relationships/worksheet" Target="/xl/worksheets/sheet1.xml" Id="Rdaf3c36c0d604366" /><Relationship Type="http://schemas.openxmlformats.org/officeDocument/2006/relationships/worksheet" Target="/xl/worksheets/sheet2.xml" Id="Rc4bda24b0f4346ec" /><Relationship Type="http://schemas.openxmlformats.org/officeDocument/2006/relationships/worksheet" Target="/xl/worksheets/sheet3.xml" Id="R18becd09d0dd4775" /><Relationship Type="http://schemas.openxmlformats.org/officeDocument/2006/relationships/worksheet" Target="/xl/worksheets/sheet4.xml" Id="Re02295f4c6ac4890" /><Relationship Type="http://schemas.openxmlformats.org/officeDocument/2006/relationships/worksheet" Target="/xl/worksheets/sheet5.xml" Id="R34c262b0a5a84ccb" /><Relationship Type="http://schemas.openxmlformats.org/officeDocument/2006/relationships/worksheet" Target="/xl/worksheets/sheet6.xml" Id="Rb2bb13e1acdb4a20" /><Relationship Type="http://schemas.openxmlformats.org/officeDocument/2006/relationships/worksheet" Target="/xl/worksheets/sheet7.xml" Id="R5c75ffb1e80343b1" /><Relationship Type="http://schemas.openxmlformats.org/officeDocument/2006/relationships/worksheet" Target="/xl/worksheets/sheet8.xml" Id="R8dc1b50f46dd457d" /><Relationship Type="http://schemas.openxmlformats.org/officeDocument/2006/relationships/worksheet" Target="/xl/worksheets/sheet9.xml" Id="R58553e9c1e294875" /><Relationship Type="http://schemas.openxmlformats.org/officeDocument/2006/relationships/worksheet" Target="/xl/worksheets/sheet10.xml" Id="Ra8e553cf5f5948e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125" defaultRowHeight="18"/>
  <x:cols>
    <x:col min="1" max="1" width="18" style="23" customWidth="1"/>
    <x:col min="2" max="2" width="10.625" style="23" customWidth="1"/>
    <x:col min="3" max="3" width="9.75" style="23" customWidth="1"/>
    <x:col min="4" max="4" width="8.25" style="23" customWidth="1"/>
    <x:col min="5" max="5" width="4.625" style="23" customWidth="1"/>
    <x:col min="6" max="6" width="23.125" style="23" customWidth="1"/>
    <x:col min="7" max="7" width="25.125" style="23" customWidth="1"/>
    <x:col min="8" max="8" width="31.25" style="23" customWidth="1"/>
    <x:col min="9" max="9" width="33.375" style="23" customWidth="1"/>
    <x:col min="10" max="68" width="9.125" style="23" customWidth="1"/>
    <x:col min="69" max="16384" width="9.125" style="23" customWidth="0"/>
  </x:cols>
  <x:sheetData>
    <x:row r="1" ht="18.399999618530273" customHeight="1">
      <x:c r="A1" s="44" t="s">
        <x:v>0</x:v>
      </x:c>
      <x:c r="B1" s="44" t="s">
        <x:v>1</x:v>
      </x:c>
      <x:c r="C1" s="44" t="s">
        <x:v>2</x:v>
      </x:c>
      <x:c r="D1" s="44" t="s">
        <x:v>3</x:v>
      </x:c>
      <x:c r="E1" s="44" t="s">
        <x:v>4</x:v>
      </x:c>
      <x:c r="F1" s="44" t="s">
        <x:v>5</x:v>
      </x:c>
      <x:c r="G1" s="45" t="s">
        <x:v>6</x:v>
      </x:c>
      <x:c r="H1" s="44" t="s">
        <x:v>7</x:v>
      </x:c>
      <x:c r="I1" s="44" t="s">
        <x:v>8</x:v>
      </x:c>
    </x:row>
    <x:row r="2" ht="18" customHeight="1">
      <x:c r="A2" s="7" t="s">
        <x:v>9</x:v>
      </x:c>
      <x:c r="B2" s="7" t="s">
        <x:v>10</x:v>
      </x:c>
      <x:c r="C2" s="7" t="s">
        <x:v>11</x:v>
      </x:c>
      <x:c r="D2" s="7" t="s">
        <x:v>12</x:v>
      </x:c>
      <x:c r="E2" s="7">
        <x:v>37</x:v>
      </x:c>
      <x:c r="F2" s="7"/>
      <x:c r="G2" s="43"/>
      <x:c r="H2" s="7"/>
      <x:c r="I2" s="7"/>
    </x:row>
    <x:row r="3" ht="18" customHeight="1">
      <x:c r="A3" s="7" t="s">
        <x:v>13</x:v>
      </x:c>
      <x:c r="B3" s="7" t="s">
        <x:v>14</x:v>
      </x:c>
      <x:c r="C3" s="7" t="s">
        <x:v>11</x:v>
      </x:c>
      <x:c r="D3" s="7" t="s">
        <x:v>12</x:v>
      </x:c>
      <x:c r="E3" s="7">
        <x:v>28</x:v>
      </x:c>
      <x:c r="F3" s="7"/>
      <x:c r="G3" s="43"/>
      <x:c r="H3" s="7"/>
      <x:c r="I3" s="7"/>
    </x:row>
    <x:row r="4" ht="18" customHeight="1">
      <x:c r="A4" s="7" t="s">
        <x:v>15</x:v>
      </x:c>
      <x:c r="B4" s="11" t="s">
        <x:v>16</x:v>
      </x:c>
      <x:c r="C4" s="7" t="s">
        <x:v>11</x:v>
      </x:c>
      <x:c r="D4" s="7" t="s">
        <x:v>12</x:v>
      </x:c>
      <x:c r="E4" s="7">
        <x:v>24</x:v>
      </x:c>
      <x:c r="F4" s="7"/>
      <x:c r="G4" s="43"/>
      <x:c r="H4" s="7"/>
      <x:c r="I4" s="7"/>
    </x:row>
    <x:row r="5" ht="18" customHeight="1">
      <x:c r="A5" s="7" t="s">
        <x:v>17</x:v>
      </x:c>
      <x:c r="B5" s="7" t="s">
        <x:v>18</x:v>
      </x:c>
      <x:c r="C5" s="7" t="s">
        <x:v>11</x:v>
      </x:c>
      <x:c r="D5" s="7" t="s">
        <x:v>12</x:v>
      </x:c>
      <x:c r="E5" s="7">
        <x:v>40</x:v>
      </x:c>
      <x:c r="F5" s="7"/>
      <x:c r="G5" s="43"/>
      <x:c r="H5" s="7"/>
      <x:c r="I5" s="7"/>
    </x:row>
    <x:row r="6" ht="18" customHeight="1">
      <x:c r="A6" s="7" t="s">
        <x:v>19</x:v>
      </x:c>
      <x:c r="B6" s="7" t="s">
        <x:v>20</x:v>
      </x:c>
      <x:c r="C6" s="7" t="s">
        <x:v>11</x:v>
      </x:c>
      <x:c r="D6" s="7" t="s">
        <x:v>21</x:v>
      </x:c>
      <x:c r="E6" s="7">
        <x:v>20</x:v>
      </x:c>
      <x:c r="F6" s="7"/>
      <x:c r="G6" s="43"/>
      <x:c r="H6" s="7"/>
      <x:c r="I6" s="7"/>
    </x:row>
    <x:row r="7" ht="18" customHeight="1">
      <x:c r="A7" s="7" t="s">
        <x:v>22</x:v>
      </x:c>
      <x:c r="B7" s="7" t="s">
        <x:v>23</x:v>
      </x:c>
      <x:c r="C7" s="7" t="s">
        <x:v>11</x:v>
      </x:c>
      <x:c r="D7" s="7" t="s">
        <x:v>12</x:v>
      </x:c>
      <x:c r="E7" s="7">
        <x:v>18</x:v>
      </x:c>
      <x:c r="F7" s="7"/>
      <x:c r="G7" s="43"/>
      <x:c r="H7" s="7"/>
      <x:c r="I7" s="7"/>
    </x:row>
    <x:row r="8" ht="18" customHeight="1">
      <x:c r="A8" s="7" t="s">
        <x:v>24</x:v>
      </x:c>
      <x:c r="B8" s="7" t="s">
        <x:v>25</x:v>
      </x:c>
      <x:c r="C8" s="7" t="s">
        <x:v>11</x:v>
      </x:c>
      <x:c r="D8" s="7" t="s">
        <x:v>21</x:v>
      </x:c>
      <x:c r="E8" s="7">
        <x:v>16</x:v>
      </x:c>
      <x:c r="F8" s="7"/>
      <x:c r="G8" s="43"/>
      <x:c r="H8" s="7"/>
      <x:c r="I8" s="7"/>
    </x:row>
    <x:row r="9" ht="18" customHeight="1">
      <x:c r="A9" s="7" t="s">
        <x:v>26</x:v>
      </x:c>
      <x:c r="B9" s="11" t="s">
        <x:v>27</x:v>
      </x:c>
      <x:c r="C9" s="7" t="s">
        <x:v>11</x:v>
      </x:c>
      <x:c r="D9" s="7" t="s">
        <x:v>12</x:v>
      </x:c>
      <x:c r="E9" s="7">
        <x:v>40</x:v>
      </x:c>
      <x:c r="F9" s="7"/>
      <x:c r="G9" s="43"/>
      <x:c r="H9" s="7"/>
      <x:c r="I9" s="7"/>
    </x:row>
    <x:row r="10" ht="18" customHeight="1">
      <x:c r="A10" s="7" t="s">
        <x:v>28</x:v>
      </x:c>
      <x:c r="B10" s="7" t="s">
        <x:v>29</x:v>
      </x:c>
      <x:c r="C10" s="7" t="s">
        <x:v>11</x:v>
      </x:c>
      <x:c r="D10" s="7" t="s">
        <x:v>12</x:v>
      </x:c>
      <x:c r="E10" s="7">
        <x:v>42</x:v>
      </x:c>
      <x:c r="F10" s="7"/>
      <x:c r="G10" s="43"/>
      <x:c r="H10" s="7"/>
      <x:c r="I10" s="7"/>
    </x:row>
    <x:row r="11" ht="18" customHeight="1">
      <x:c r="A11" s="7" t="s">
        <x:v>30</x:v>
      </x:c>
      <x:c r="B11" s="7" t="s">
        <x:v>31</x:v>
      </x:c>
      <x:c r="C11" s="7" t="s">
        <x:v>11</x:v>
      </x:c>
      <x:c r="D11" s="7" t="s">
        <x:v>12</x:v>
      </x:c>
      <x:c r="E11" s="7">
        <x:v>21</x:v>
      </x:c>
      <x:c r="F11" s="7"/>
      <x:c r="G11" s="43"/>
      <x:c r="H11" s="7"/>
      <x:c r="I11" s="7"/>
    </x:row>
    <x:row r="12" ht="18" customHeight="1">
      <x:c r="A12" s="7" t="s">
        <x:v>32</x:v>
      </x:c>
      <x:c r="B12" s="7" t="s">
        <x:v>33</x:v>
      </x:c>
      <x:c r="C12" s="7" t="s">
        <x:v>11</x:v>
      </x:c>
      <x:c r="D12" s="7" t="s">
        <x:v>12</x:v>
      </x:c>
      <x:c r="E12" s="7">
        <x:v>32</x:v>
      </x:c>
      <x:c r="F12" s="7"/>
      <x:c r="G12" s="43"/>
      <x:c r="H12" s="7"/>
      <x:c r="I12" s="7"/>
    </x:row>
    <x:row r="13" ht="18" customHeight="1">
      <x:c r="A13" s="7" t="s">
        <x:v>34</x:v>
      </x:c>
      <x:c r="B13" s="7" t="s">
        <x:v>35</x:v>
      </x:c>
      <x:c r="C13" s="7" t="s">
        <x:v>11</x:v>
      </x:c>
      <x:c r="D13" s="7" t="s">
        <x:v>12</x:v>
      </x:c>
      <x:c r="E13" s="7">
        <x:v>49</x:v>
      </x:c>
      <x:c r="F13" s="7"/>
      <x:c r="G13" s="43"/>
      <x:c r="H13" s="7"/>
      <x:c r="I13" s="7"/>
    </x:row>
    <x:row r="14" ht="18" customHeight="1">
      <x:c r="A14" s="7" t="s">
        <x:v>36</x:v>
      </x:c>
      <x:c r="B14" s="7" t="s">
        <x:v>37</x:v>
      </x:c>
      <x:c r="C14" s="7" t="s">
        <x:v>11</x:v>
      </x:c>
      <x:c r="D14" s="7" t="s">
        <x:v>12</x:v>
      </x:c>
      <x:c r="E14" s="7">
        <x:v>22</x:v>
      </x:c>
      <x:c r="F14" s="7"/>
      <x:c r="G14" s="43"/>
      <x:c r="H14" s="7"/>
      <x:c r="I14" s="7"/>
    </x:row>
    <x:row r="15" ht="18" customHeight="1">
      <x:c r="A15" s="7" t="s">
        <x:v>38</x:v>
      </x:c>
      <x:c r="B15" s="7" t="s">
        <x:v>39</x:v>
      </x:c>
      <x:c r="C15" s="7" t="s">
        <x:v>11</x:v>
      </x:c>
      <x:c r="D15" s="7" t="s">
        <x:v>12</x:v>
      </x:c>
      <x:c r="E15" s="7">
        <x:v>55</x:v>
      </x:c>
      <x:c r="F15" s="7"/>
      <x:c r="G15" s="43"/>
      <x:c r="H15" s="7"/>
      <x:c r="I15" s="7"/>
    </x:row>
    <x:row r="16" ht="18" customHeight="1">
      <x:c r="A16" s="11" t="s">
        <x:v>40</x:v>
      </x:c>
      <x:c r="B16" s="7" t="s">
        <x:v>41</x:v>
      </x:c>
      <x:c r="C16" s="7" t="s">
        <x:v>11</x:v>
      </x:c>
      <x:c r="D16" s="7" t="s">
        <x:v>12</x:v>
      </x:c>
      <x:c r="E16" s="7">
        <x:v>38</x:v>
      </x:c>
      <x:c r="F16" s="7"/>
      <x:c r="G16" s="43"/>
      <x:c r="H16" s="7"/>
      <x:c r="I16" s="7"/>
    </x:row>
    <x:row r="17" ht="18" customHeight="1">
      <x:c r="A17" s="7" t="s">
        <x:v>42</x:v>
      </x:c>
      <x:c r="B17" s="7" t="s">
        <x:v>43</x:v>
      </x:c>
      <x:c r="C17" s="7" t="s">
        <x:v>11</x:v>
      </x:c>
      <x:c r="D17" s="7" t="s">
        <x:v>12</x:v>
      </x:c>
      <x:c r="E17" s="7">
        <x:v>44</x:v>
      </x:c>
      <x:c r="F17" s="7"/>
      <x:c r="G17" s="43"/>
      <x:c r="H17" s="7"/>
      <x:c r="I17" s="7"/>
    </x:row>
    <x:row r="18" ht="18" customHeight="1">
      <x:c r="A18" s="11" t="s">
        <x:v>44</x:v>
      </x:c>
      <x:c r="B18" s="11" t="s">
        <x:v>45</x:v>
      </x:c>
      <x:c r="C18" s="7" t="s">
        <x:v>11</x:v>
      </x:c>
      <x:c r="D18" s="7" t="s">
        <x:v>12</x:v>
      </x:c>
      <x:c r="E18" s="7">
        <x:v>28</x:v>
      </x:c>
      <x:c r="F18" s="7"/>
      <x:c r="G18" s="43"/>
      <x:c r="H18" s="7"/>
      <x:c r="I18" s="7"/>
    </x:row>
    <x:row r="19" ht="18" customHeight="1">
      <x:c r="A19" s="11" t="s">
        <x:v>46</x:v>
      </x:c>
      <x:c r="B19" s="11" t="s">
        <x:v>47</x:v>
      </x:c>
      <x:c r="C19" s="7" t="s">
        <x:v>11</x:v>
      </x:c>
      <x:c r="D19" s="7" t="s">
        <x:v>12</x:v>
      </x:c>
      <x:c r="E19" s="7">
        <x:v>28</x:v>
      </x:c>
      <x:c r="F19" s="7"/>
      <x:c r="G19" s="43"/>
      <x:c r="H19" s="7"/>
      <x:c r="I19" s="7"/>
    </x:row>
    <x:row r="20" ht="18" customHeight="1">
      <x:c r="A20" s="11" t="s">
        <x:v>48</x:v>
      </x:c>
      <x:c r="B20" s="11" t="s">
        <x:v>49</x:v>
      </x:c>
      <x:c r="C20" s="7" t="s">
        <x:v>11</x:v>
      </x:c>
      <x:c r="D20" s="7" t="s">
        <x:v>12</x:v>
      </x:c>
      <x:c r="E20" s="7">
        <x:v>41</x:v>
      </x:c>
      <x:c r="F20" s="7"/>
      <x:c r="G20" s="43"/>
      <x:c r="H20" s="7"/>
      <x:c r="I20" s="7"/>
    </x:row>
    <x:row r="21" ht="18" customHeight="1">
      <x:c r="A21" s="7" t="s">
        <x:v>50</x:v>
      </x:c>
      <x:c r="B21" s="7" t="s">
        <x:v>51</x:v>
      </x:c>
      <x:c r="C21" s="7" t="s">
        <x:v>11</x:v>
      </x:c>
      <x:c r="D21" s="7" t="s">
        <x:v>12</x:v>
      </x:c>
      <x:c r="E21" s="7">
        <x:v>46</x:v>
      </x:c>
      <x:c r="F21" s="7"/>
      <x:c r="G21" s="43"/>
      <x:c r="H21" s="7"/>
      <x:c r="I21" s="7"/>
    </x:row>
    <x:row r="22" ht="18" customHeight="1">
      <x:c r="A22" s="7" t="s">
        <x:v>52</x:v>
      </x:c>
      <x:c r="B22" s="7" t="s">
        <x:v>53</x:v>
      </x:c>
      <x:c r="C22" s="7" t="s">
        <x:v>11</x:v>
      </x:c>
      <x:c r="D22" s="7" t="s">
        <x:v>12</x:v>
      </x:c>
      <x:c r="E22" s="7">
        <x:v>52</x:v>
      </x:c>
      <x:c r="F22" s="7"/>
      <x:c r="G22" s="43"/>
      <x:c r="H22" s="7"/>
      <x:c r="I22" s="7"/>
    </x:row>
    <x:row r="23" ht="18" customHeight="1">
      <x:c r="A23" s="7" t="s">
        <x:v>54</x:v>
      </x:c>
      <x:c r="B23" s="7" t="s">
        <x:v>55</x:v>
      </x:c>
      <x:c r="C23" s="7" t="s">
        <x:v>11</x:v>
      </x:c>
      <x:c r="D23" s="7" t="s">
        <x:v>21</x:v>
      </x:c>
      <x:c r="E23" s="7">
        <x:v>23</x:v>
      </x:c>
      <x:c r="F23" s="7"/>
      <x:c r="G23" s="43"/>
      <x:c r="H23" s="7"/>
      <x:c r="I23" s="7"/>
    </x:row>
    <x:row r="24" ht="18" customHeight="1">
      <x:c r="A24" s="7" t="s">
        <x:v>56</x:v>
      </x:c>
      <x:c r="B24" s="7" t="s">
        <x:v>57</x:v>
      </x:c>
      <x:c r="C24" s="7" t="s">
        <x:v>11</x:v>
      </x:c>
      <x:c r="D24" s="7" t="s">
        <x:v>12</x:v>
      </x:c>
      <x:c r="E24" s="7">
        <x:v>26</x:v>
      </x:c>
      <x:c r="F24" s="7"/>
      <x:c r="G24" s="43"/>
      <x:c r="H24" s="7"/>
      <x:c r="I24" s="7"/>
    </x:row>
    <x:row r="25" ht="18" customHeight="1">
      <x:c r="A25" s="7" t="s">
        <x:v>58</x:v>
      </x:c>
      <x:c r="B25" s="7" t="s">
        <x:v>59</x:v>
      </x:c>
      <x:c r="C25" s="7" t="s">
        <x:v>11</x:v>
      </x:c>
      <x:c r="D25" s="7" t="s">
        <x:v>21</x:v>
      </x:c>
      <x:c r="E25" s="7">
        <x:v>56</x:v>
      </x:c>
      <x:c r="F25" s="7"/>
      <x:c r="G25" s="43"/>
      <x:c r="H25" s="7"/>
      <x:c r="I25" s="7"/>
    </x:row>
    <x:row r="26" ht="18" customHeight="1">
      <x:c r="A26" s="7" t="s">
        <x:v>60</x:v>
      </x:c>
      <x:c r="B26" s="7" t="s">
        <x:v>61</x:v>
      </x:c>
      <x:c r="C26" s="7" t="s">
        <x:v>62</x:v>
      </x:c>
      <x:c r="D26" s="7" t="s">
        <x:v>12</x:v>
      </x:c>
      <x:c r="E26" s="7">
        <x:v>44</x:v>
      </x:c>
      <x:c r="F26" s="7" t="s">
        <x:v>63</x:v>
      </x:c>
      <x:c r="G26" s="43" t="s">
        <x:v>64</x:v>
      </x:c>
      <x:c r="H26" s="7" t="s">
        <x:v>65</x:v>
      </x:c>
      <x:c r="I26" s="7" t="s">
        <x:v>66</x:v>
      </x:c>
    </x:row>
    <x:row r="27" ht="18" customHeight="1">
      <x:c r="A27" s="7" t="s">
        <x:v>67</x:v>
      </x:c>
      <x:c r="B27" s="7" t="s">
        <x:v>68</x:v>
      </x:c>
      <x:c r="C27" s="7" t="s">
        <x:v>62</x:v>
      </x:c>
      <x:c r="D27" s="7" t="s">
        <x:v>21</x:v>
      </x:c>
      <x:c r="E27" s="7">
        <x:v>46</x:v>
      </x:c>
      <x:c r="F27" s="7" t="s">
        <x:v>69</x:v>
      </x:c>
      <x:c r="G27" s="43" t="s">
        <x:v>70</x:v>
      </x:c>
      <x:c r="H27" s="7" t="s">
        <x:v>71</x:v>
      </x:c>
      <x:c r="I27" s="7" t="s">
        <x:v>72</x:v>
      </x:c>
    </x:row>
    <x:row r="28" ht="18" customHeight="1">
      <x:c r="A28" s="7" t="s">
        <x:v>73</x:v>
      </x:c>
      <x:c r="B28" s="7" t="s">
        <x:v>74</x:v>
      </x:c>
      <x:c r="C28" s="7" t="s">
        <x:v>62</x:v>
      </x:c>
      <x:c r="D28" s="7" t="s">
        <x:v>12</x:v>
      </x:c>
      <x:c r="E28" s="7">
        <x:v>62</x:v>
      </x:c>
      <x:c r="F28" s="7" t="s">
        <x:v>75</x:v>
      </x:c>
      <x:c r="G28" s="43" t="s">
        <x:v>76</x:v>
      </x:c>
      <x:c r="H28" s="7" t="s">
        <x:v>77</x:v>
      </x:c>
      <x:c r="I28" s="7" t="s">
        <x:v>78</x:v>
      </x:c>
    </x:row>
    <x:row r="29" ht="18" customHeight="1">
      <x:c r="A29" s="7" t="s">
        <x:v>79</x:v>
      </x:c>
      <x:c r="B29" s="7" t="s">
        <x:v>80</x:v>
      </x:c>
      <x:c r="C29" s="7" t="s">
        <x:v>62</x:v>
      </x:c>
      <x:c r="D29" s="7" t="s">
        <x:v>21</x:v>
      </x:c>
      <x:c r="E29" s="7">
        <x:v>76</x:v>
      </x:c>
      <x:c r="F29" s="7" t="s">
        <x:v>81</x:v>
      </x:c>
      <x:c r="G29" s="43" t="s">
        <x:v>82</x:v>
      </x:c>
      <x:c r="H29" s="7" t="s">
        <x:v>83</x:v>
      </x:c>
      <x:c r="I29" s="7" t="s">
        <x:v>84</x:v>
      </x:c>
    </x:row>
    <x:row r="30" ht="18" customHeight="1">
      <x:c r="A30" s="7" t="s">
        <x:v>85</x:v>
      </x:c>
      <x:c r="B30" s="7" t="s">
        <x:v>86</x:v>
      </x:c>
      <x:c r="C30" s="7" t="s">
        <x:v>62</x:v>
      </x:c>
      <x:c r="D30" s="7" t="s">
        <x:v>12</x:v>
      </x:c>
      <x:c r="E30" s="7">
        <x:v>24</x:v>
      </x:c>
      <x:c r="F30" s="7" t="s">
        <x:v>87</x:v>
      </x:c>
      <x:c r="G30" s="43" t="s">
        <x:v>88</x:v>
      </x:c>
      <x:c r="H30" s="7" t="s">
        <x:v>89</x:v>
      </x:c>
      <x:c r="I30" s="7" t="s">
        <x:v>90</x:v>
      </x:c>
    </x:row>
    <x:row r="31" ht="18" customHeight="1">
      <x:c r="A31" s="7" t="s">
        <x:v>91</x:v>
      </x:c>
      <x:c r="B31" s="7" t="s">
        <x:v>92</x:v>
      </x:c>
      <x:c r="C31" s="7" t="s">
        <x:v>62</x:v>
      </x:c>
      <x:c r="D31" s="7" t="s">
        <x:v>21</x:v>
      </x:c>
      <x:c r="E31" s="7">
        <x:v>18</x:v>
      </x:c>
      <x:c r="F31" s="7" t="s">
        <x:v>93</x:v>
      </x:c>
      <x:c r="G31" s="43" t="s">
        <x:v>94</x:v>
      </x:c>
      <x:c r="H31" s="7" t="s">
        <x:v>95</x:v>
      </x:c>
      <x:c r="I31" s="7" t="s">
        <x:v>66</x:v>
      </x:c>
    </x:row>
    <x:row r="32" ht="18" customHeight="1">
      <x:c r="A32" s="7" t="s">
        <x:v>96</x:v>
      </x:c>
      <x:c r="B32" s="7" t="s">
        <x:v>97</x:v>
      </x:c>
      <x:c r="C32" s="7" t="s">
        <x:v>62</x:v>
      </x:c>
      <x:c r="D32" s="7" t="s">
        <x:v>12</x:v>
      </x:c>
      <x:c r="E32" s="7">
        <x:v>41</x:v>
      </x:c>
      <x:c r="F32" s="7" t="s">
        <x:v>98</x:v>
      </x:c>
      <x:c r="G32" s="43" t="s">
        <x:v>99</x:v>
      </x:c>
      <x:c r="H32" s="7" t="s">
        <x:v>100</x:v>
      </x:c>
      <x:c r="I32" s="7" t="s">
        <x:v>66</x:v>
      </x:c>
    </x:row>
    <x:row r="33" ht="18" customHeight="1">
      <x:c r="A33" s="7" t="s">
        <x:v>101</x:v>
      </x:c>
      <x:c r="B33" s="7" t="s">
        <x:v>102</x:v>
      </x:c>
      <x:c r="C33" s="7" t="s">
        <x:v>62</x:v>
      </x:c>
      <x:c r="D33" s="7" t="s">
        <x:v>12</x:v>
      </x:c>
      <x:c r="E33" s="7">
        <x:v>43</x:v>
      </x:c>
      <x:c r="F33" s="7" t="s">
        <x:v>103</x:v>
      </x:c>
      <x:c r="G33" s="43" t="s">
        <x:v>104</x:v>
      </x:c>
      <x:c r="H33" s="7" t="s">
        <x:v>100</x:v>
      </x:c>
      <x:c r="I33" s="7" t="s">
        <x:v>105</x:v>
      </x:c>
    </x:row>
    <x:row r="34" ht="18" customHeight="1">
      <x:c r="A34" s="7" t="s">
        <x:v>106</x:v>
      </x:c>
      <x:c r="B34" s="7" t="s">
        <x:v>107</x:v>
      </x:c>
      <x:c r="C34" s="7" t="s">
        <x:v>62</x:v>
      </x:c>
      <x:c r="D34" s="7" t="s">
        <x:v>12</x:v>
      </x:c>
      <x:c r="E34" s="7">
        <x:v>34</x:v>
      </x:c>
      <x:c r="F34" s="7" t="s">
        <x:v>108</x:v>
      </x:c>
      <x:c r="G34" s="43" t="s">
        <x:v>64</x:v>
      </x:c>
      <x:c r="H34" s="7" t="s">
        <x:v>95</x:v>
      </x:c>
      <x:c r="I34" s="7" t="s">
        <x:v>109</x:v>
      </x:c>
    </x:row>
    <x:row r="35" ht="18" customHeight="1">
      <x:c r="A35" s="7" t="s">
        <x:v>110</x:v>
      </x:c>
      <x:c r="B35" s="7" t="s">
        <x:v>111</x:v>
      </x:c>
      <x:c r="C35" s="7" t="s">
        <x:v>62</x:v>
      </x:c>
      <x:c r="D35" s="7" t="s">
        <x:v>21</x:v>
      </x:c>
      <x:c r="E35" s="7">
        <x:v>32</x:v>
      </x:c>
      <x:c r="F35" s="7" t="s">
        <x:v>112</x:v>
      </x:c>
      <x:c r="G35" s="43" t="s">
        <x:v>82</x:v>
      </x:c>
      <x:c r="H35" s="7" t="s">
        <x:v>113</x:v>
      </x:c>
      <x:c r="I35" s="7" t="s">
        <x:v>72</x:v>
      </x:c>
    </x:row>
    <x:row r="36" ht="18" customHeight="1">
      <x:c r="A36" s="7" t="s">
        <x:v>114</x:v>
      </x:c>
      <x:c r="B36" s="7" t="s">
        <x:v>115</x:v>
      </x:c>
      <x:c r="C36" s="7" t="s">
        <x:v>62</x:v>
      </x:c>
      <x:c r="D36" s="7" t="s">
        <x:v>12</x:v>
      </x:c>
      <x:c r="E36" s="7">
        <x:v>31</x:v>
      </x:c>
      <x:c r="F36" s="7" t="s">
        <x:v>116</x:v>
      </x:c>
      <x:c r="G36" s="43" t="s">
        <x:v>117</x:v>
      </x:c>
      <x:c r="H36" s="7" t="s">
        <x:v>118</x:v>
      </x:c>
      <x:c r="I36" s="7" t="s">
        <x:v>119</x:v>
      </x:c>
    </x:row>
    <x:row r="37" ht="18" customHeight="1">
      <x:c r="A37" s="7" t="s">
        <x:v>120</x:v>
      </x:c>
      <x:c r="B37" s="7" t="s">
        <x:v>121</x:v>
      </x:c>
      <x:c r="C37" s="7" t="s">
        <x:v>62</x:v>
      </x:c>
      <x:c r="D37" s="7" t="s">
        <x:v>12</x:v>
      </x:c>
      <x:c r="E37" s="7">
        <x:v>25</x:v>
      </x:c>
      <x:c r="F37" s="7" t="s">
        <x:v>122</x:v>
      </x:c>
      <x:c r="G37" s="43" t="s">
        <x:v>123</x:v>
      </x:c>
      <x:c r="H37" s="7" t="s">
        <x:v>124</x:v>
      </x:c>
      <x:c r="I37" s="7" t="s">
        <x:v>125</x:v>
      </x:c>
    </x:row>
    <x:row r="38" ht="18" customHeight="1">
      <x:c r="A38" s="7" t="s">
        <x:v>126</x:v>
      </x:c>
      <x:c r="B38" s="7" t="s">
        <x:v>127</x:v>
      </x:c>
      <x:c r="C38" s="7" t="s">
        <x:v>62</x:v>
      </x:c>
      <x:c r="D38" s="7" t="s">
        <x:v>12</x:v>
      </x:c>
      <x:c r="E38" s="7">
        <x:v>48</x:v>
      </x:c>
      <x:c r="F38" s="7" t="s">
        <x:v>128</x:v>
      </x:c>
      <x:c r="G38" s="43" t="s">
        <x:v>88</x:v>
      </x:c>
      <x:c r="H38" s="7" t="s">
        <x:v>129</x:v>
      </x:c>
      <x:c r="I38" s="7" t="s">
        <x:v>130</x:v>
      </x:c>
    </x:row>
    <x:row r="39" ht="18" customHeight="1">
      <x:c r="A39" s="7" t="s">
        <x:v>131</x:v>
      </x:c>
      <x:c r="B39" s="7" t="s">
        <x:v>132</x:v>
      </x:c>
      <x:c r="C39" s="7" t="s">
        <x:v>62</x:v>
      </x:c>
      <x:c r="D39" s="7" t="s">
        <x:v>12</x:v>
      </x:c>
      <x:c r="E39" s="7">
        <x:v>16</x:v>
      </x:c>
      <x:c r="F39" s="7" t="s">
        <x:v>69</x:v>
      </x:c>
      <x:c r="G39" s="43" t="s">
        <x:v>133</x:v>
      </x:c>
      <x:c r="H39" s="7" t="s">
        <x:v>89</x:v>
      </x:c>
      <x:c r="I39" s="7" t="s">
        <x:v>109</x:v>
      </x:c>
    </x:row>
    <x:row r="40" ht="18" customHeight="1">
      <x:c r="A40" s="7" t="s">
        <x:v>134</x:v>
      </x:c>
      <x:c r="B40" s="7" t="s">
        <x:v>135</x:v>
      </x:c>
      <x:c r="C40" s="7" t="s">
        <x:v>62</x:v>
      </x:c>
      <x:c r="D40" s="7" t="s">
        <x:v>12</x:v>
      </x:c>
      <x:c r="E40" s="7">
        <x:v>30</x:v>
      </x:c>
      <x:c r="F40" s="7" t="s">
        <x:v>103</x:v>
      </x:c>
      <x:c r="G40" s="43" t="s">
        <x:v>136</x:v>
      </x:c>
      <x:c r="H40" s="7" t="s">
        <x:v>137</x:v>
      </x:c>
      <x:c r="I40" s="7" t="s">
        <x:v>138</x:v>
      </x:c>
    </x:row>
    <x:row r="41" ht="18" customHeight="1">
      <x:c r="A41" s="7" t="s">
        <x:v>139</x:v>
      </x:c>
      <x:c r="B41" s="7" t="s">
        <x:v>140</x:v>
      </x:c>
      <x:c r="C41" s="7" t="s">
        <x:v>62</x:v>
      </x:c>
      <x:c r="D41" s="7" t="s">
        <x:v>21</x:v>
      </x:c>
      <x:c r="E41" s="7">
        <x:v>39</x:v>
      </x:c>
      <x:c r="F41" s="7" t="s">
        <x:v>141</x:v>
      </x:c>
      <x:c r="G41" s="43" t="s">
        <x:v>142</x:v>
      </x:c>
      <x:c r="H41" s="7" t="s">
        <x:v>143</x:v>
      </x:c>
      <x:c r="I41" s="7" t="s">
        <x:v>144</x:v>
      </x:c>
    </x:row>
    <x:row r="42" ht="18" customHeight="1">
      <x:c r="A42" s="7" t="s">
        <x:v>145</x:v>
      </x:c>
      <x:c r="B42" s="7" t="s">
        <x:v>146</x:v>
      </x:c>
      <x:c r="C42" s="7" t="s">
        <x:v>62</x:v>
      </x:c>
      <x:c r="D42" s="7" t="s">
        <x:v>12</x:v>
      </x:c>
      <x:c r="E42" s="7">
        <x:v>68</x:v>
      </x:c>
      <x:c r="F42" s="7" t="s">
        <x:v>147</x:v>
      </x:c>
      <x:c r="G42" s="43" t="s">
        <x:v>148</x:v>
      </x:c>
      <x:c r="H42" s="7" t="s">
        <x:v>149</x:v>
      </x:c>
      <x:c r="I42" s="7" t="s">
        <x:v>150</x:v>
      </x:c>
    </x:row>
    <x:row r="43" ht="18" customHeight="1">
      <x:c r="A43" s="7" t="s">
        <x:v>151</x:v>
      </x:c>
      <x:c r="B43" s="7" t="s">
        <x:v>152</x:v>
      </x:c>
      <x:c r="C43" s="7" t="s">
        <x:v>62</x:v>
      </x:c>
      <x:c r="D43" s="7" t="s">
        <x:v>21</x:v>
      </x:c>
      <x:c r="E43" s="7">
        <x:v>61</x:v>
      </x:c>
      <x:c r="F43" s="7" t="s">
        <x:v>81</x:v>
      </x:c>
      <x:c r="G43" s="43" t="s">
        <x:v>153</x:v>
      </x:c>
      <x:c r="H43" s="7" t="s">
        <x:v>154</x:v>
      </x:c>
      <x:c r="I43" s="7" t="s">
        <x:v>84</x:v>
      </x:c>
    </x:row>
    <x:row r="44" ht="18" customHeight="1">
      <x:c r="A44" s="7" t="s">
        <x:v>155</x:v>
      </x:c>
      <x:c r="B44" s="11" t="s">
        <x:v>156</x:v>
      </x:c>
      <x:c r="C44" s="7" t="s">
        <x:v>62</x:v>
      </x:c>
      <x:c r="D44" s="7" t="s">
        <x:v>12</x:v>
      </x:c>
      <x:c r="E44" s="7">
        <x:v>36</x:v>
      </x:c>
      <x:c r="F44" s="7" t="s">
        <x:v>141</x:v>
      </x:c>
      <x:c r="G44" s="43" t="s">
        <x:v>157</x:v>
      </x:c>
      <x:c r="H44" s="7" t="s">
        <x:v>158</x:v>
      </x:c>
      <x:c r="I44" s="7" t="s">
        <x:v>109</x:v>
      </x:c>
    </x:row>
    <x:row r="45" ht="18" customHeight="1">
      <x:c r="A45" s="7" t="s">
        <x:v>159</x:v>
      </x:c>
      <x:c r="B45" s="7" t="s">
        <x:v>160</x:v>
      </x:c>
      <x:c r="C45" s="7" t="s">
        <x:v>62</x:v>
      </x:c>
      <x:c r="D45" s="7" t="s">
        <x:v>12</x:v>
      </x:c>
      <x:c r="E45" s="7">
        <x:v>33</x:v>
      </x:c>
      <x:c r="F45" s="7" t="s">
        <x:v>141</x:v>
      </x:c>
      <x:c r="G45" s="43" t="s">
        <x:v>153</x:v>
      </x:c>
      <x:c r="H45" s="7" t="s">
        <x:v>113</x:v>
      </x:c>
      <x:c r="I45" s="7" t="s">
        <x:v>119</x:v>
      </x:c>
    </x:row>
    <x:row r="46" ht="18" customHeight="1">
      <x:c r="A46" s="7" t="s">
        <x:v>161</x:v>
      </x:c>
      <x:c r="B46" s="7" t="s">
        <x:v>162</x:v>
      </x:c>
      <x:c r="C46" s="7" t="s">
        <x:v>62</x:v>
      </x:c>
      <x:c r="D46" s="7" t="s">
        <x:v>12</x:v>
      </x:c>
      <x:c r="E46" s="7">
        <x:v>82</x:v>
      </x:c>
      <x:c r="F46" s="7" t="s">
        <x:v>163</x:v>
      </x:c>
      <x:c r="G46" s="43" t="s">
        <x:v>104</x:v>
      </x:c>
      <x:c r="H46" s="7" t="s">
        <x:v>164</x:v>
      </x:c>
      <x:c r="I46" s="7" t="s">
        <x:v>165</x:v>
      </x:c>
    </x:row>
    <x:row r="47" ht="18" customHeight="1">
      <x:c r="A47" s="7" t="s">
        <x:v>166</x:v>
      </x:c>
      <x:c r="B47" s="7" t="s">
        <x:v>167</x:v>
      </x:c>
      <x:c r="C47" s="7" t="s">
        <x:v>62</x:v>
      </x:c>
      <x:c r="D47" s="7" t="s">
        <x:v>12</x:v>
      </x:c>
      <x:c r="E47" s="7">
        <x:v>40</x:v>
      </x:c>
      <x:c r="F47" s="7" t="s">
        <x:v>168</x:v>
      </x:c>
      <x:c r="G47" s="43" t="s">
        <x:v>169</x:v>
      </x:c>
      <x:c r="H47" s="7" t="s">
        <x:v>65</x:v>
      </x:c>
      <x:c r="I47" s="7" t="s">
        <x:v>90</x:v>
      </x:c>
    </x:row>
    <x:row r="48" ht="18" customHeight="1">
      <x:c r="A48" s="7" t="s">
        <x:v>170</x:v>
      </x:c>
      <x:c r="B48" s="7" t="s">
        <x:v>171</x:v>
      </x:c>
      <x:c r="C48" s="7" t="s">
        <x:v>62</x:v>
      </x:c>
      <x:c r="D48" s="7" t="s">
        <x:v>21</x:v>
      </x:c>
      <x:c r="E48" s="7">
        <x:v>49</x:v>
      </x:c>
      <x:c r="F48" s="7" t="s">
        <x:v>172</x:v>
      </x:c>
      <x:c r="G48" s="43" t="s">
        <x:v>133</x:v>
      </x:c>
      <x:c r="H48" s="7" t="s">
        <x:v>173</x:v>
      </x:c>
      <x:c r="I48" s="7" t="s">
        <x:v>174</x:v>
      </x:c>
    </x:row>
    <x:row r="49" ht="18" customHeight="1">
      <x:c r="A49" s="7" t="s">
        <x:v>175</x:v>
      </x:c>
      <x:c r="B49" s="7" t="s">
        <x:v>176</x:v>
      </x:c>
      <x:c r="C49" s="7" t="s">
        <x:v>62</x:v>
      </x:c>
      <x:c r="D49" s="7" t="s">
        <x:v>12</x:v>
      </x:c>
      <x:c r="E49" s="7">
        <x:v>26</x:v>
      </x:c>
      <x:c r="F49" s="7" t="s">
        <x:v>177</x:v>
      </x:c>
      <x:c r="G49" s="43" t="s">
        <x:v>64</x:v>
      </x:c>
      <x:c r="H49" s="7" t="s">
        <x:v>100</x:v>
      </x:c>
      <x:c r="I49" s="7" t="s">
        <x:v>178</x:v>
      </x:c>
    </x:row>
    <x:row r="50" ht="18" customHeight="1">
      <x:c r="A50" s="7" t="s">
        <x:v>179</x:v>
      </x:c>
      <x:c r="B50" s="7" t="s">
        <x:v>180</x:v>
      </x:c>
      <x:c r="C50" s="7" t="s">
        <x:v>62</x:v>
      </x:c>
      <x:c r="D50" s="7" t="s">
        <x:v>21</x:v>
      </x:c>
      <x:c r="E50" s="7">
        <x:v>22</x:v>
      </x:c>
      <x:c r="F50" s="7" t="s">
        <x:v>141</x:v>
      </x:c>
      <x:c r="G50" s="43" t="s">
        <x:v>181</x:v>
      </x:c>
      <x:c r="H50" s="7" t="s">
        <x:v>113</x:v>
      </x:c>
      <x:c r="I50" s="7" t="s">
        <x:v>182</x:v>
      </x:c>
    </x:row>
    <x:row r="51" ht="18" customHeight="1">
      <x:c r="A51" s="7" t="s">
        <x:v>183</x:v>
      </x:c>
      <x:c r="B51" s="7" t="s">
        <x:v>184</x:v>
      </x:c>
      <x:c r="C51" s="7" t="s">
        <x:v>62</x:v>
      </x:c>
      <x:c r="D51" s="7" t="s">
        <x:v>21</x:v>
      </x:c>
      <x:c r="E51" s="7">
        <x:v>80</x:v>
      </x:c>
      <x:c r="F51" s="7" t="s">
        <x:v>185</x:v>
      </x:c>
      <x:c r="G51" s="43" t="s">
        <x:v>186</x:v>
      </x:c>
      <x:c r="H51" s="7" t="s">
        <x:v>187</x:v>
      </x:c>
      <x:c r="I51" s="7" t="s">
        <x:v>188</x:v>
      </x:c>
    </x:row>
    <x:row r="52" ht="18" customHeight="1">
      <x:c r="A52" s="7" t="s">
        <x:v>189</x:v>
      </x:c>
      <x:c r="B52" s="7" t="s">
        <x:v>190</x:v>
      </x:c>
      <x:c r="C52" s="7" t="s">
        <x:v>62</x:v>
      </x:c>
      <x:c r="D52" s="7" t="s">
        <x:v>12</x:v>
      </x:c>
      <x:c r="E52" s="7">
        <x:v>41</x:v>
      </x:c>
      <x:c r="F52" s="7" t="s">
        <x:v>98</x:v>
      </x:c>
      <x:c r="G52" s="43" t="s">
        <x:v>117</x:v>
      </x:c>
      <x:c r="H52" s="7" t="s">
        <x:v>191</x:v>
      </x:c>
      <x:c r="I52" s="7" t="s">
        <x:v>192</x:v>
      </x:c>
    </x:row>
    <x:row r="53" ht="18" customHeight="1">
      <x:c r="A53" s="7" t="s">
        <x:v>193</x:v>
      </x:c>
      <x:c r="B53" s="7" t="s">
        <x:v>194</x:v>
      </x:c>
      <x:c r="C53" s="7" t="s">
        <x:v>62</x:v>
      </x:c>
      <x:c r="D53" s="7" t="s">
        <x:v>12</x:v>
      </x:c>
      <x:c r="E53" s="7">
        <x:v>42</x:v>
      </x:c>
      <x:c r="F53" s="7" t="s">
        <x:v>195</x:v>
      </x:c>
      <x:c r="G53" s="43" t="s">
        <x:v>153</x:v>
      </x:c>
      <x:c r="H53" s="7" t="s">
        <x:v>100</x:v>
      </x:c>
      <x:c r="I53" s="7" t="s">
        <x:v>196</x:v>
      </x:c>
    </x:row>
    <x:row r="54" ht="18" customHeight="1">
      <x:c r="A54" s="7" t="s">
        <x:v>197</x:v>
      </x:c>
      <x:c r="B54" s="7" t="s">
        <x:v>198</x:v>
      </x:c>
      <x:c r="C54" s="7" t="s">
        <x:v>62</x:v>
      </x:c>
      <x:c r="D54" s="7" t="s">
        <x:v>21</x:v>
      </x:c>
      <x:c r="E54" s="7">
        <x:v>14</x:v>
      </x:c>
      <x:c r="F54" s="7" t="s">
        <x:v>103</x:v>
      </x:c>
      <x:c r="G54" s="43" t="s">
        <x:v>153</x:v>
      </x:c>
      <x:c r="H54" s="7" t="s">
        <x:v>100</x:v>
      </x:c>
      <x:c r="I54" s="7" t="s">
        <x:v>199</x:v>
      </x:c>
    </x:row>
    <x:row r="55" ht="18" customHeight="1">
      <x:c r="A55" s="7" t="s">
        <x:v>200</x:v>
      </x:c>
      <x:c r="B55" s="7" t="s">
        <x:v>201</x:v>
      </x:c>
      <x:c r="C55" s="7" t="s">
        <x:v>62</x:v>
      </x:c>
      <x:c r="D55" s="7" t="s">
        <x:v>12</x:v>
      </x:c>
      <x:c r="E55" s="7">
        <x:v>38</x:v>
      </x:c>
      <x:c r="F55" s="7" t="s">
        <x:v>108</x:v>
      </x:c>
      <x:c r="G55" s="43" t="s">
        <x:v>202</x:v>
      </x:c>
      <x:c r="H55" s="7" t="s">
        <x:v>203</x:v>
      </x:c>
      <x:c r="I55" s="7" t="s">
        <x:v>119</x:v>
      </x:c>
    </x:row>
    <x:row r="56" ht="18" customHeight="1">
      <x:c r="A56" s="7" t="s">
        <x:v>204</x:v>
      </x:c>
      <x:c r="B56" s="7" t="s">
        <x:v>205</x:v>
      </x:c>
      <x:c r="C56" s="7" t="s">
        <x:v>62</x:v>
      </x:c>
      <x:c r="D56" s="7" t="s">
        <x:v>12</x:v>
      </x:c>
      <x:c r="E56" s="7">
        <x:v>43</x:v>
      </x:c>
      <x:c r="F56" s="7" t="s">
        <x:v>206</x:v>
      </x:c>
      <x:c r="G56" s="43" t="s">
        <x:v>207</x:v>
      </x:c>
      <x:c r="H56" s="7" t="s">
        <x:v>208</x:v>
      </x:c>
      <x:c r="I56" s="7" t="s">
        <x:v>209</x:v>
      </x:c>
    </x:row>
    <x:row r="57" ht="18" customHeight="1">
      <x:c r="A57" s="7" t="s">
        <x:v>210</x:v>
      </x:c>
      <x:c r="B57" s="7" t="s">
        <x:v>211</x:v>
      </x:c>
      <x:c r="C57" s="7" t="s">
        <x:v>62</x:v>
      </x:c>
      <x:c r="D57" s="7" t="s">
        <x:v>21</x:v>
      </x:c>
      <x:c r="E57" s="7">
        <x:v>44</x:v>
      </x:c>
      <x:c r="F57" s="7" t="s">
        <x:v>212</x:v>
      </x:c>
      <x:c r="G57" s="43" t="s">
        <x:v>213</x:v>
      </x:c>
      <x:c r="H57" s="7" t="s">
        <x:v>113</x:v>
      </x:c>
      <x:c r="I57" s="7" t="s">
        <x:v>109</x:v>
      </x:c>
    </x:row>
    <x:row r="58" ht="18" customHeight="1">
      <x:c r="A58" s="7" t="s">
        <x:v>214</x:v>
      </x:c>
      <x:c r="B58" s="7" t="s">
        <x:v>215</x:v>
      </x:c>
      <x:c r="C58" s="7" t="s">
        <x:v>62</x:v>
      </x:c>
      <x:c r="D58" s="7" t="s">
        <x:v>12</x:v>
      </x:c>
      <x:c r="E58" s="7">
        <x:v>27</x:v>
      </x:c>
      <x:c r="F58" s="7" t="s">
        <x:v>216</x:v>
      </x:c>
      <x:c r="G58" s="43" t="s">
        <x:v>217</x:v>
      </x:c>
      <x:c r="H58" s="7" t="s">
        <x:v>218</x:v>
      </x:c>
      <x:c r="I58" s="7" t="s">
        <x:v>182</x:v>
      </x:c>
    </x:row>
    <x:row r="59" ht="18" customHeight="1">
      <x:c r="A59" s="7" t="s">
        <x:v>219</x:v>
      </x:c>
      <x:c r="B59" s="46" t="s">
        <x:v>220</x:v>
      </x:c>
      <x:c r="C59" s="7" t="s">
        <x:v>62</x:v>
      </x:c>
      <x:c r="D59" s="7" t="s">
        <x:v>21</x:v>
      </x:c>
      <x:c r="E59" s="7">
        <x:v>18</x:v>
      </x:c>
      <x:c r="F59" s="7" t="s">
        <x:v>195</x:v>
      </x:c>
      <x:c r="G59" s="43" t="s">
        <x:v>221</x:v>
      </x:c>
      <x:c r="H59" s="7" t="s">
        <x:v>222</x:v>
      </x:c>
      <x:c r="I59" s="7" t="s">
        <x:v>199</x:v>
      </x:c>
    </x:row>
    <x:row r="60" ht="18" customHeight="1">
      <x:c r="A60" s="7" t="s">
        <x:v>223</x:v>
      </x:c>
      <x:c r="B60" s="7" t="s">
        <x:v>224</x:v>
      </x:c>
      <x:c r="C60" s="7" t="s">
        <x:v>62</x:v>
      </x:c>
      <x:c r="D60" s="7" t="s">
        <x:v>21</x:v>
      </x:c>
      <x:c r="E60" s="7">
        <x:v>22</x:v>
      </x:c>
      <x:c r="F60" s="7" t="s">
        <x:v>195</x:v>
      </x:c>
      <x:c r="G60" s="43" t="s">
        <x:v>225</x:v>
      </x:c>
      <x:c r="H60" s="7" t="s">
        <x:v>226</x:v>
      </x:c>
      <x:c r="I60" s="7" t="s">
        <x:v>182</x:v>
      </x:c>
    </x:row>
    <x:row r="61" ht="18" customHeight="1">
      <x:c r="A61" s="7" t="s">
        <x:v>227</x:v>
      </x:c>
      <x:c r="B61" s="7" t="s">
        <x:v>228</x:v>
      </x:c>
      <x:c r="C61" s="7" t="s">
        <x:v>62</x:v>
      </x:c>
      <x:c r="D61" s="7" t="s">
        <x:v>21</x:v>
      </x:c>
      <x:c r="E61" s="7">
        <x:v>45</x:v>
      </x:c>
      <x:c r="F61" s="7" t="s">
        <x:v>229</x:v>
      </x:c>
      <x:c r="G61" s="43" t="s">
        <x:v>82</x:v>
      </x:c>
      <x:c r="H61" s="7" t="s">
        <x:v>173</x:v>
      </x:c>
      <x:c r="I61" s="7" t="s">
        <x:v>174</x:v>
      </x:c>
    </x:row>
    <x:row r="62" ht="18" customHeight="1">
      <x:c r="A62" s="7" t="s">
        <x:v>230</x:v>
      </x:c>
      <x:c r="B62" s="7" t="s">
        <x:v>231</x:v>
      </x:c>
      <x:c r="C62" s="7" t="s">
        <x:v>62</x:v>
      </x:c>
      <x:c r="D62" s="7" t="s">
        <x:v>12</x:v>
      </x:c>
      <x:c r="E62" s="7">
        <x:v>18</x:v>
      </x:c>
      <x:c r="F62" s="7" t="s">
        <x:v>98</x:v>
      </x:c>
      <x:c r="G62" s="43" t="s">
        <x:v>104</x:v>
      </x:c>
      <x:c r="H62" s="7" t="s">
        <x:v>95</x:v>
      </x:c>
      <x:c r="I62" s="7" t="s">
        <x:v>66</x:v>
      </x:c>
    </x:row>
    <x:row r="63" ht="18" customHeight="1">
      <x:c r="A63" s="7" t="s">
        <x:v>232</x:v>
      </x:c>
      <x:c r="B63" s="7" t="s">
        <x:v>233</x:v>
      </x:c>
      <x:c r="C63" s="7" t="s">
        <x:v>62</x:v>
      </x:c>
      <x:c r="D63" s="7" t="s">
        <x:v>21</x:v>
      </x:c>
      <x:c r="E63" s="7">
        <x:v>28</x:v>
      </x:c>
      <x:c r="F63" s="7" t="s">
        <x:v>98</x:v>
      </x:c>
      <x:c r="G63" s="43" t="s">
        <x:v>104</x:v>
      </x:c>
      <x:c r="H63" s="7" t="s">
        <x:v>191</x:v>
      </x:c>
      <x:c r="I63" s="7" t="s">
        <x:v>119</x:v>
      </x:c>
    </x:row>
    <x:row r="64" ht="18" customHeight="1">
      <x:c r="A64" s="7" t="s">
        <x:v>234</x:v>
      </x:c>
      <x:c r="B64" s="7" t="s">
        <x:v>235</x:v>
      </x:c>
      <x:c r="C64" s="7" t="s">
        <x:v>62</x:v>
      </x:c>
      <x:c r="D64" s="7" t="s">
        <x:v>12</x:v>
      </x:c>
      <x:c r="E64" s="7">
        <x:v>51</x:v>
      </x:c>
      <x:c r="F64" s="7" t="s">
        <x:v>236</x:v>
      </x:c>
      <x:c r="G64" s="43" t="s">
        <x:v>237</x:v>
      </x:c>
      <x:c r="H64" s="7" t="s">
        <x:v>238</x:v>
      </x:c>
      <x:c r="I64" s="7" t="s">
        <x:v>239</x:v>
      </x:c>
    </x:row>
    <x:row r="65" ht="18" customHeight="1">
      <x:c r="A65" s="7" t="s">
        <x:v>240</x:v>
      </x:c>
      <x:c r="B65" s="46" t="s">
        <x:v>241</x:v>
      </x:c>
      <x:c r="C65" s="7" t="s">
        <x:v>62</x:v>
      </x:c>
      <x:c r="D65" s="7" t="s">
        <x:v>12</x:v>
      </x:c>
      <x:c r="E65" s="7">
        <x:v>47</x:v>
      </x:c>
      <x:c r="F65" s="7" t="s">
        <x:v>242</x:v>
      </x:c>
      <x:c r="G65" s="43" t="s">
        <x:v>82</x:v>
      </x:c>
      <x:c r="H65" s="7" t="s">
        <x:v>243</x:v>
      </x:c>
      <x:c r="I65" s="7" t="s">
        <x:v>244</x:v>
      </x:c>
    </x:row>
    <x:row r="66" ht="18" customHeight="1">
      <x:c r="A66" s="7" t="s">
        <x:v>245</x:v>
      </x:c>
      <x:c r="B66" s="7" t="s">
        <x:v>246</x:v>
      </x:c>
      <x:c r="C66" s="7" t="s">
        <x:v>62</x:v>
      </x:c>
      <x:c r="D66" s="7" t="s">
        <x:v>12</x:v>
      </x:c>
      <x:c r="E66" s="7">
        <x:v>21</x:v>
      </x:c>
      <x:c r="F66" s="7" t="s">
        <x:v>98</x:v>
      </x:c>
      <x:c r="G66" s="43" t="s">
        <x:v>202</x:v>
      </x:c>
      <x:c r="H66" s="7" t="s">
        <x:v>95</x:v>
      </x:c>
      <x:c r="I66" s="7" t="s">
        <x:v>109</x:v>
      </x:c>
    </x:row>
    <x:row r="67" ht="18" customHeight="1">
      <x:c r="A67" s="7" t="s">
        <x:v>247</x:v>
      </x:c>
      <x:c r="B67" s="7" t="s">
        <x:v>248</x:v>
      </x:c>
      <x:c r="C67" s="7" t="s">
        <x:v>62</x:v>
      </x:c>
      <x:c r="D67" s="7" t="s">
        <x:v>21</x:v>
      </x:c>
      <x:c r="E67" s="7">
        <x:v>52</x:v>
      </x:c>
      <x:c r="F67" s="7" t="s">
        <x:v>249</x:v>
      </x:c>
      <x:c r="G67" s="43" t="s">
        <x:v>117</x:v>
      </x:c>
      <x:c r="H67" s="7" t="s">
        <x:v>250</x:v>
      </x:c>
      <x:c r="I67" s="7" t="s">
        <x:v>90</x:v>
      </x:c>
    </x:row>
    <x:row r="68" ht="18" customHeight="1">
      <x:c r="A68" s="7" t="s">
        <x:v>251</x:v>
      </x:c>
      <x:c r="B68" s="7" t="s">
        <x:v>252</x:v>
      </x:c>
      <x:c r="C68" s="7" t="s">
        <x:v>62</x:v>
      </x:c>
      <x:c r="D68" s="7" t="s">
        <x:v>12</x:v>
      </x:c>
      <x:c r="E68" s="7">
        <x:v>53</x:v>
      </x:c>
      <x:c r="F68" s="7" t="s">
        <x:v>63</x:v>
      </x:c>
      <x:c r="G68" s="43" t="s">
        <x:v>82</x:v>
      </x:c>
      <x:c r="H68" s="7" t="s">
        <x:v>253</x:v>
      </x:c>
      <x:c r="I68" s="7" t="s">
        <x:v>138</x:v>
      </x:c>
    </x:row>
    <x:row r="69" ht="18" customHeight="1">
      <x:c r="A69" s="11" t="s">
        <x:v>254</x:v>
      </x:c>
      <x:c r="B69" s="11" t="s">
        <x:v>255</x:v>
      </x:c>
      <x:c r="C69" s="7" t="s">
        <x:v>62</x:v>
      </x:c>
      <x:c r="D69" s="7" t="s">
        <x:v>12</x:v>
      </x:c>
      <x:c r="E69" s="7">
        <x:v>49</x:v>
      </x:c>
      <x:c r="F69" s="7" t="s">
        <x:v>256</x:v>
      </x:c>
      <x:c r="G69" s="43" t="s">
        <x:v>257</x:v>
      </x:c>
      <x:c r="H69" s="7" t="s">
        <x:v>95</x:v>
      </x:c>
      <x:c r="I69" s="7" t="s">
        <x:v>138</x:v>
      </x:c>
    </x:row>
    <x:row r="70" ht="18" customHeight="1">
      <x:c r="A70" s="7"/>
      <x:c r="B70" s="7"/>
      <x:c r="C70" s="7"/>
      <x:c r="D70" s="7"/>
      <x:c r="E70" s="7"/>
      <x:c r="F70" s="7"/>
      <x:c r="G70" s="43"/>
      <x:c r="H70" s="7"/>
      <x:c r="I70" s="7"/>
    </x:row>
    <x:row r="71" ht="18" customHeight="1">
      <x:c r="A71" s="7"/>
      <x:c r="B71" s="7"/>
      <x:c r="C71" s="7"/>
      <x:c r="D71" s="7"/>
      <x:c r="E71" s="7"/>
      <x:c r="F71" s="7"/>
      <x:c r="G71" s="43"/>
      <x:c r="H71" s="7"/>
      <x:c r="I71" s="7"/>
    </x:row>
    <x:row r="72" ht="18" customHeight="1">
      <x:c r="A72" s="7"/>
      <x:c r="B72" s="7"/>
      <x:c r="C72" s="7"/>
      <x:c r="D72" s="7"/>
      <x:c r="E72" s="7"/>
      <x:c r="F72" s="7"/>
      <x:c r="G72" s="43"/>
      <x:c r="H72" s="7"/>
      <x:c r="I72" s="7"/>
    </x:row>
    <x:row r="73" ht="18" customHeight="1">
      <x:c r="A73" s="7"/>
      <x:c r="B73" s="7"/>
      <x:c r="C73" s="7"/>
      <x:c r="D73" s="7"/>
      <x:c r="E73" s="7"/>
      <x:c r="F73" s="7"/>
      <x:c r="G73" s="43"/>
      <x:c r="H73" s="7"/>
      <x:c r="I73" s="7"/>
    </x:row>
    <x:row r="74" ht="18" customHeight="1">
      <x:c r="A74" s="7"/>
      <x:c r="B74" s="7"/>
      <x:c r="C74" s="7"/>
      <x:c r="D74" s="7"/>
      <x:c r="E74" s="7"/>
      <x:c r="F74" s="7"/>
      <x:c r="G74" s="43"/>
      <x:c r="H74" s="7"/>
      <x:c r="I74" s="7"/>
    </x:row>
    <x:row r="75" ht="18" customHeight="1">
      <x:c r="A75" s="7"/>
      <x:c r="B75" s="7"/>
      <x:c r="C75" s="7"/>
      <x:c r="D75" s="7"/>
      <x:c r="E75" s="7"/>
      <x:c r="F75" s="7"/>
      <x:c r="G75" s="43"/>
      <x:c r="H75" s="7"/>
      <x:c r="I75" s="7"/>
    </x:row>
    <x:row r="76" ht="18" customHeight="1">
      <x:c r="A76" s="7"/>
      <x:c r="B76" s="7"/>
      <x:c r="C76" s="7"/>
      <x:c r="D76" s="7"/>
      <x:c r="E76" s="7"/>
      <x:c r="F76" s="7"/>
      <x:c r="G76" s="43"/>
      <x:c r="H76" s="7"/>
      <x:c r="I76" s="7"/>
    </x:row>
    <x:row r="77" ht="18" customHeight="1">
      <x:c r="A77" s="7"/>
      <x:c r="B77" s="7"/>
      <x:c r="C77" s="7"/>
      <x:c r="D77" s="7"/>
      <x:c r="E77" s="7"/>
      <x:c r="F77" s="7"/>
      <x:c r="G77" s="43"/>
      <x:c r="H77" s="7"/>
      <x:c r="I77" s="7"/>
    </x:row>
    <x:row r="78" ht="18" customHeight="1">
      <x:c r="A78" s="7"/>
      <x:c r="B78" s="7"/>
      <x:c r="C78" s="7"/>
      <x:c r="D78" s="7"/>
      <x:c r="E78" s="7"/>
      <x:c r="F78" s="7"/>
      <x:c r="G78" s="43"/>
      <x:c r="H78" s="7"/>
      <x:c r="I78" s="7"/>
    </x:row>
    <x:row r="79" ht="18" customHeight="1">
      <x:c r="A79" s="7"/>
      <x:c r="B79" s="7"/>
      <x:c r="C79" s="7"/>
      <x:c r="D79" s="7"/>
      <x:c r="E79" s="7"/>
      <x:c r="F79" s="7"/>
      <x:c r="G79" s="43"/>
      <x:c r="H79" s="7"/>
      <x:c r="I79" s="7"/>
    </x:row>
  </x:sheetData>
  <x:pageMargins left="0.7" right="0.7" top="0.75" bottom="0.75" header="0.3" footer="0.3"/>
</x:worksheet>
</file>

<file path=xl/worksheets/sheet2.xml><?xml version="1.0" encoding="utf-8"?>
<x:worksheet xmlns:x="http://schemas.openxmlformats.org/spreadsheetml/2006/main">
  <x:sheetFormatPr defaultColWidth="9" defaultRowHeight="18"/>
  <x:cols>
    <x:col min="1" max="1" width="8.75" style="38" customWidth="1"/>
    <x:col min="2" max="2" width="13" style="36" customWidth="1"/>
    <x:col min="3" max="3" width="22" style="36" customWidth="1"/>
    <x:col min="4" max="4" width="14.625" style="36" customWidth="1"/>
    <x:col min="5" max="5" width="14.25" style="36" customWidth="1"/>
    <x:col min="6" max="6" width="12.5" style="36" customWidth="1"/>
    <x:col min="7" max="7" width="18.375" style="36" customWidth="1"/>
    <x:col min="8" max="8" width="16.25" style="36" customWidth="1"/>
    <x:col min="9" max="9" width="15.625" style="36" customWidth="1"/>
    <x:col min="10" max="10" width="12.25" style="36" customWidth="1"/>
    <x:col min="11" max="11" width="8.5" style="36" customWidth="1"/>
    <x:col min="12" max="12" width="29.75" style="36" customWidth="1"/>
    <x:col min="13" max="13" width="12.125" style="36" customWidth="1"/>
    <x:col min="14" max="14" width="12" style="36" customWidth="1"/>
    <x:col min="15" max="15" width="10.75" style="36" customWidth="1"/>
    <x:col min="16" max="16" width="10.875" style="36" customWidth="1"/>
    <x:col min="17" max="91" width="9" style="36" customWidth="1"/>
    <x:col min="92" max="16384" width="9" style="36" customWidth="0"/>
  </x:cols>
  <x:sheetData>
    <x:row r="1">
      <x:c r="A1" s="41" t="s">
        <x:v>258</x:v>
      </x:c>
      <x:c r="B1" s="39" t="s">
        <x:v>259</x:v>
      </x:c>
      <x:c r="C1" s="39" t="s">
        <x:v>260</x:v>
      </x:c>
      <x:c r="D1" s="39" t="s">
        <x:v>261</x:v>
      </x:c>
      <x:c r="E1" s="39" t="s">
        <x:v>262</x:v>
      </x:c>
      <x:c r="F1" s="59" t="s">
        <x:v>263</x:v>
      </x:c>
      <x:c r="G1" s="59" t="s">
        <x:v>264</x:v>
      </x:c>
      <x:c r="H1" s="59" t="s">
        <x:v>265</x:v>
      </x:c>
      <x:c r="I1" s="59" t="s">
        <x:v>266</x:v>
      </x:c>
      <x:c r="J1" s="60" t="s">
        <x:v>0</x:v>
      </x:c>
      <x:c r="K1" s="60" t="s">
        <x:v>267</x:v>
      </x:c>
      <x:c r="L1" s="63" t="s">
        <x:v>268</x:v>
      </x:c>
      <x:c r="M1" s="63" t="s">
        <x:v>269</x:v>
      </x:c>
      <x:c r="N1" s="63" t="s">
        <x:v>270</x:v>
      </x:c>
      <x:c r="O1" s="64" t="s">
        <x:v>271</x:v>
      </x:c>
      <x:c r="P1" s="64" t="s">
        <x:v>272</x:v>
      </x:c>
    </x:row>
    <x:row r="2">
      <x:c r="A2" s="37" t="s">
        <x:v>273</x:v>
      </x:c>
      <x:c r="B2" s="37" t="s">
        <x:v>274</x:v>
      </x:c>
      <x:c r="C2" s="37" t="s">
        <x:v>275</x:v>
      </x:c>
      <x:c r="D2" s="37" t="s">
        <x:v>276</x:v>
      </x:c>
      <x:c r="E2" s="37" t="s">
        <x:v>277</x:v>
      </x:c>
      <x:c r="F2" s="37">
        <x:v>1</x:v>
      </x:c>
      <x:c r="G2" s="37"/>
      <x:c r="H2" s="37"/>
      <x:c r="I2" s="37"/>
      <x:c r="J2" s="37"/>
      <x:c r="K2" s="37"/>
      <x:c r="L2" s="37"/>
      <x:c r="M2" s="37"/>
      <x:c r="N2" s="37"/>
      <x:c r="O2" s="37" t="b">
        <x:v>1</x:v>
      </x:c>
      <x:c r="P2" s="37">
        <x:v>0</x:v>
      </x:c>
    </x:row>
    <x:row r="3">
      <x:c r="A3" s="37" t="s">
        <x:v>278</x:v>
      </x:c>
      <x:c r="B3" s="37" t="s">
        <x:v>279</x:v>
      </x:c>
      <x:c r="C3" s="37" t="s">
        <x:v>275</x:v>
      </x:c>
      <x:c r="D3" s="37" t="s">
        <x:v>277</x:v>
      </x:c>
      <x:c r="E3" s="37" t="s">
        <x:v>277</x:v>
      </x:c>
      <x:c r="F3" s="37">
        <x:v>1</x:v>
      </x:c>
      <x:c r="G3" s="37"/>
      <x:c r="H3" s="37"/>
      <x:c r="I3" s="37"/>
      <x:c r="J3" s="37"/>
      <x:c r="K3" s="37"/>
      <x:c r="L3" s="37"/>
      <x:c r="M3" s="37"/>
      <x:c r="N3" s="37"/>
      <x:c r="O3" s="37" t="b">
        <x:v>1</x:v>
      </x:c>
      <x:c r="P3" s="37">
        <x:v>1</x:v>
      </x:c>
    </x:row>
    <x:row r="4">
      <x:c r="A4" s="37" t="s">
        <x:v>280</x:v>
      </x:c>
      <x:c r="B4" s="37" t="s">
        <x:v>281</x:v>
      </x:c>
      <x:c r="C4" s="37" t="s">
        <x:v>275</x:v>
      </x:c>
      <x:c r="D4" s="37" t="s">
        <x:v>276</x:v>
      </x:c>
      <x:c r="E4" s="37" t="s">
        <x:v>276</x:v>
      </x:c>
      <x:c r="F4" s="37">
        <x:v>2</x:v>
      </x:c>
      <x:c r="G4" s="37"/>
      <x:c r="H4" s="37"/>
      <x:c r="I4" s="37"/>
      <x:c r="J4" s="37"/>
      <x:c r="K4" s="37"/>
      <x:c r="L4" s="37"/>
      <x:c r="M4" s="37"/>
      <x:c r="N4" s="37"/>
      <x:c r="O4" s="37" t="b">
        <x:v>1</x:v>
      </x:c>
      <x:c r="P4" s="37">
        <x:v>0</x:v>
      </x:c>
    </x:row>
    <x:row r="5" ht="36" customHeight="1">
      <x:c r="A5" s="37" t="s">
        <x:v>282</x:v>
      </x:c>
      <x:c r="B5" s="37" t="s">
        <x:v>283</x:v>
      </x:c>
      <x:c r="C5" s="37" t="s">
        <x:v>275</x:v>
      </x:c>
      <x:c r="D5" s="37" t="s">
        <x:v>277</x:v>
      </x:c>
      <x:c r="E5" s="37" t="s">
        <x:v>277</x:v>
      </x:c>
      <x:c r="F5" s="37">
        <x:v>3</x:v>
      </x:c>
      <x:c r="G5" s="37"/>
      <x:c r="H5" s="37"/>
      <x:c r="I5" s="58"/>
      <x:c r="J5" s="37" t="s">
        <x:v>26</x:v>
      </x:c>
      <x:c r="K5" s="37" t="s">
        <x:v>284</x:v>
      </x:c>
      <x:c r="L5" s="37" t="s">
        <x:v>285</x:v>
      </x:c>
      <x:c r="M5" s="37"/>
      <x:c r="N5" s="37"/>
      <x:c r="O5" s="37" t="b">
        <x:v>1</x:v>
      </x:c>
      <x:c r="P5" s="37">
        <x:v>1</x:v>
      </x:c>
    </x:row>
    <x:row r="6">
      <x:c r="A6" s="37" t="s">
        <x:v>286</x:v>
      </x:c>
      <x:c r="B6" s="37" t="s">
        <x:v>287</x:v>
      </x:c>
      <x:c r="C6" s="37" t="s">
        <x:v>288</x:v>
      </x:c>
      <x:c r="D6" s="37" t="s">
        <x:v>277</x:v>
      </x:c>
      <x:c r="E6" s="37" t="s">
        <x:v>277</x:v>
      </x:c>
      <x:c r="F6" s="37"/>
      <x:c r="G6" s="37"/>
      <x:c r="H6" s="37" t="s">
        <x:v>282</x:v>
      </x:c>
      <x:c r="I6" s="37"/>
      <x:c r="J6" s="37"/>
      <x:c r="K6" s="37"/>
      <x:c r="L6" s="37"/>
      <x:c r="M6" s="37"/>
      <x:c r="N6" s="37">
        <x:v>5</x:v>
      </x:c>
      <x:c r="O6" s="37" t="b">
        <x:v>1</x:v>
      </x:c>
      <x:c r="P6" s="58">
        <x:v>0</x:v>
      </x:c>
    </x:row>
    <x:row r="7">
      <x:c r="A7" s="37" t="s">
        <x:v>289</x:v>
      </x:c>
      <x:c r="B7" s="37" t="s">
        <x:v>290</x:v>
      </x:c>
      <x:c r="C7" s="37" t="s">
        <x:v>291</x:v>
      </x:c>
      <x:c r="D7" s="37" t="s">
        <x:v>277</x:v>
      </x:c>
      <x:c r="E7" s="37" t="s">
        <x:v>277</x:v>
      </x:c>
      <x:c r="F7" s="37"/>
      <x:c r="G7" s="37"/>
      <x:c r="H7" s="37" t="s">
        <x:v>282</x:v>
      </x:c>
      <x:c r="I7" s="37"/>
      <x:c r="J7" s="37"/>
      <x:c r="K7" s="37"/>
      <x:c r="L7" s="37"/>
      <x:c r="M7" s="37"/>
      <x:c r="N7" s="37"/>
      <x:c r="O7" s="37" t="b">
        <x:v>0</x:v>
      </x:c>
      <x:c r="P7" s="58">
        <x:v>0</x:v>
      </x:c>
    </x:row>
    <x:row r="8" ht="36" customHeight="1">
      <x:c r="A8" s="37" t="s">
        <x:v>292</x:v>
      </x:c>
      <x:c r="B8" s="37" t="s">
        <x:v>293</x:v>
      </x:c>
      <x:c r="C8" s="37" t="s">
        <x:v>275</x:v>
      </x:c>
      <x:c r="D8" s="37" t="s">
        <x:v>276</x:v>
      </x:c>
      <x:c r="E8" s="37" t="s">
        <x:v>276</x:v>
      </x:c>
      <x:c r="F8" s="37">
        <x:v>10</x:v>
      </x:c>
      <x:c r="G8" s="37"/>
      <x:c r="H8" s="37" t="s">
        <x:v>286</x:v>
      </x:c>
      <x:c r="I8" s="37"/>
      <x:c r="J8" s="37"/>
      <x:c r="K8" s="37"/>
      <x:c r="L8" s="37"/>
      <x:c r="M8" s="37"/>
      <x:c r="N8" s="37"/>
      <x:c r="O8" s="37" t="b">
        <x:v>1</x:v>
      </x:c>
      <x:c r="P8" s="37">
        <x:v>0</x:v>
      </x:c>
    </x:row>
    <x:row r="9" ht="36">
      <x:c r="A9" s="37" t="s">
        <x:v>294</x:v>
      </x:c>
      <x:c r="B9" s="37" t="s">
        <x:v>295</x:v>
      </x:c>
      <x:c r="C9" s="37" t="s">
        <x:v>296</x:v>
      </x:c>
      <x:c r="D9" s="37" t="s">
        <x:v>277</x:v>
      </x:c>
      <x:c r="E9" s="37" t="s">
        <x:v>277</x:v>
      </x:c>
      <x:c r="F9" s="37"/>
      <x:c r="G9" s="37"/>
      <x:c r="H9" s="37"/>
      <x:c r="I9" s="37" t="s">
        <x:v>297</x:v>
      </x:c>
      <x:c r="J9" s="37" t="s">
        <x:v>30</x:v>
      </x:c>
      <x:c r="K9" s="37" t="s">
        <x:v>297</x:v>
      </x:c>
      <x:c r="L9" s="37" t="s">
        <x:v>298</x:v>
      </x:c>
      <x:c r="M9" s="37"/>
      <x:c r="N9" s="37"/>
      <x:c r="O9" s="37" t="b">
        <x:v>1</x:v>
      </x:c>
      <x:c r="P9" s="37">
        <x:v>0</x:v>
      </x:c>
    </x:row>
    <x:row r="10">
      <x:c r="A10" s="37" t="s">
        <x:v>299</x:v>
      </x:c>
      <x:c r="B10" s="37" t="s">
        <x:v>300</x:v>
      </x:c>
      <x:c r="C10" s="37" t="s">
        <x:v>288</x:v>
      </x:c>
      <x:c r="D10" s="37" t="s">
        <x:v>277</x:v>
      </x:c>
      <x:c r="E10" s="37" t="s">
        <x:v>277</x:v>
      </x:c>
      <x:c r="F10" s="37"/>
      <x:c r="G10" s="37"/>
      <x:c r="H10" s="37" t="s">
        <x:v>294</x:v>
      </x:c>
      <x:c r="I10" s="37"/>
      <x:c r="J10" s="37"/>
      <x:c r="K10" s="37"/>
      <x:c r="L10" s="37"/>
      <x:c r="M10" s="37">
        <x:v>1000</x:v>
      </x:c>
      <x:c r="N10" s="37">
        <x:v>5</x:v>
      </x:c>
      <x:c r="O10" s="37" t="b">
        <x:v>1</x:v>
      </x:c>
      <x:c r="P10" s="37">
        <x:v>0</x:v>
      </x:c>
    </x:row>
    <x:row r="11">
      <x:c r="A11" s="37" t="s">
        <x:v>301</x:v>
      </x:c>
      <x:c r="B11" s="37" t="s">
        <x:v>302</x:v>
      </x:c>
      <x:c r="C11" s="37" t="s">
        <x:v>303</x:v>
      </x:c>
      <x:c r="D11" s="37" t="s">
        <x:v>277</x:v>
      </x:c>
      <x:c r="E11" s="37" t="s">
        <x:v>277</x:v>
      </x:c>
      <x:c r="F11" s="37"/>
      <x:c r="G11" s="37"/>
      <x:c r="H11" s="37" t="s">
        <x:v>294</x:v>
      </x:c>
      <x:c r="I11" s="37"/>
      <x:c r="J11" s="37"/>
      <x:c r="K11" s="37"/>
      <x:c r="L11" s="37"/>
      <x:c r="M11" s="37"/>
      <x:c r="N11" s="37"/>
      <x:c r="O11" s="37" t="b">
        <x:v>0</x:v>
      </x:c>
      <x:c r="P11" s="37">
        <x:v>0</x:v>
      </x:c>
    </x:row>
    <x:row r="12" ht="36" customHeight="1">
      <x:c r="A12" s="37" t="s">
        <x:v>304</x:v>
      </x:c>
      <x:c r="B12" s="37" t="s">
        <x:v>305</x:v>
      </x:c>
      <x:c r="C12" s="37" t="s">
        <x:v>275</x:v>
      </x:c>
      <x:c r="D12" s="37" t="s">
        <x:v>276</x:v>
      </x:c>
      <x:c r="E12" s="37" t="s">
        <x:v>276</x:v>
      </x:c>
      <x:c r="F12" s="37"/>
      <x:c r="G12" s="37"/>
      <x:c r="H12" s="37"/>
      <x:c r="I12" s="37" t="s">
        <x:v>306</x:v>
      </x:c>
      <x:c r="J12" s="37"/>
      <x:c r="K12" s="37"/>
      <x:c r="L12" s="37"/>
      <x:c r="M12" s="37"/>
      <x:c r="N12" s="37"/>
      <x:c r="O12" s="37" t="b">
        <x:v>1</x:v>
      </x:c>
      <x:c r="P12" s="37">
        <x:v>0</x:v>
      </x:c>
    </x:row>
    <x:row r="13" ht="36">
      <x:c r="A13" s="37" t="s">
        <x:v>307</x:v>
      </x:c>
      <x:c r="B13" s="37" t="s">
        <x:v>308</x:v>
      </x:c>
      <x:c r="C13" s="37" t="s">
        <x:v>275</x:v>
      </x:c>
      <x:c r="D13" s="37" t="s">
        <x:v>277</x:v>
      </x:c>
      <x:c r="E13" s="37" t="s">
        <x:v>277</x:v>
      </x:c>
      <x:c r="F13" s="37"/>
      <x:c r="G13" s="37"/>
      <x:c r="H13" s="37"/>
      <x:c r="I13" s="37" t="s">
        <x:v>309</x:v>
      </x:c>
      <x:c r="J13" s="37" t="s">
        <x:v>13</x:v>
      </x:c>
      <x:c r="K13" s="37" t="s">
        <x:v>309</x:v>
      </x:c>
      <x:c r="L13" s="37" t="s">
        <x:v>310</x:v>
      </x:c>
      <x:c r="M13" s="37"/>
      <x:c r="N13" s="37"/>
      <x:c r="O13" s="37" t="b">
        <x:v>1</x:v>
      </x:c>
      <x:c r="P13" s="37">
        <x:v>0</x:v>
      </x:c>
    </x:row>
    <x:row r="14">
      <x:c r="A14" s="37" t="s">
        <x:v>311</x:v>
      </x:c>
      <x:c r="B14" s="37" t="s">
        <x:v>312</x:v>
      </x:c>
      <x:c r="C14" s="37" t="s">
        <x:v>288</x:v>
      </x:c>
      <x:c r="D14" s="37" t="s">
        <x:v>277</x:v>
      </x:c>
      <x:c r="E14" s="37" t="s">
        <x:v>277</x:v>
      </x:c>
      <x:c r="F14" s="37"/>
      <x:c r="G14" s="37"/>
      <x:c r="H14" s="37" t="s">
        <x:v>307</x:v>
      </x:c>
      <x:c r="I14" s="37"/>
      <x:c r="J14" s="37"/>
      <x:c r="K14" s="37"/>
      <x:c r="L14" s="37"/>
      <x:c r="M14" s="37"/>
      <x:c r="N14" s="37"/>
      <x:c r="O14" s="37" t="b">
        <x:v>1</x:v>
      </x:c>
      <x:c r="P14" s="37">
        <x:v>0</x:v>
      </x:c>
    </x:row>
    <x:row r="15" ht="36" customHeight="1">
      <x:c r="A15" s="37" t="s">
        <x:v>313</x:v>
      </x:c>
      <x:c r="B15" s="37" t="s">
        <x:v>314</x:v>
      </x:c>
      <x:c r="C15" s="37" t="s">
        <x:v>291</x:v>
      </x:c>
      <x:c r="D15" s="37" t="s">
        <x:v>277</x:v>
      </x:c>
      <x:c r="E15" s="37" t="s">
        <x:v>277</x:v>
      </x:c>
      <x:c r="F15" s="37"/>
      <x:c r="G15" s="37"/>
      <x:c r="H15" s="37" t="s">
        <x:v>307</x:v>
      </x:c>
      <x:c r="I15" s="37"/>
      <x:c r="J15" s="37"/>
      <x:c r="K15" s="37"/>
      <x:c r="L15" s="37"/>
      <x:c r="M15" s="37"/>
      <x:c r="N15" s="37"/>
      <x:c r="O15" s="37" t="b">
        <x:v>0</x:v>
      </x:c>
      <x:c r="P15" s="37">
        <x:v>0</x:v>
      </x:c>
    </x:row>
    <x:row r="16" ht="36">
      <x:c r="A16" s="37" t="s">
        <x:v>315</x:v>
      </x:c>
      <x:c r="B16" s="37" t="s">
        <x:v>316</x:v>
      </x:c>
      <x:c r="C16" s="37" t="s">
        <x:v>275</x:v>
      </x:c>
      <x:c r="D16" s="37" t="s">
        <x:v>276</x:v>
      </x:c>
      <x:c r="E16" s="37" t="s">
        <x:v>276</x:v>
      </x:c>
      <x:c r="F16" s="37"/>
      <x:c r="G16" s="37"/>
      <x:c r="H16" s="37"/>
      <x:c r="I16" s="37" t="s">
        <x:v>317</x:v>
      </x:c>
      <x:c r="J16" s="37" t="s">
        <x:v>34</x:v>
      </x:c>
      <x:c r="K16" s="37" t="s">
        <x:v>317</x:v>
      </x:c>
      <x:c r="L16" s="37" t="s">
        <x:v>318</x:v>
      </x:c>
      <x:c r="M16" s="37"/>
      <x:c r="N16" s="37"/>
      <x:c r="O16" s="37" t="b">
        <x:v>1</x:v>
      </x:c>
      <x:c r="P16" s="37">
        <x:v>0</x:v>
      </x:c>
    </x:row>
    <x:row r="17">
      <x:c r="A17" s="37" t="s">
        <x:v>319</x:v>
      </x:c>
      <x:c r="B17" s="37" t="s">
        <x:v>320</x:v>
      </x:c>
      <x:c r="C17" s="37" t="s">
        <x:v>288</x:v>
      </x:c>
      <x:c r="D17" s="37" t="s">
        <x:v>276</x:v>
      </x:c>
      <x:c r="E17" s="37" t="s">
        <x:v>276</x:v>
      </x:c>
      <x:c r="F17" s="37"/>
      <x:c r="G17" s="37"/>
      <x:c r="H17" s="37" t="s">
        <x:v>315</x:v>
      </x:c>
      <x:c r="I17" s="37"/>
      <x:c r="J17" s="37"/>
      <x:c r="K17" s="37"/>
      <x:c r="L17" s="37"/>
      <x:c r="M17" s="37"/>
      <x:c r="N17" s="37"/>
      <x:c r="O17" s="37" t="b">
        <x:v>1</x:v>
      </x:c>
      <x:c r="P17" s="37">
        <x:v>0</x:v>
      </x:c>
    </x:row>
    <x:row r="18" ht="36" customHeight="1">
      <x:c r="A18" s="37" t="s">
        <x:v>321</x:v>
      </x:c>
      <x:c r="B18" s="37" t="s">
        <x:v>322</x:v>
      </x:c>
      <x:c r="C18" s="37" t="s">
        <x:v>291</x:v>
      </x:c>
      <x:c r="D18" s="37" t="s">
        <x:v>276</x:v>
      </x:c>
      <x:c r="E18" s="37" t="s">
        <x:v>276</x:v>
      </x:c>
      <x:c r="F18" s="37"/>
      <x:c r="G18" s="37"/>
      <x:c r="H18" s="37" t="s">
        <x:v>315</x:v>
      </x:c>
      <x:c r="I18" s="37"/>
      <x:c r="J18" s="37"/>
      <x:c r="K18" s="37"/>
      <x:c r="L18" s="37"/>
      <x:c r="M18" s="37"/>
      <x:c r="N18" s="37"/>
      <x:c r="O18" s="37" t="b">
        <x:v>0</x:v>
      </x:c>
      <x:c r="P18" s="37">
        <x:v>0</x:v>
      </x:c>
    </x:row>
    <x:row r="19">
      <x:c r="A19" s="37" t="s">
        <x:v>323</x:v>
      </x:c>
      <x:c r="B19" s="37" t="s">
        <x:v>324</x:v>
      </x:c>
      <x:c r="C19" s="37" t="s">
        <x:v>275</x:v>
      </x:c>
      <x:c r="D19" s="37" t="s">
        <x:v>276</x:v>
      </x:c>
      <x:c r="E19" s="37" t="s">
        <x:v>276</x:v>
      </x:c>
      <x:c r="F19" s="37">
        <x:v>5</x:v>
      </x:c>
      <x:c r="G19" s="37">
        <x:v>107</x:v>
      </x:c>
      <x:c r="H19" s="37" t="s">
        <x:v>319</x:v>
      </x:c>
      <x:c r="I19" s="37"/>
      <x:c r="J19" s="37"/>
      <x:c r="K19" s="37"/>
      <x:c r="L19" s="37"/>
      <x:c r="M19" s="37"/>
      <x:c r="N19" s="37"/>
      <x:c r="O19" s="37" t="b">
        <x:v>1</x:v>
      </x:c>
      <x:c r="P19" s="37">
        <x:v>0</x:v>
      </x:c>
    </x:row>
    <x:row r="20">
      <x:c r="A20" s="37" t="s">
        <x:v>325</x:v>
      </x:c>
      <x:c r="B20" s="37" t="s">
        <x:v>326</x:v>
      </x:c>
      <x:c r="C20" s="37" t="s">
        <x:v>275</x:v>
      </x:c>
      <x:c r="D20" s="37" t="s">
        <x:v>277</x:v>
      </x:c>
      <x:c r="E20" s="37" t="s">
        <x:v>277</x:v>
      </x:c>
      <x:c r="F20" s="37">
        <x:v>1</x:v>
      </x:c>
      <x:c r="G20" s="37"/>
      <x:c r="H20" s="37" t="s">
        <x:v>323</x:v>
      </x:c>
      <x:c r="I20" s="37"/>
      <x:c r="J20" s="37"/>
      <x:c r="K20" s="37"/>
      <x:c r="L20" s="37"/>
      <x:c r="M20" s="37"/>
      <x:c r="N20" s="37"/>
      <x:c r="O20" s="37" t="b">
        <x:v>1</x:v>
      </x:c>
      <x:c r="P20" s="37">
        <x:v>0</x:v>
      </x:c>
    </x:row>
    <x:row r="21">
      <x:c r="A21" s="37" t="s">
        <x:v>327</x:v>
      </x:c>
      <x:c r="B21" s="37" t="s">
        <x:v>328</x:v>
      </x:c>
      <x:c r="C21" s="37" t="s">
        <x:v>275</x:v>
      </x:c>
      <x:c r="D21" s="37" t="s">
        <x:v>277</x:v>
      </x:c>
      <x:c r="E21" s="37" t="s">
        <x:v>277</x:v>
      </x:c>
      <x:c r="F21" s="37">
        <x:v>1</x:v>
      </x:c>
      <x:c r="G21" s="37"/>
      <x:c r="H21" s="37" t="s">
        <x:v>325</x:v>
      </x:c>
      <x:c r="I21" s="37"/>
      <x:c r="J21" s="37"/>
      <x:c r="K21" s="37"/>
      <x:c r="L21" s="37"/>
      <x:c r="M21" s="37"/>
      <x:c r="N21" s="37"/>
      <x:c r="O21" s="37" t="b">
        <x:v>1</x:v>
      </x:c>
      <x:c r="P21" s="37">
        <x:v>0</x:v>
      </x:c>
    </x:row>
    <x:row r="22">
      <x:c r="A22" s="37" t="s">
        <x:v>329</x:v>
      </x:c>
      <x:c r="B22" s="37" t="s">
        <x:v>330</x:v>
      </x:c>
      <x:c r="C22" s="37" t="s">
        <x:v>275</x:v>
      </x:c>
      <x:c r="D22" s="37" t="s">
        <x:v>277</x:v>
      </x:c>
      <x:c r="E22" s="37" t="s">
        <x:v>277</x:v>
      </x:c>
      <x:c r="F22" s="37">
        <x:v>1</x:v>
      </x:c>
      <x:c r="G22" s="37"/>
      <x:c r="H22" s="37" t="s">
        <x:v>327</x:v>
      </x:c>
      <x:c r="I22" s="37"/>
      <x:c r="J22" s="37"/>
      <x:c r="K22" s="37"/>
      <x:c r="L22" s="37"/>
      <x:c r="M22" s="37"/>
      <x:c r="N22" s="37"/>
      <x:c r="O22" s="37" t="b">
        <x:v>1</x:v>
      </x:c>
      <x:c r="P22" s="37">
        <x:v>0</x:v>
      </x:c>
    </x:row>
    <x:row r="23" ht="36" customHeight="1">
      <x:c r="A23" s="37" t="s">
        <x:v>331</x:v>
      </x:c>
      <x:c r="B23" s="37" t="s">
        <x:v>332</x:v>
      </x:c>
      <x:c r="C23" s="37" t="s">
        <x:v>275</x:v>
      </x:c>
      <x:c r="D23" s="37" t="s">
        <x:v>276</x:v>
      </x:c>
      <x:c r="E23" s="37" t="s">
        <x:v>276</x:v>
      </x:c>
      <x:c r="F23" s="37">
        <x:v>1</x:v>
      </x:c>
      <x:c r="G23" s="37"/>
      <x:c r="H23" s="37" t="s">
        <x:v>329</x:v>
      </x:c>
      <x:c r="I23" s="37"/>
      <x:c r="J23" s="37"/>
      <x:c r="K23" s="37"/>
      <x:c r="L23" s="37"/>
      <x:c r="M23" s="37"/>
      <x:c r="N23" s="37"/>
      <x:c r="O23" s="37" t="b">
        <x:v>1</x:v>
      </x:c>
      <x:c r="P23" s="37">
        <x:v>0</x:v>
      </x:c>
    </x:row>
    <x:row r="24" ht="36">
      <x:c r="A24" s="37" t="s">
        <x:v>333</x:v>
      </x:c>
      <x:c r="B24" s="37" t="s">
        <x:v>334</x:v>
      </x:c>
      <x:c r="C24" s="37" t="s">
        <x:v>275</x:v>
      </x:c>
      <x:c r="D24" s="37" t="s">
        <x:v>276</x:v>
      </x:c>
      <x:c r="E24" s="37" t="s">
        <x:v>276</x:v>
      </x:c>
      <x:c r="F24" s="37">
        <x:v>1</x:v>
      </x:c>
      <x:c r="G24" s="37"/>
      <x:c r="H24" s="37" t="s">
        <x:v>331</x:v>
      </x:c>
      <x:c r="I24" s="37" t="s">
        <x:v>335</x:v>
      </x:c>
      <x:c r="J24" s="37" t="s">
        <x:v>9</x:v>
      </x:c>
      <x:c r="K24" s="37" t="s">
        <x:v>335</x:v>
      </x:c>
      <x:c r="L24" s="37" t="s">
        <x:v>336</x:v>
      </x:c>
      <x:c r="M24" s="37"/>
      <x:c r="N24" s="37"/>
      <x:c r="O24" s="37" t="b">
        <x:v>1</x:v>
      </x:c>
      <x:c r="P24" s="37">
        <x:v>0</x:v>
      </x:c>
    </x:row>
    <x:row r="25">
      <x:c r="A25" s="37" t="s">
        <x:v>337</x:v>
      </x:c>
      <x:c r="B25" s="37" t="s">
        <x:v>338</x:v>
      </x:c>
      <x:c r="C25" s="37" t="s">
        <x:v>288</x:v>
      </x:c>
      <x:c r="D25" s="37" t="s">
        <x:v>276</x:v>
      </x:c>
      <x:c r="E25" s="37" t="s">
        <x:v>276</x:v>
      </x:c>
      <x:c r="F25" s="37"/>
      <x:c r="G25" s="37"/>
      <x:c r="H25" s="37" t="s">
        <x:v>333</x:v>
      </x:c>
      <x:c r="I25" s="37"/>
      <x:c r="J25" s="37"/>
      <x:c r="K25" s="37"/>
      <x:c r="L25" s="37"/>
      <x:c r="M25" s="37"/>
      <x:c r="N25" s="37"/>
      <x:c r="O25" s="37" t="b">
        <x:v>1</x:v>
      </x:c>
      <x:c r="P25" s="37">
        <x:v>0</x:v>
      </x:c>
    </x:row>
    <x:row r="26">
      <x:c r="A26" s="37" t="s">
        <x:v>339</x:v>
      </x:c>
      <x:c r="B26" s="37" t="s">
        <x:v>340</x:v>
      </x:c>
      <x:c r="C26" s="37" t="s">
        <x:v>291</x:v>
      </x:c>
      <x:c r="D26" s="37" t="s">
        <x:v>276</x:v>
      </x:c>
      <x:c r="E26" s="37" t="s">
        <x:v>276</x:v>
      </x:c>
      <x:c r="F26" s="37"/>
      <x:c r="G26" s="37"/>
      <x:c r="H26" s="37" t="s">
        <x:v>333</x:v>
      </x:c>
      <x:c r="I26" s="37"/>
      <x:c r="J26" s="37"/>
      <x:c r="K26" s="37"/>
      <x:c r="L26" s="37"/>
      <x:c r="M26" s="37"/>
      <x:c r="N26" s="37"/>
      <x:c r="O26" s="37" t="b">
        <x:v>0</x:v>
      </x:c>
      <x:c r="P26" s="37">
        <x:v>0</x:v>
      </x:c>
    </x:row>
    <x:row r="27">
      <x:c r="A27" s="37" t="s">
        <x:v>341</x:v>
      </x:c>
      <x:c r="B27" s="37" t="s">
        <x:v>342</x:v>
      </x:c>
      <x:c r="C27" s="37" t="s">
        <x:v>275</x:v>
      </x:c>
      <x:c r="D27" s="37" t="s">
        <x:v>277</x:v>
      </x:c>
      <x:c r="E27" s="37" t="s">
        <x:v>277</x:v>
      </x:c>
      <x:c r="F27" s="37">
        <x:v>1</x:v>
      </x:c>
      <x:c r="G27" s="37"/>
      <x:c r="H27" s="37" t="s">
        <x:v>337</x:v>
      </x:c>
      <x:c r="I27" s="37"/>
      <x:c r="J27" s="37"/>
      <x:c r="K27" s="37"/>
      <x:c r="L27" s="37"/>
      <x:c r="M27" s="37"/>
      <x:c r="N27" s="37"/>
      <x:c r="O27" s="37" t="b">
        <x:v>1</x:v>
      </x:c>
      <x:c r="P27" s="37">
        <x:v>0</x:v>
      </x:c>
    </x:row>
    <x:row r="28" ht="54" customHeight="1">
      <x:c r="A28" s="37" t="s">
        <x:v>343</x:v>
      </x:c>
      <x:c r="B28" s="37" t="s">
        <x:v>344</x:v>
      </x:c>
      <x:c r="C28" s="37" t="s">
        <x:v>275</x:v>
      </x:c>
      <x:c r="D28" s="37" t="s">
        <x:v>276</x:v>
      </x:c>
      <x:c r="E28" s="37" t="s">
        <x:v>276</x:v>
      </x:c>
      <x:c r="F28" s="37">
        <x:v>3</x:v>
      </x:c>
      <x:c r="G28" s="37"/>
      <x:c r="H28" s="37" t="s">
        <x:v>341</x:v>
      </x:c>
      <x:c r="I28" s="37"/>
      <x:c r="J28" s="37"/>
      <x:c r="K28" s="37"/>
      <x:c r="L28" s="37"/>
      <x:c r="M28" s="37"/>
      <x:c r="N28" s="37"/>
      <x:c r="O28" s="37" t="b">
        <x:v>1</x:v>
      </x:c>
      <x:c r="P28" s="37">
        <x:v>0</x:v>
      </x:c>
    </x:row>
    <x:row r="29" ht="54">
      <x:c r="A29" s="37" t="s">
        <x:v>345</x:v>
      </x:c>
      <x:c r="B29" s="37" t="s">
        <x:v>346</x:v>
      </x:c>
      <x:c r="C29" s="37" t="s">
        <x:v>275</x:v>
      </x:c>
      <x:c r="D29" s="37" t="s">
        <x:v>276</x:v>
      </x:c>
      <x:c r="E29" s="37" t="s">
        <x:v>276</x:v>
      </x:c>
      <x:c r="F29" s="37">
        <x:v>1</x:v>
      </x:c>
      <x:c r="G29" s="37"/>
      <x:c r="H29" s="37" t="s">
        <x:v>343</x:v>
      </x:c>
      <x:c r="I29" s="37" t="s">
        <x:v>347</x:v>
      </x:c>
      <x:c r="J29" s="37" t="s">
        <x:v>42</x:v>
      </x:c>
      <x:c r="K29" s="37" t="s">
        <x:v>347</x:v>
      </x:c>
      <x:c r="L29" s="37" t="s">
        <x:v>348</x:v>
      </x:c>
      <x:c r="M29" s="37"/>
      <x:c r="N29" s="37"/>
      <x:c r="O29" s="37" t="b">
        <x:v>1</x:v>
      </x:c>
      <x:c r="P29" s="37">
        <x:v>0</x:v>
      </x:c>
    </x:row>
    <x:row r="30">
      <x:c r="A30" s="37" t="s">
        <x:v>349</x:v>
      </x:c>
      <x:c r="B30" s="37" t="s">
        <x:v>350</x:v>
      </x:c>
      <x:c r="C30" s="37" t="s">
        <x:v>288</x:v>
      </x:c>
      <x:c r="D30" s="37" t="s">
        <x:v>276</x:v>
      </x:c>
      <x:c r="E30" s="37" t="s">
        <x:v>276</x:v>
      </x:c>
      <x:c r="F30" s="37"/>
      <x:c r="G30" s="37"/>
      <x:c r="H30" s="37" t="s">
        <x:v>345</x:v>
      </x:c>
      <x:c r="I30" s="37"/>
      <x:c r="J30" s="37"/>
      <x:c r="K30" s="37"/>
      <x:c r="L30" s="37"/>
      <x:c r="M30" s="37"/>
      <x:c r="N30" s="37"/>
      <x:c r="O30" s="37" t="b">
        <x:v>1</x:v>
      </x:c>
      <x:c r="P30" s="37">
        <x:v>0</x:v>
      </x:c>
    </x:row>
    <x:row r="31">
      <x:c r="A31" s="37" t="s">
        <x:v>351</x:v>
      </x:c>
      <x:c r="B31" s="37" t="s">
        <x:v>352</x:v>
      </x:c>
      <x:c r="C31" s="37" t="s">
        <x:v>291</x:v>
      </x:c>
      <x:c r="D31" s="37" t="s">
        <x:v>276</x:v>
      </x:c>
      <x:c r="E31" s="37" t="s">
        <x:v>276</x:v>
      </x:c>
      <x:c r="F31" s="37"/>
      <x:c r="G31" s="37"/>
      <x:c r="H31" s="37" t="s">
        <x:v>345</x:v>
      </x:c>
      <x:c r="I31" s="37"/>
      <x:c r="J31" s="37"/>
      <x:c r="K31" s="37"/>
      <x:c r="L31" s="37"/>
      <x:c r="M31" s="37"/>
      <x:c r="N31" s="37"/>
      <x:c r="O31" s="37" t="b">
        <x:v>0</x:v>
      </x:c>
      <x:c r="P31" s="37">
        <x:v>0</x:v>
      </x:c>
    </x:row>
    <x:row r="32">
      <x:c r="A32" s="37" t="s">
        <x:v>353</x:v>
      </x:c>
      <x:c r="B32" s="37" t="s">
        <x:v>354</x:v>
      </x:c>
      <x:c r="C32" s="37" t="s">
        <x:v>275</x:v>
      </x:c>
      <x:c r="D32" s="37" t="s">
        <x:v>277</x:v>
      </x:c>
      <x:c r="E32" s="37" t="s">
        <x:v>277</x:v>
      </x:c>
      <x:c r="F32" s="37">
        <x:v>1</x:v>
      </x:c>
      <x:c r="G32" s="37"/>
      <x:c r="H32" s="37" t="s">
        <x:v>349</x:v>
      </x:c>
      <x:c r="I32" s="37"/>
      <x:c r="J32" s="37"/>
      <x:c r="K32" s="37"/>
      <x:c r="L32" s="37"/>
      <x:c r="M32" s="37"/>
      <x:c r="N32" s="37"/>
      <x:c r="O32" s="37" t="b">
        <x:v>1</x:v>
      </x:c>
      <x:c r="P32" s="37">
        <x:v>0</x:v>
      </x:c>
    </x:row>
    <x:row r="33">
      <x:c r="A33" s="37" t="s">
        <x:v>355</x:v>
      </x:c>
      <x:c r="B33" s="37" t="s">
        <x:v>356</x:v>
      </x:c>
      <x:c r="C33" s="37" t="s">
        <x:v>275</x:v>
      </x:c>
      <x:c r="D33" s="37" t="s">
        <x:v>276</x:v>
      </x:c>
      <x:c r="E33" s="37" t="s">
        <x:v>276</x:v>
      </x:c>
      <x:c r="F33" s="37">
        <x:v>1</x:v>
      </x:c>
      <x:c r="G33" s="37"/>
      <x:c r="H33" s="37" t="s">
        <x:v>353</x:v>
      </x:c>
      <x:c r="I33" s="37"/>
      <x:c r="J33" s="37"/>
      <x:c r="K33" s="37"/>
      <x:c r="L33" s="37"/>
      <x:c r="M33" s="37"/>
      <x:c r="N33" s="37"/>
      <x:c r="O33" s="37" t="b">
        <x:v>1</x:v>
      </x:c>
      <x:c r="P33" s="37">
        <x:v>0</x:v>
      </x:c>
    </x:row>
    <x:row r="34">
      <x:c r="A34" s="37" t="s">
        <x:v>357</x:v>
      </x:c>
      <x:c r="B34" s="37" t="s">
        <x:v>358</x:v>
      </x:c>
      <x:c r="C34" s="37" t="s">
        <x:v>296</x:v>
      </x:c>
      <x:c r="D34" s="37" t="s">
        <x:v>277</x:v>
      </x:c>
      <x:c r="E34" s="37" t="s">
        <x:v>277</x:v>
      </x:c>
      <x:c r="F34" s="37">
        <x:v>1</x:v>
      </x:c>
      <x:c r="G34" s="37"/>
      <x:c r="H34" s="37" t="s">
        <x:v>355</x:v>
      </x:c>
      <x:c r="I34" s="37"/>
      <x:c r="J34" s="37"/>
      <x:c r="K34" s="37"/>
      <x:c r="L34" s="37"/>
      <x:c r="M34" s="37"/>
      <x:c r="N34" s="37"/>
      <x:c r="O34" s="37" t="b">
        <x:v>1</x:v>
      </x:c>
      <x:c r="P34" s="37">
        <x:v>0</x:v>
      </x:c>
    </x:row>
    <x:row r="35" ht="36" customHeight="1">
      <x:c r="A35" s="37" t="s">
        <x:v>359</x:v>
      </x:c>
      <x:c r="B35" s="37" t="s">
        <x:v>360</x:v>
      </x:c>
      <x:c r="C35" s="37" t="s">
        <x:v>275</x:v>
      </x:c>
      <x:c r="D35" s="37" t="s">
        <x:v>276</x:v>
      </x:c>
      <x:c r="E35" s="37" t="s">
        <x:v>276</x:v>
      </x:c>
      <x:c r="F35" s="37">
        <x:v>2</x:v>
      </x:c>
      <x:c r="G35" s="37"/>
      <x:c r="H35" s="37" t="s">
        <x:v>357</x:v>
      </x:c>
      <x:c r="I35" s="37"/>
      <x:c r="J35" s="37"/>
      <x:c r="K35" s="37"/>
      <x:c r="L35" s="37"/>
      <x:c r="M35" s="37">
        <x:v>1000</x:v>
      </x:c>
      <x:c r="N35" s="37"/>
      <x:c r="O35" s="37" t="b">
        <x:v>1</x:v>
      </x:c>
      <x:c r="P35" s="37">
        <x:v>0</x:v>
      </x:c>
    </x:row>
    <x:row r="36" ht="36">
      <x:c r="A36" s="37" t="s">
        <x:v>361</x:v>
      </x:c>
      <x:c r="B36" s="37" t="s">
        <x:v>362</x:v>
      </x:c>
      <x:c r="C36" s="37" t="s">
        <x:v>275</x:v>
      </x:c>
      <x:c r="D36" s="37" t="s">
        <x:v>276</x:v>
      </x:c>
      <x:c r="E36" s="37" t="s">
        <x:v>276</x:v>
      </x:c>
      <x:c r="F36" s="37"/>
      <x:c r="G36" s="37"/>
      <x:c r="H36" s="37"/>
      <x:c r="I36" s="37" t="s">
        <x:v>363</x:v>
      </x:c>
      <x:c r="J36" s="37" t="s">
        <x:v>52</x:v>
      </x:c>
      <x:c r="K36" s="37" t="s">
        <x:v>363</x:v>
      </x:c>
      <x:c r="L36" s="37" t="s">
        <x:v>364</x:v>
      </x:c>
      <x:c r="M36" s="37"/>
      <x:c r="N36" s="37"/>
      <x:c r="O36" s="37" t="b">
        <x:v>1</x:v>
      </x:c>
      <x:c r="P36" s="37">
        <x:v>0</x:v>
      </x:c>
    </x:row>
    <x:row r="37">
      <x:c r="A37" s="37" t="s">
        <x:v>365</x:v>
      </x:c>
      <x:c r="B37" s="37" t="s">
        <x:v>366</x:v>
      </x:c>
      <x:c r="C37" s="37" t="s">
        <x:v>288</x:v>
      </x:c>
      <x:c r="D37" s="37" t="s">
        <x:v>276</x:v>
      </x:c>
      <x:c r="E37" s="37" t="s">
        <x:v>276</x:v>
      </x:c>
      <x:c r="F37" s="37"/>
      <x:c r="G37" s="37"/>
      <x:c r="H37" s="37" t="s">
        <x:v>361</x:v>
      </x:c>
      <x:c r="I37" s="37"/>
      <x:c r="J37" s="37"/>
      <x:c r="K37" s="37"/>
      <x:c r="L37" s="37"/>
      <x:c r="M37" s="37"/>
      <x:c r="N37" s="37"/>
      <x:c r="O37" s="37" t="b">
        <x:v>1</x:v>
      </x:c>
      <x:c r="P37" s="37">
        <x:v>0</x:v>
      </x:c>
    </x:row>
    <x:row r="38" ht="54" customHeight="1">
      <x:c r="A38" s="37" t="s">
        <x:v>367</x:v>
      </x:c>
      <x:c r="B38" s="37" t="s">
        <x:v>368</x:v>
      </x:c>
      <x:c r="C38" s="37" t="s">
        <x:v>291</x:v>
      </x:c>
      <x:c r="D38" s="37" t="s">
        <x:v>276</x:v>
      </x:c>
      <x:c r="E38" s="37" t="s">
        <x:v>276</x:v>
      </x:c>
      <x:c r="F38" s="37"/>
      <x:c r="G38" s="37"/>
      <x:c r="H38" s="37" t="s">
        <x:v>361</x:v>
      </x:c>
      <x:c r="I38" s="37"/>
      <x:c r="J38" s="37"/>
      <x:c r="K38" s="37"/>
      <x:c r="L38" s="37"/>
      <x:c r="M38" s="37"/>
      <x:c r="N38" s="37"/>
      <x:c r="O38" s="37" t="b">
        <x:v>0</x:v>
      </x:c>
      <x:c r="P38" s="37">
        <x:v>0</x:v>
      </x:c>
    </x:row>
    <x:row r="39" ht="36">
      <x:c r="A39" s="37" t="s">
        <x:v>369</x:v>
      </x:c>
      <x:c r="B39" s="37" t="s">
        <x:v>370</x:v>
      </x:c>
      <x:c r="C39" s="37" t="s">
        <x:v>275</x:v>
      </x:c>
      <x:c r="D39" s="37" t="s">
        <x:v>276</x:v>
      </x:c>
      <x:c r="E39" s="37" t="s">
        <x:v>276</x:v>
      </x:c>
      <x:c r="F39" s="37"/>
      <x:c r="G39" s="37"/>
      <x:c r="H39" s="37"/>
      <x:c r="I39" s="37" t="s">
        <x:v>371</x:v>
      </x:c>
      <x:c r="J39" s="37" t="s">
        <x:v>54</x:v>
      </x:c>
      <x:c r="K39" s="37" t="s">
        <x:v>371</x:v>
      </x:c>
      <x:c r="L39" s="37" t="s">
        <x:v>372</x:v>
      </x:c>
      <x:c r="M39" s="37"/>
      <x:c r="N39" s="37"/>
      <x:c r="O39" s="37" t="b">
        <x:v>1</x:v>
      </x:c>
      <x:c r="P39" s="37">
        <x:v>0</x:v>
      </x:c>
    </x:row>
    <x:row r="40">
      <x:c r="A40" s="37" t="s">
        <x:v>373</x:v>
      </x:c>
      <x:c r="B40" s="37" t="s">
        <x:v>374</x:v>
      </x:c>
      <x:c r="C40" s="37" t="s">
        <x:v>288</x:v>
      </x:c>
      <x:c r="D40" s="37" t="s">
        <x:v>276</x:v>
      </x:c>
      <x:c r="E40" s="37" t="s">
        <x:v>276</x:v>
      </x:c>
      <x:c r="F40" s="37"/>
      <x:c r="G40" s="37"/>
      <x:c r="H40" s="37" t="s">
        <x:v>369</x:v>
      </x:c>
      <x:c r="I40" s="37"/>
      <x:c r="J40" s="37"/>
      <x:c r="K40" s="37"/>
      <x:c r="L40" s="37"/>
      <x:c r="M40" s="37"/>
      <x:c r="N40" s="37"/>
      <x:c r="O40" s="37" t="b">
        <x:v>1</x:v>
      </x:c>
      <x:c r="P40" s="37">
        <x:v>0</x:v>
      </x:c>
    </x:row>
    <x:row r="41" ht="36" customHeight="1">
      <x:c r="A41" s="37" t="s">
        <x:v>375</x:v>
      </x:c>
      <x:c r="B41" s="37" t="s">
        <x:v>376</x:v>
      </x:c>
      <x:c r="C41" s="37" t="s">
        <x:v>291</x:v>
      </x:c>
      <x:c r="D41" s="37" t="s">
        <x:v>276</x:v>
      </x:c>
      <x:c r="E41" s="37" t="s">
        <x:v>276</x:v>
      </x:c>
      <x:c r="F41" s="37"/>
      <x:c r="G41" s="37"/>
      <x:c r="H41" s="37" t="s">
        <x:v>369</x:v>
      </x:c>
      <x:c r="I41" s="37"/>
      <x:c r="J41" s="37"/>
      <x:c r="K41" s="37"/>
      <x:c r="L41" s="37"/>
      <x:c r="M41" s="37"/>
      <x:c r="N41" s="37"/>
      <x:c r="O41" s="37" t="b">
        <x:v>0</x:v>
      </x:c>
      <x:c r="P41" s="37">
        <x:v>0</x:v>
      </x:c>
    </x:row>
    <x:row r="42" ht="36">
      <x:c r="A42" s="37" t="s">
        <x:v>377</x:v>
      </x:c>
      <x:c r="B42" s="37" t="s">
        <x:v>378</x:v>
      </x:c>
      <x:c r="C42" s="37" t="s">
        <x:v>275</x:v>
      </x:c>
      <x:c r="D42" s="37" t="s">
        <x:v>276</x:v>
      </x:c>
      <x:c r="E42" s="37" t="s">
        <x:v>276</x:v>
      </x:c>
      <x:c r="F42" s="37">
        <x:v>1</x:v>
      </x:c>
      <x:c r="G42" s="37"/>
      <x:c r="H42" s="37" t="s">
        <x:v>373</x:v>
      </x:c>
      <x:c r="I42" s="37" t="s">
        <x:v>379</x:v>
      </x:c>
      <x:c r="J42" s="37" t="s">
        <x:v>54</x:v>
      </x:c>
      <x:c r="K42" s="37" t="s">
        <x:v>379</x:v>
      </x:c>
      <x:c r="L42" s="37" t="s">
        <x:v>372</x:v>
      </x:c>
      <x:c r="M42" s="37"/>
      <x:c r="N42" s="37"/>
      <x:c r="O42" s="37" t="b">
        <x:v>1</x:v>
      </x:c>
      <x:c r="P42" s="37">
        <x:v>0</x:v>
      </x:c>
    </x:row>
    <x:row r="43">
      <x:c r="A43" s="37" t="s">
        <x:v>380</x:v>
      </x:c>
      <x:c r="B43" s="37" t="s">
        <x:v>381</x:v>
      </x:c>
      <x:c r="C43" s="37" t="s">
        <x:v>288</x:v>
      </x:c>
      <x:c r="D43" s="37" t="s">
        <x:v>276</x:v>
      </x:c>
      <x:c r="E43" s="37" t="s">
        <x:v>276</x:v>
      </x:c>
      <x:c r="F43" s="37"/>
      <x:c r="G43" s="37"/>
      <x:c r="H43" s="37" t="s">
        <x:v>377</x:v>
      </x:c>
      <x:c r="I43" s="37"/>
      <x:c r="J43" s="37"/>
      <x:c r="K43" s="37"/>
      <x:c r="L43" s="37"/>
      <x:c r="M43" s="37"/>
      <x:c r="N43" s="37"/>
      <x:c r="O43" s="37" t="b">
        <x:v>1</x:v>
      </x:c>
      <x:c r="P43" s="37">
        <x:v>0</x:v>
      </x:c>
    </x:row>
    <x:row r="44" ht="36" customHeight="1">
      <x:c r="A44" s="37" t="s">
        <x:v>382</x:v>
      </x:c>
      <x:c r="B44" s="37" t="s">
        <x:v>383</x:v>
      </x:c>
      <x:c r="C44" s="37" t="s">
        <x:v>291</x:v>
      </x:c>
      <x:c r="D44" s="37" t="s">
        <x:v>276</x:v>
      </x:c>
      <x:c r="E44" s="37" t="s">
        <x:v>276</x:v>
      </x:c>
      <x:c r="F44" s="37"/>
      <x:c r="G44" s="37"/>
      <x:c r="H44" s="37" t="s">
        <x:v>377</x:v>
      </x:c>
      <x:c r="I44" s="37"/>
      <x:c r="J44" s="37"/>
      <x:c r="K44" s="37"/>
      <x:c r="L44" s="37"/>
      <x:c r="M44" s="37"/>
      <x:c r="N44" s="37"/>
      <x:c r="O44" s="37" t="b">
        <x:v>0</x:v>
      </x:c>
      <x:c r="P44" s="37">
        <x:v>0</x:v>
      </x:c>
    </x:row>
    <x:row r="45" ht="36">
      <x:c r="A45" s="37" t="s">
        <x:v>384</x:v>
      </x:c>
      <x:c r="B45" s="37" t="s">
        <x:v>385</x:v>
      </x:c>
      <x:c r="C45" s="37" t="s">
        <x:v>275</x:v>
      </x:c>
      <x:c r="D45" s="37" t="s">
        <x:v>276</x:v>
      </x:c>
      <x:c r="E45" s="37" t="s">
        <x:v>276</x:v>
      </x:c>
      <x:c r="F45" s="37"/>
      <x:c r="G45" s="37"/>
      <x:c r="H45" s="37"/>
      <x:c r="I45" s="37" t="s">
        <x:v>386</x:v>
      </x:c>
      <x:c r="J45" s="37" t="s">
        <x:v>50</x:v>
      </x:c>
      <x:c r="K45" s="37" t="s">
        <x:v>386</x:v>
      </x:c>
      <x:c r="L45" s="37" t="s">
        <x:v>387</x:v>
      </x:c>
      <x:c r="M45" s="37"/>
      <x:c r="N45" s="37"/>
      <x:c r="O45" s="37" t="b">
        <x:v>1</x:v>
      </x:c>
      <x:c r="P45" s="37">
        <x:v>0</x:v>
      </x:c>
    </x:row>
    <x:row r="46">
      <x:c r="A46" s="37" t="s">
        <x:v>388</x:v>
      </x:c>
      <x:c r="B46" s="37" t="s">
        <x:v>389</x:v>
      </x:c>
      <x:c r="C46" s="37" t="s">
        <x:v>288</x:v>
      </x:c>
      <x:c r="D46" s="37" t="s">
        <x:v>276</x:v>
      </x:c>
      <x:c r="E46" s="37" t="s">
        <x:v>276</x:v>
      </x:c>
      <x:c r="F46" s="37"/>
      <x:c r="G46" s="37"/>
      <x:c r="H46" s="37" t="s">
        <x:v>384</x:v>
      </x:c>
      <x:c r="I46" s="37"/>
      <x:c r="J46" s="37"/>
      <x:c r="K46" s="37"/>
      <x:c r="L46" s="37"/>
      <x:c r="M46" s="37"/>
      <x:c r="N46" s="37"/>
      <x:c r="O46" s="37" t="b">
        <x:v>1</x:v>
      </x:c>
      <x:c r="P46" s="37">
        <x:v>0</x:v>
      </x:c>
    </x:row>
    <x:row r="47">
      <x:c r="A47" s="37" t="s">
        <x:v>390</x:v>
      </x:c>
      <x:c r="B47" s="37" t="s">
        <x:v>391</x:v>
      </x:c>
      <x:c r="C47" s="37" t="s">
        <x:v>291</x:v>
      </x:c>
      <x:c r="D47" s="37" t="s">
        <x:v>276</x:v>
      </x:c>
      <x:c r="E47" s="37" t="s">
        <x:v>276</x:v>
      </x:c>
      <x:c r="F47" s="37"/>
      <x:c r="G47" s="37"/>
      <x:c r="H47" s="37" t="s">
        <x:v>384</x:v>
      </x:c>
      <x:c r="I47" s="37"/>
      <x:c r="J47" s="37"/>
      <x:c r="K47" s="37"/>
      <x:c r="L47" s="71"/>
      <x:c r="M47" s="37"/>
      <x:c r="N47" s="37"/>
      <x:c r="O47" s="37" t="b">
        <x:v>0</x:v>
      </x:c>
      <x:c r="P47" s="37">
        <x:v>0</x:v>
      </x:c>
    </x:row>
    <x:row r="48" ht="36">
      <x:c r="A48" s="37" t="s">
        <x:v>392</x:v>
      </x:c>
      <x:c r="B48" s="37" t="s">
        <x:v>393</x:v>
      </x:c>
      <x:c r="C48" s="37" t="s">
        <x:v>275</x:v>
      </x:c>
      <x:c r="D48" s="37" t="s">
        <x:v>276</x:v>
      </x:c>
      <x:c r="E48" s="37" t="s">
        <x:v>276</x:v>
      </x:c>
      <x:c r="F48" s="37"/>
      <x:c r="G48" s="37"/>
      <x:c r="H48" s="37"/>
      <x:c r="I48" s="37" t="s">
        <x:v>394</x:v>
      </x:c>
      <x:c r="J48" s="37" t="s">
        <x:v>19</x:v>
      </x:c>
      <x:c r="K48" s="37" t="s">
        <x:v>394</x:v>
      </x:c>
      <x:c r="L48" s="37" t="s">
        <x:v>395</x:v>
      </x:c>
      <x:c r="M48" s="37"/>
      <x:c r="N48" s="37"/>
      <x:c r="O48" s="37" t="b">
        <x:v>1</x:v>
      </x:c>
      <x:c r="P48" s="37">
        <x:v>0</x:v>
      </x:c>
    </x:row>
    <x:row r="49">
      <x:c r="A49" s="37" t="s">
        <x:v>396</x:v>
      </x:c>
      <x:c r="B49" s="37" t="s">
        <x:v>397</x:v>
      </x:c>
      <x:c r="C49" s="37" t="s">
        <x:v>288</x:v>
      </x:c>
      <x:c r="D49" s="37" t="s">
        <x:v>276</x:v>
      </x:c>
      <x:c r="E49" s="37" t="s">
        <x:v>276</x:v>
      </x:c>
      <x:c r="F49" s="37"/>
      <x:c r="G49" s="37"/>
      <x:c r="H49" s="37" t="s">
        <x:v>392</x:v>
      </x:c>
      <x:c r="I49" s="37"/>
      <x:c r="J49" s="37"/>
      <x:c r="K49" s="37"/>
      <x:c r="L49" s="37"/>
      <x:c r="M49" s="37"/>
      <x:c r="N49" s="37"/>
      <x:c r="O49" s="37" t="b">
        <x:v>1</x:v>
      </x:c>
      <x:c r="P49" s="37">
        <x:v>0</x:v>
      </x:c>
    </x:row>
    <x:row r="50">
      <x:c r="A50" s="37" t="s">
        <x:v>398</x:v>
      </x:c>
      <x:c r="B50" s="37" t="s">
        <x:v>399</x:v>
      </x:c>
      <x:c r="C50" s="37" t="s">
        <x:v>291</x:v>
      </x:c>
      <x:c r="D50" s="37" t="s">
        <x:v>276</x:v>
      </x:c>
      <x:c r="E50" s="37" t="s">
        <x:v>276</x:v>
      </x:c>
      <x:c r="F50" s="37"/>
      <x:c r="G50" s="37"/>
      <x:c r="H50" s="37" t="s">
        <x:v>392</x:v>
      </x:c>
      <x:c r="I50" s="37"/>
      <x:c r="J50" s="37"/>
      <x:c r="K50" s="37"/>
      <x:c r="L50" s="37"/>
      <x:c r="M50" s="37"/>
      <x:c r="N50" s="37"/>
      <x:c r="O50" s="37" t="b">
        <x:v>0</x:v>
      </x:c>
      <x:c r="P50" s="37">
        <x:v>0</x:v>
      </x:c>
    </x:row>
    <x:row r="51">
      <x:c r="A51" s="37"/>
      <x:c r="B51" s="37"/>
      <x:c r="C51" s="37"/>
      <x:c r="D51" s="37"/>
      <x:c r="E51" s="37"/>
      <x:c r="F51" s="37"/>
      <x:c r="G51" s="37"/>
      <x:c r="H51" s="37"/>
      <x:c r="I51" s="37"/>
      <x:c r="J51" s="37"/>
      <x:c r="K51" s="37"/>
      <x:c r="L51" s="37"/>
      <x:c r="M51" s="37"/>
      <x:c r="N51" s="37"/>
      <x:c r="O51" s="37"/>
      <x:c r="P51" s="37"/>
    </x:row>
    <x:row r="52">
      <x:c r="A52" s="37"/>
      <x:c r="B52" s="37"/>
      <x:c r="C52" s="37"/>
      <x:c r="D52" s="37"/>
      <x:c r="E52" s="37"/>
      <x:c r="F52" s="37"/>
      <x:c r="G52" s="37"/>
      <x:c r="H52" s="37"/>
      <x:c r="I52" s="37"/>
      <x:c r="J52" s="37"/>
      <x:c r="K52" s="37"/>
      <x:c r="L52" s="37"/>
      <x:c r="M52" s="37"/>
      <x:c r="N52" s="37"/>
      <x:c r="O52" s="37"/>
      <x:c r="P52" s="37"/>
    </x:row>
    <x:row r="53">
      <x:c r="A53" s="37"/>
      <x:c r="B53" s="37"/>
      <x:c r="C53" s="37"/>
      <x:c r="D53" s="37"/>
      <x:c r="E53" s="37"/>
      <x:c r="F53" s="37"/>
      <x:c r="G53" s="37"/>
      <x:c r="H53" s="37"/>
      <x:c r="I53" s="37"/>
      <x:c r="J53" s="37"/>
      <x:c r="K53" s="37"/>
      <x:c r="L53" s="37"/>
      <x:c r="M53" s="37"/>
      <x:c r="N53" s="37"/>
      <x:c r="O53" s="37"/>
      <x:c r="P53" s="37"/>
    </x:row>
    <x:row r="54">
      <x:c r="A54" s="37"/>
      <x:c r="B54" s="37"/>
      <x:c r="C54" s="37"/>
      <x:c r="D54" s="37"/>
      <x:c r="E54" s="37"/>
      <x:c r="F54" s="37"/>
      <x:c r="G54" s="37"/>
      <x:c r="H54" s="37"/>
      <x:c r="I54" s="37"/>
      <x:c r="J54" s="37"/>
      <x:c r="K54" s="37"/>
      <x:c r="L54" s="37"/>
      <x:c r="M54" s="37"/>
      <x:c r="N54" s="37"/>
      <x:c r="O54" s="37"/>
      <x:c r="P54" s="37"/>
    </x:row>
    <x:row r="55">
      <x:c r="A55" s="37"/>
      <x:c r="B55" s="37"/>
      <x:c r="C55" s="37"/>
      <x:c r="D55" s="37"/>
      <x:c r="E55" s="37"/>
      <x:c r="F55" s="37"/>
      <x:c r="G55" s="37"/>
      <x:c r="H55" s="37"/>
      <x:c r="I55" s="37"/>
      <x:c r="J55" s="37"/>
      <x:c r="K55" s="37"/>
      <x:c r="L55" s="37"/>
      <x:c r="M55" s="37"/>
      <x:c r="N55" s="37"/>
      <x:c r="O55" s="37"/>
      <x:c r="P55" s="37"/>
    </x:row>
    <x:row r="56">
      <x:c r="A56" s="37"/>
      <x:c r="B56" s="37"/>
      <x:c r="C56" s="37"/>
      <x:c r="D56" s="37"/>
      <x:c r="E56" s="37"/>
      <x:c r="F56" s="37"/>
      <x:c r="G56" s="37"/>
      <x:c r="H56" s="37"/>
      <x:c r="I56" s="37"/>
      <x:c r="J56" s="37"/>
      <x:c r="K56" s="37"/>
      <x:c r="L56" s="37"/>
      <x:c r="M56" s="37"/>
      <x:c r="N56" s="37"/>
      <x:c r="O56" s="37"/>
      <x:c r="P56" s="37"/>
    </x:row>
    <x:row r="57">
      <x:c r="A57" s="37"/>
      <x:c r="B57" s="37"/>
      <x:c r="C57" s="37"/>
      <x:c r="D57" s="37"/>
      <x:c r="E57" s="37"/>
      <x:c r="F57" s="37"/>
      <x:c r="G57" s="37"/>
      <x:c r="H57" s="37"/>
      <x:c r="I57" s="37"/>
      <x:c r="J57" s="37"/>
      <x:c r="K57" s="37"/>
      <x:c r="L57" s="37"/>
      <x:c r="M57" s="37"/>
      <x:c r="N57" s="37"/>
      <x:c r="O57" s="37"/>
      <x:c r="P57" s="37"/>
    </x:row>
    <x:row r="58">
      <x:c r="A58" s="37"/>
      <x:c r="B58" s="37"/>
      <x:c r="C58" s="37"/>
      <x:c r="D58" s="37"/>
      <x:c r="E58" s="37"/>
      <x:c r="F58" s="37"/>
      <x:c r="G58" s="37"/>
      <x:c r="H58" s="37"/>
      <x:c r="I58" s="37"/>
      <x:c r="J58" s="37"/>
      <x:c r="K58" s="37"/>
      <x:c r="L58" s="37"/>
      <x:c r="M58" s="37"/>
      <x:c r="N58" s="37"/>
      <x:c r="O58" s="37"/>
      <x:c r="P58" s="37"/>
    </x:row>
    <x:row r="59">
      <x:c r="A59" s="37"/>
      <x:c r="B59" s="37"/>
      <x:c r="C59" s="37"/>
      <x:c r="D59" s="37"/>
      <x:c r="E59" s="37"/>
      <x:c r="F59" s="37"/>
      <x:c r="G59" s="37"/>
      <x:c r="H59" s="37"/>
      <x:c r="I59" s="37"/>
      <x:c r="J59" s="37"/>
      <x:c r="K59" s="37"/>
      <x:c r="L59" s="37"/>
      <x:c r="M59" s="37"/>
      <x:c r="N59" s="37"/>
      <x:c r="O59" s="37"/>
      <x:c r="P59" s="37"/>
    </x:row>
    <x:row r="60">
      <x:c r="A60" s="37"/>
      <x:c r="B60" s="37"/>
      <x:c r="C60" s="37"/>
      <x:c r="D60" s="37"/>
      <x:c r="E60" s="37"/>
      <x:c r="F60" s="37"/>
      <x:c r="G60" s="37"/>
      <x:c r="H60" s="37"/>
      <x:c r="I60" s="37"/>
      <x:c r="J60" s="37"/>
      <x:c r="K60" s="37"/>
      <x:c r="L60" s="37"/>
      <x:c r="M60" s="37"/>
      <x:c r="N60" s="37"/>
      <x:c r="O60" s="37"/>
      <x:c r="P60" s="37"/>
    </x:row>
    <x:row r="61">
      <x:c r="A61" s="37"/>
      <x:c r="B61" s="37"/>
      <x:c r="C61" s="37"/>
      <x:c r="D61" s="37"/>
      <x:c r="E61" s="37"/>
      <x:c r="F61" s="37"/>
      <x:c r="G61" s="37"/>
      <x:c r="H61" s="37"/>
      <x:c r="I61" s="37"/>
      <x:c r="J61" s="37"/>
      <x:c r="K61" s="37"/>
      <x:c r="L61" s="37"/>
      <x:c r="M61" s="37"/>
      <x:c r="N61" s="37"/>
      <x:c r="O61" s="37"/>
      <x:c r="P61" s="37"/>
    </x:row>
    <x:row r="62">
      <x:c r="A62" s="37"/>
      <x:c r="B62" s="37"/>
      <x:c r="C62" s="37"/>
      <x:c r="D62" s="37"/>
      <x:c r="E62" s="37"/>
      <x:c r="F62" s="37"/>
      <x:c r="G62" s="37"/>
      <x:c r="H62" s="37"/>
      <x:c r="I62" s="37"/>
      <x:c r="J62" s="37"/>
      <x:c r="K62" s="37"/>
      <x:c r="L62" s="37"/>
      <x:c r="M62" s="37"/>
      <x:c r="N62" s="37"/>
      <x:c r="O62" s="37"/>
      <x:c r="P62" s="37"/>
    </x:row>
    <x:row r="63">
      <x:c r="A63" s="37"/>
      <x:c r="B63" s="37"/>
      <x:c r="C63" s="37"/>
      <x:c r="D63" s="37"/>
      <x:c r="E63" s="37"/>
      <x:c r="F63" s="37"/>
      <x:c r="G63" s="37"/>
      <x:c r="H63" s="37"/>
      <x:c r="I63" s="37"/>
      <x:c r="J63" s="37"/>
      <x:c r="K63" s="37"/>
      <x:c r="L63" s="37"/>
      <x:c r="M63" s="37"/>
      <x:c r="N63" s="37"/>
      <x:c r="O63" s="37"/>
      <x:c r="P63" s="37"/>
    </x:row>
    <x:row r="64">
      <x:c r="A64" s="37"/>
      <x:c r="B64" s="37"/>
      <x:c r="C64" s="37"/>
      <x:c r="D64" s="37"/>
      <x:c r="E64" s="37"/>
      <x:c r="F64" s="37"/>
      <x:c r="G64" s="37"/>
      <x:c r="H64" s="37"/>
      <x:c r="I64" s="37"/>
      <x:c r="J64" s="37"/>
      <x:c r="K64" s="37"/>
      <x:c r="L64" s="37"/>
      <x:c r="M64" s="37"/>
      <x:c r="N64" s="37"/>
      <x:c r="O64" s="37"/>
      <x:c r="P64" s="37"/>
    </x:row>
    <x:row r="65">
      <x:c r="A65" s="37"/>
      <x:c r="B65" s="37"/>
      <x:c r="C65" s="37"/>
      <x:c r="D65" s="37"/>
      <x:c r="E65" s="37"/>
      <x:c r="F65" s="37"/>
      <x:c r="G65" s="37"/>
      <x:c r="H65" s="37"/>
      <x:c r="I65" s="37"/>
      <x:c r="J65" s="37"/>
      <x:c r="K65" s="37"/>
      <x:c r="L65" s="37"/>
      <x:c r="M65" s="37"/>
      <x:c r="N65" s="37"/>
      <x:c r="O65" s="37"/>
      <x:c r="P65" s="37"/>
    </x:row>
    <x:row r="66">
      <x:c r="A66" s="37"/>
      <x:c r="B66" s="37"/>
      <x:c r="C66" s="37"/>
      <x:c r="D66" s="37"/>
      <x:c r="E66" s="37"/>
      <x:c r="F66" s="37"/>
      <x:c r="G66" s="37"/>
      <x:c r="H66" s="37"/>
      <x:c r="I66" s="37"/>
      <x:c r="J66" s="37"/>
      <x:c r="K66" s="37"/>
      <x:c r="L66" s="37"/>
      <x:c r="M66" s="37"/>
      <x:c r="N66" s="37"/>
      <x:c r="O66" s="37"/>
      <x:c r="P66" s="37"/>
    </x:row>
    <x:row r="67">
      <x:c r="A67" s="37"/>
      <x:c r="B67" s="37"/>
      <x:c r="C67" s="37"/>
      <x:c r="D67" s="37"/>
      <x:c r="E67" s="37"/>
      <x:c r="F67" s="37"/>
      <x:c r="G67" s="37"/>
      <x:c r="H67" s="37"/>
      <x:c r="I67" s="37"/>
      <x:c r="J67" s="37"/>
      <x:c r="K67" s="37"/>
      <x:c r="L67" s="37"/>
      <x:c r="M67" s="37"/>
      <x:c r="N67" s="37"/>
      <x:c r="O67" s="37"/>
      <x:c r="P67" s="37"/>
    </x:row>
    <x:row r="68">
      <x:c r="A68" s="37"/>
      <x:c r="B68" s="37"/>
      <x:c r="C68" s="37"/>
      <x:c r="D68" s="37"/>
      <x:c r="E68" s="37"/>
      <x:c r="F68" s="37"/>
      <x:c r="G68" s="37"/>
      <x:c r="H68" s="37"/>
      <x:c r="I68" s="37"/>
      <x:c r="J68" s="37"/>
      <x:c r="K68" s="37"/>
      <x:c r="L68" s="37"/>
      <x:c r="M68" s="37"/>
      <x:c r="N68" s="37"/>
      <x:c r="O68" s="37"/>
      <x:c r="P68" s="37"/>
    </x:row>
    <x:row r="69">
      <x:c r="A69" s="37"/>
      <x:c r="B69" s="37"/>
      <x:c r="C69" s="37"/>
      <x:c r="D69" s="37"/>
      <x:c r="E69" s="37"/>
      <x:c r="F69" s="37"/>
      <x:c r="G69" s="37"/>
      <x:c r="H69" s="37"/>
      <x:c r="I69" s="37"/>
      <x:c r="J69" s="37"/>
      <x:c r="K69" s="37"/>
      <x:c r="L69" s="37"/>
      <x:c r="M69" s="37"/>
      <x:c r="N69" s="37"/>
      <x:c r="O69" s="37"/>
      <x:c r="P69" s="37"/>
    </x:row>
  </x:sheetData>
  <x:pageMargins left="0.7" right="0.7" top="0.75" bottom="0.75" header="0.3" footer="0.3"/>
</x:worksheet>
</file>

<file path=xl/worksheets/sheet3.xml><?xml version="1.0" encoding="utf-8"?>
<x:worksheet xmlns:x="http://schemas.openxmlformats.org/spreadsheetml/2006/main">
  <x:sheetFormatPr defaultColWidth="8.875" defaultRowHeight="18"/>
  <x:cols>
    <x:col min="1" max="1" width="8.75" style="32" customWidth="1"/>
    <x:col min="2" max="2" width="13" style="32" customWidth="1"/>
    <x:col min="3" max="3" width="11.25" style="32" customWidth="1"/>
    <x:col min="4" max="4" width="10.5" style="32" customWidth="1"/>
    <x:col min="5" max="5" width="9.5" style="32" customWidth="1"/>
    <x:col min="6" max="6" width="13.625" style="32" customWidth="1"/>
    <x:col min="7" max="7" width="13.875" style="32" customWidth="1"/>
    <x:col min="8" max="8" width="8.125" style="32" customWidth="1"/>
    <x:col min="9" max="9" width="48" style="32" customWidth="1"/>
    <x:col min="10" max="10" width="150.5" style="32" customWidth="1"/>
    <x:col min="11" max="42" width="8.875" style="36" customWidth="1"/>
    <x:col min="43" max="16384" width="8.875" style="36" customWidth="0"/>
  </x:cols>
  <x:sheetData>
    <x:row r="1">
      <x:c r="A1" s="39" t="s">
        <x:v>258</x:v>
      </x:c>
      <x:c r="B1" s="39" t="s">
        <x:v>259</x:v>
      </x:c>
      <x:c r="C1" s="39" t="s">
        <x:v>400</x:v>
      </x:c>
      <x:c r="D1" s="39" t="s">
        <x:v>401</x:v>
      </x:c>
      <x:c r="E1" s="39" t="s">
        <x:v>402</x:v>
      </x:c>
      <x:c r="F1" s="40" t="s">
        <x:v>403</x:v>
      </x:c>
      <x:c r="G1" s="40" t="s">
        <x:v>404</x:v>
      </x:c>
      <x:c r="H1" s="40" t="s">
        <x:v>405</x:v>
      </x:c>
      <x:c r="I1" s="39" t="s">
        <x:v>406</x:v>
      </x:c>
      <x:c r="J1" s="40" t="s">
        <x:v>407</x:v>
      </x:c>
    </x:row>
    <x:row r="2">
      <x:c r="A2" s="50" t="s">
        <x:v>273</x:v>
      </x:c>
      <x:c r="B2" s="50" t="s">
        <x:v>274</x:v>
      </x:c>
      <x:c r="C2" s="50">
        <x:v>1</x:v>
      </x:c>
      <x:c r="D2" s="50" t="s">
        <x:v>408</x:v>
      </x:c>
      <x:c r="E2" s="50"/>
      <x:c r="F2" s="51"/>
      <x:c r="G2" s="51"/>
      <x:c r="H2" s="51"/>
      <x:c r="I2" s="51" t="s">
        <x:v>409</x:v>
      </x:c>
      <x:c r="J2" s="54" t="s">
        <x:v>410</x:v>
      </x:c>
    </x:row>
    <x:row r="3">
      <x:c r="A3" s="50" t="s">
        <x:v>273</x:v>
      </x:c>
      <x:c r="B3" s="50" t="s">
        <x:v>274</x:v>
      </x:c>
      <x:c r="C3" s="50">
        <x:v>2</x:v>
      </x:c>
      <x:c r="D3" s="50" t="s">
        <x:v>411</x:v>
      </x:c>
      <x:c r="E3" s="52" t="s">
        <x:v>23</x:v>
      </x:c>
      <x:c r="F3" s="53" t="s">
        <x:v>412</x:v>
      </x:c>
      <x:c r="G3" s="51"/>
      <x:c r="H3" s="53"/>
      <x:c r="I3" s="51"/>
      <x:c r="J3" s="54" t="s">
        <x:v>413</x:v>
      </x:c>
    </x:row>
    <x:row r="4">
      <x:c r="A4" s="50" t="s">
        <x:v>273</x:v>
      </x:c>
      <x:c r="B4" s="50" t="s">
        <x:v>274</x:v>
      </x:c>
      <x:c r="C4" s="50">
        <x:v>3</x:v>
      </x:c>
      <x:c r="D4" s="50" t="s">
        <x:v>411</x:v>
      </x:c>
      <x:c r="E4" s="50" t="s">
        <x:v>16</x:v>
      </x:c>
      <x:c r="F4" s="51" t="s">
        <x:v>414</x:v>
      </x:c>
      <x:c r="G4" s="51"/>
      <x:c r="H4" s="53"/>
      <x:c r="I4" s="51"/>
      <x:c r="J4" s="54" t="s">
        <x:v>415</x:v>
      </x:c>
    </x:row>
    <x:row r="5">
      <x:c r="A5" s="50" t="s">
        <x:v>273</x:v>
      </x:c>
      <x:c r="B5" s="50" t="s">
        <x:v>274</x:v>
      </x:c>
      <x:c r="C5" s="50">
        <x:v>4</x:v>
      </x:c>
      <x:c r="D5" s="50" t="s">
        <x:v>411</x:v>
      </x:c>
      <x:c r="E5" s="50" t="s">
        <x:v>18</x:v>
      </x:c>
      <x:c r="F5" s="51" t="s">
        <x:v>416</x:v>
      </x:c>
      <x:c r="G5" s="51"/>
      <x:c r="H5" s="53"/>
      <x:c r="I5" s="51"/>
      <x:c r="J5" s="54" t="s">
        <x:v>417</x:v>
      </x:c>
    </x:row>
    <x:row r="6">
      <x:c r="A6" s="50" t="s">
        <x:v>273</x:v>
      </x:c>
      <x:c r="B6" s="50" t="s">
        <x:v>274</x:v>
      </x:c>
      <x:c r="C6" s="50">
        <x:v>5</x:v>
      </x:c>
      <x:c r="D6" s="50" t="s">
        <x:v>411</x:v>
      </x:c>
      <x:c r="E6" s="52" t="s">
        <x:v>23</x:v>
      </x:c>
      <x:c r="F6" s="53" t="s">
        <x:v>412</x:v>
      </x:c>
      <x:c r="G6" s="51"/>
      <x:c r="H6" s="53"/>
      <x:c r="I6" s="51"/>
      <x:c r="J6" s="54" t="s">
        <x:v>418</x:v>
      </x:c>
    </x:row>
    <x:row r="7">
      <x:c r="A7" s="50" t="s">
        <x:v>273</x:v>
      </x:c>
      <x:c r="B7" s="50" t="s">
        <x:v>274</x:v>
      </x:c>
      <x:c r="C7" s="50">
        <x:v>6</x:v>
      </x:c>
      <x:c r="D7" s="50" t="s">
        <x:v>411</x:v>
      </x:c>
      <x:c r="E7" s="50" t="s">
        <x:v>16</x:v>
      </x:c>
      <x:c r="F7" s="51" t="s">
        <x:v>414</x:v>
      </x:c>
      <x:c r="G7" s="51"/>
      <x:c r="H7" s="53"/>
      <x:c r="I7" s="51"/>
      <x:c r="J7" s="54" t="s">
        <x:v>419</x:v>
      </x:c>
    </x:row>
    <x:row r="8" ht="36" customHeight="1">
      <x:c r="A8" s="50" t="s">
        <x:v>273</x:v>
      </x:c>
      <x:c r="B8" s="50" t="s">
        <x:v>274</x:v>
      </x:c>
      <x:c r="C8" s="50">
        <x:v>7</x:v>
      </x:c>
      <x:c r="D8" s="50" t="s">
        <x:v>411</x:v>
      </x:c>
      <x:c r="E8" s="50" t="s">
        <x:v>18</x:v>
      </x:c>
      <x:c r="F8" s="51" t="s">
        <x:v>416</x:v>
      </x:c>
      <x:c r="G8" s="51"/>
      <x:c r="H8" s="53"/>
      <x:c r="I8" s="51"/>
      <x:c r="J8" s="54" t="s">
        <x:v>420</x:v>
      </x:c>
    </x:row>
    <x:row r="9">
      <x:c r="A9" s="50" t="s">
        <x:v>273</x:v>
      </x:c>
      <x:c r="B9" s="50" t="s">
        <x:v>274</x:v>
      </x:c>
      <x:c r="C9" s="50">
        <x:v>8</x:v>
      </x:c>
      <x:c r="D9" s="50" t="s">
        <x:v>411</x:v>
      </x:c>
      <x:c r="E9" s="50" t="s">
        <x:v>16</x:v>
      </x:c>
      <x:c r="F9" s="51" t="s">
        <x:v>414</x:v>
      </x:c>
      <x:c r="G9" s="51"/>
      <x:c r="H9" s="53"/>
      <x:c r="I9" s="51"/>
      <x:c r="J9" s="54" t="s">
        <x:v>421</x:v>
      </x:c>
    </x:row>
    <x:row r="10">
      <x:c r="A10" s="50" t="s">
        <x:v>273</x:v>
      </x:c>
      <x:c r="B10" s="50" t="s">
        <x:v>274</x:v>
      </x:c>
      <x:c r="C10" s="50">
        <x:v>9</x:v>
      </x:c>
      <x:c r="D10" s="50" t="s">
        <x:v>411</x:v>
      </x:c>
      <x:c r="E10" s="50" t="s">
        <x:v>18</x:v>
      </x:c>
      <x:c r="F10" s="51" t="s">
        <x:v>416</x:v>
      </x:c>
      <x:c r="G10" s="51"/>
      <x:c r="H10" s="53"/>
      <x:c r="I10" s="51"/>
      <x:c r="J10" s="54" t="s">
        <x:v>422</x:v>
      </x:c>
    </x:row>
    <x:row r="11">
      <x:c r="A11" s="50" t="s">
        <x:v>273</x:v>
      </x:c>
      <x:c r="B11" s="50" t="s">
        <x:v>274</x:v>
      </x:c>
      <x:c r="C11" s="50">
        <x:v>10</x:v>
      </x:c>
      <x:c r="D11" s="50" t="s">
        <x:v>411</x:v>
      </x:c>
      <x:c r="E11" s="50" t="s">
        <x:v>16</x:v>
      </x:c>
      <x:c r="F11" s="51" t="s">
        <x:v>414</x:v>
      </x:c>
      <x:c r="G11" s="51"/>
      <x:c r="H11" s="53"/>
      <x:c r="I11" s="51"/>
      <x:c r="J11" s="54" t="s">
        <x:v>423</x:v>
      </x:c>
    </x:row>
    <x:row r="12" ht="36" customHeight="1">
      <x:c r="A12" s="50" t="s">
        <x:v>273</x:v>
      </x:c>
      <x:c r="B12" s="50" t="s">
        <x:v>274</x:v>
      </x:c>
      <x:c r="C12" s="50">
        <x:v>11</x:v>
      </x:c>
      <x:c r="D12" s="50" t="s">
        <x:v>411</x:v>
      </x:c>
      <x:c r="E12" s="50" t="s">
        <x:v>18</x:v>
      </x:c>
      <x:c r="F12" s="51" t="s">
        <x:v>416</x:v>
      </x:c>
      <x:c r="G12" s="51"/>
      <x:c r="H12" s="53"/>
      <x:c r="I12" s="51"/>
      <x:c r="J12" s="54" t="s">
        <x:v>424</x:v>
      </x:c>
    </x:row>
    <x:row r="13">
      <x:c r="A13" s="32" t="s">
        <x:v>273</x:v>
      </x:c>
      <x:c r="B13" s="32" t="s">
        <x:v>274</x:v>
      </x:c>
      <x:c r="C13" s="32">
        <x:v>12</x:v>
      </x:c>
      <x:c r="D13" s="50" t="s">
        <x:v>408</x:v>
      </x:c>
      <x:c r="F13" s="51"/>
      <x:c r="J13" s="54" t="s">
        <x:v>425</x:v>
      </x:c>
    </x:row>
    <x:row r="14" ht="18.75" customHeight="1">
      <x:c r="A14" s="50" t="s">
        <x:v>278</x:v>
      </x:c>
      <x:c r="B14" s="50" t="s">
        <x:v>279</x:v>
      </x:c>
      <x:c r="C14" s="50">
        <x:v>1</x:v>
      </x:c>
      <x:c r="D14" s="50" t="s">
        <x:v>411</x:v>
      </x:c>
      <x:c r="E14" s="52" t="s">
        <x:v>16</x:v>
      </x:c>
      <x:c r="F14" s="53" t="s">
        <x:v>416</x:v>
      </x:c>
      <x:c r="G14" s="51"/>
      <x:c r="H14" s="53"/>
      <x:c r="I14" s="72" t="s">
        <x:v>426</x:v>
      </x:c>
      <x:c r="J14" s="55" t="s">
        <x:v>427</x:v>
      </x:c>
    </x:row>
    <x:row r="15">
      <x:c r="A15" s="50" t="s">
        <x:v>278</x:v>
      </x:c>
      <x:c r="B15" s="50" t="s">
        <x:v>279</x:v>
      </x:c>
      <x:c r="C15" s="50">
        <x:v>2</x:v>
      </x:c>
      <x:c r="D15" s="50" t="s">
        <x:v>411</x:v>
      </x:c>
      <x:c r="E15" s="52" t="s">
        <x:v>20</x:v>
      </x:c>
      <x:c r="F15" s="51" t="s">
        <x:v>412</x:v>
      </x:c>
      <x:c r="G15" s="51"/>
      <x:c r="H15" s="53"/>
      <x:c r="I15" s="51"/>
      <x:c r="J15" s="55" t="s">
        <x:v>428</x:v>
      </x:c>
    </x:row>
    <x:row r="16">
      <x:c r="A16" s="50" t="s">
        <x:v>278</x:v>
      </x:c>
      <x:c r="B16" s="50" t="s">
        <x:v>279</x:v>
      </x:c>
      <x:c r="C16" s="50">
        <x:v>3</x:v>
      </x:c>
      <x:c r="D16" s="50" t="s">
        <x:v>411</x:v>
      </x:c>
      <x:c r="E16" s="52" t="s">
        <x:v>16</x:v>
      </x:c>
      <x:c r="F16" s="53" t="s">
        <x:v>416</x:v>
      </x:c>
      <x:c r="G16" s="51"/>
      <x:c r="H16" s="53"/>
      <x:c r="I16" s="51"/>
      <x:c r="J16" s="52" t="s">
        <x:v>429</x:v>
      </x:c>
    </x:row>
    <x:row r="17" ht="18.75" customHeight="1">
      <x:c r="A17" s="50" t="s">
        <x:v>278</x:v>
      </x:c>
      <x:c r="B17" s="50" t="s">
        <x:v>279</x:v>
      </x:c>
      <x:c r="C17" s="50">
        <x:v>4</x:v>
      </x:c>
      <x:c r="D17" s="50" t="s">
        <x:v>411</x:v>
      </x:c>
      <x:c r="E17" s="50" t="s">
        <x:v>18</x:v>
      </x:c>
      <x:c r="F17" s="53" t="s">
        <x:v>416</x:v>
      </x:c>
      <x:c r="G17" s="51"/>
      <x:c r="H17" s="53"/>
      <x:c r="I17" s="72" t="s">
        <x:v>430</x:v>
      </x:c>
      <x:c r="J17" s="54" t="s">
        <x:v>431</x:v>
      </x:c>
    </x:row>
    <x:row r="18">
      <x:c r="A18" s="50" t="s">
        <x:v>278</x:v>
      </x:c>
      <x:c r="B18" s="50" t="s">
        <x:v>279</x:v>
      </x:c>
      <x:c r="C18" s="50">
        <x:v>5</x:v>
      </x:c>
      <x:c r="D18" s="50" t="s">
        <x:v>411</x:v>
      </x:c>
      <x:c r="E18" s="52" t="s">
        <x:v>16</x:v>
      </x:c>
      <x:c r="F18" s="53" t="s">
        <x:v>414</x:v>
      </x:c>
      <x:c r="G18" s="51"/>
      <x:c r="H18" s="53"/>
      <x:c r="I18" s="51"/>
      <x:c r="J18" s="56" t="s">
        <x:v>432</x:v>
      </x:c>
    </x:row>
    <x:row r="19">
      <x:c r="A19" s="50" t="s">
        <x:v>278</x:v>
      </x:c>
      <x:c r="B19" s="50" t="s">
        <x:v>279</x:v>
      </x:c>
      <x:c r="C19" s="50">
        <x:v>6</x:v>
      </x:c>
      <x:c r="D19" s="50" t="s">
        <x:v>411</x:v>
      </x:c>
      <x:c r="E19" s="50" t="s">
        <x:v>18</x:v>
      </x:c>
      <x:c r="F19" s="53" t="s">
        <x:v>416</x:v>
      </x:c>
      <x:c r="H19" s="53"/>
      <x:c r="J19" s="50" t="s">
        <x:v>433</x:v>
      </x:c>
    </x:row>
    <x:row r="20">
      <x:c r="A20" s="50" t="s">
        <x:v>278</x:v>
      </x:c>
      <x:c r="B20" s="50" t="s">
        <x:v>279</x:v>
      </x:c>
      <x:c r="C20" s="50">
        <x:v>7</x:v>
      </x:c>
      <x:c r="D20" s="50" t="s">
        <x:v>411</x:v>
      </x:c>
      <x:c r="E20" s="52" t="s">
        <x:v>16</x:v>
      </x:c>
      <x:c r="F20" s="53" t="s">
        <x:v>414</x:v>
      </x:c>
      <x:c r="H20" s="53"/>
      <x:c r="J20" s="50" t="s">
        <x:v>434</x:v>
      </x:c>
    </x:row>
    <x:row r="21" ht="33" customHeight="1">
      <x:c r="A21" s="50" t="s">
        <x:v>280</x:v>
      </x:c>
      <x:c r="B21" s="50" t="s">
        <x:v>281</x:v>
      </x:c>
      <x:c r="C21" s="50">
        <x:v>1</x:v>
      </x:c>
      <x:c r="D21" s="50" t="s">
        <x:v>411</x:v>
      </x:c>
      <x:c r="E21" s="52" t="s">
        <x:v>18</x:v>
      </x:c>
      <x:c r="F21" s="53" t="s">
        <x:v>416</x:v>
      </x:c>
      <x:c r="G21" s="51"/>
      <x:c r="H21" s="53"/>
      <x:c r="I21" s="51" t="s">
        <x:v>435</x:v>
      </x:c>
      <x:c r="J21" s="52" t="s">
        <x:v>436</x:v>
      </x:c>
    </x:row>
    <x:row r="22">
      <x:c r="A22" s="50" t="s">
        <x:v>280</x:v>
      </x:c>
      <x:c r="B22" s="50" t="s">
        <x:v>281</x:v>
      </x:c>
      <x:c r="C22" s="50">
        <x:v>2</x:v>
      </x:c>
      <x:c r="D22" s="50" t="s">
        <x:v>411</x:v>
      </x:c>
      <x:c r="E22" s="52" t="s">
        <x:v>18</x:v>
      </x:c>
      <x:c r="F22" s="53" t="s">
        <x:v>416</x:v>
      </x:c>
      <x:c r="G22" s="51"/>
      <x:c r="H22" s="53"/>
      <x:c r="I22" s="51"/>
      <x:c r="J22" s="52" t="s">
        <x:v>437</x:v>
      </x:c>
    </x:row>
    <x:row r="23">
      <x:c r="A23" s="50" t="s">
        <x:v>282</x:v>
      </x:c>
      <x:c r="B23" s="50" t="s">
        <x:v>283</x:v>
      </x:c>
      <x:c r="C23" s="50">
        <x:v>1</x:v>
      </x:c>
      <x:c r="D23" s="50" t="s">
        <x:v>411</x:v>
      </x:c>
      <x:c r="E23" s="50" t="s">
        <x:v>27</x:v>
      </x:c>
      <x:c r="F23" s="51" t="s">
        <x:v>414</x:v>
      </x:c>
      <x:c r="G23" s="51"/>
      <x:c r="H23" s="53"/>
      <x:c r="I23" s="51" t="s">
        <x:v>438</x:v>
      </x:c>
      <x:c r="J23" s="50" t="s">
        <x:v>439</x:v>
      </x:c>
    </x:row>
    <x:row r="24">
      <x:c r="A24" s="50" t="s">
        <x:v>282</x:v>
      </x:c>
      <x:c r="B24" s="50" t="s">
        <x:v>283</x:v>
      </x:c>
      <x:c r="C24" s="50">
        <x:v>2</x:v>
      </x:c>
      <x:c r="D24" s="50" t="s">
        <x:v>411</x:v>
      </x:c>
      <x:c r="E24" s="50" t="s">
        <x:v>18</x:v>
      </x:c>
      <x:c r="F24" s="53" t="s">
        <x:v>416</x:v>
      </x:c>
      <x:c r="G24" s="51"/>
      <x:c r="H24" s="53"/>
      <x:c r="I24" s="51"/>
      <x:c r="J24" s="50" t="s">
        <x:v>440</x:v>
      </x:c>
    </x:row>
    <x:row r="25">
      <x:c r="A25" s="50" t="s">
        <x:v>282</x:v>
      </x:c>
      <x:c r="B25" s="50" t="s">
        <x:v>283</x:v>
      </x:c>
      <x:c r="C25" s="50">
        <x:v>3</x:v>
      </x:c>
      <x:c r="D25" s="50" t="s">
        <x:v>411</x:v>
      </x:c>
      <x:c r="E25" s="50" t="s">
        <x:v>27</x:v>
      </x:c>
      <x:c r="F25" s="51" t="s">
        <x:v>414</x:v>
      </x:c>
      <x:c r="G25" s="51"/>
      <x:c r="H25" s="53"/>
      <x:c r="I25" s="51"/>
      <x:c r="J25" s="54" t="s">
        <x:v>441</x:v>
      </x:c>
    </x:row>
    <x:row r="26">
      <x:c r="A26" s="50" t="s">
        <x:v>282</x:v>
      </x:c>
      <x:c r="B26" s="50" t="s">
        <x:v>283</x:v>
      </x:c>
      <x:c r="C26" s="50">
        <x:v>4</x:v>
      </x:c>
      <x:c r="D26" s="50" t="s">
        <x:v>411</x:v>
      </x:c>
      <x:c r="E26" s="50" t="s">
        <x:v>18</x:v>
      </x:c>
      <x:c r="F26" s="53" t="s">
        <x:v>416</x:v>
      </x:c>
      <x:c r="G26" s="51"/>
      <x:c r="H26" s="53"/>
      <x:c r="I26" s="51"/>
      <x:c r="J26" s="50" t="s">
        <x:v>442</x:v>
      </x:c>
    </x:row>
    <x:row r="27">
      <x:c r="A27" s="50" t="s">
        <x:v>282</x:v>
      </x:c>
      <x:c r="B27" s="50" t="s">
        <x:v>283</x:v>
      </x:c>
      <x:c r="C27" s="50">
        <x:v>5</x:v>
      </x:c>
      <x:c r="D27" s="50" t="s">
        <x:v>411</x:v>
      </x:c>
      <x:c r="E27" s="52" t="s">
        <x:v>16</x:v>
      </x:c>
      <x:c r="F27" s="51" t="s">
        <x:v>412</x:v>
      </x:c>
      <x:c r="G27" s="51"/>
      <x:c r="H27" s="53"/>
      <x:c r="I27" s="51"/>
      <x:c r="J27" s="50" t="s">
        <x:v>443</x:v>
      </x:c>
    </x:row>
    <x:row r="28">
      <x:c r="A28" s="32" t="s">
        <x:v>282</x:v>
      </x:c>
      <x:c r="B28" s="32" t="s">
        <x:v>283</x:v>
      </x:c>
      <x:c r="C28" s="32">
        <x:v>6</x:v>
      </x:c>
      <x:c r="D28" s="50" t="s">
        <x:v>411</x:v>
      </x:c>
      <x:c r="E28" s="50" t="s">
        <x:v>27</x:v>
      </x:c>
      <x:c r="F28" s="51" t="s">
        <x:v>414</x:v>
      </x:c>
      <x:c r="H28" s="53"/>
      <x:c r="J28" s="57" t="s">
        <x:v>444</x:v>
      </x:c>
    </x:row>
    <x:row r="29">
      <x:c r="A29" s="50" t="s">
        <x:v>286</x:v>
      </x:c>
      <x:c r="B29" s="50" t="s">
        <x:v>287</x:v>
      </x:c>
      <x:c r="C29" s="50">
        <x:v>1</x:v>
      </x:c>
      <x:c r="D29" s="50" t="s">
        <x:v>411</x:v>
      </x:c>
      <x:c r="E29" s="52" t="s">
        <x:v>16</x:v>
      </x:c>
      <x:c r="F29" s="51" t="s">
        <x:v>412</x:v>
      </x:c>
      <x:c r="G29" s="51"/>
      <x:c r="H29" s="53"/>
      <x:c r="I29" s="51" t="s">
        <x:v>438</x:v>
      </x:c>
      <x:c r="J29" s="52" t="s">
        <x:v>445</x:v>
      </x:c>
    </x:row>
    <x:row r="30">
      <x:c r="A30" s="50" t="s">
        <x:v>286</x:v>
      </x:c>
      <x:c r="B30" s="50" t="s">
        <x:v>287</x:v>
      </x:c>
      <x:c r="C30" s="50">
        <x:v>2</x:v>
      </x:c>
      <x:c r="D30" s="50" t="s">
        <x:v>411</x:v>
      </x:c>
      <x:c r="E30" s="50" t="s">
        <x:v>27</x:v>
      </x:c>
      <x:c r="F30" s="51" t="s">
        <x:v>414</x:v>
      </x:c>
      <x:c r="G30" s="51"/>
      <x:c r="H30" s="53"/>
      <x:c r="I30" s="51"/>
      <x:c r="J30" s="32" t="s">
        <x:v>446</x:v>
      </x:c>
    </x:row>
    <x:row r="31">
      <x:c r="A31" s="50" t="s">
        <x:v>286</x:v>
      </x:c>
      <x:c r="B31" s="50" t="s">
        <x:v>287</x:v>
      </x:c>
      <x:c r="C31" s="50">
        <x:v>3</x:v>
      </x:c>
      <x:c r="D31" s="50" t="s">
        <x:v>411</x:v>
      </x:c>
      <x:c r="E31" s="52" t="s">
        <x:v>16</x:v>
      </x:c>
      <x:c r="F31" s="51" t="s">
        <x:v>412</x:v>
      </x:c>
      <x:c r="G31" s="51"/>
      <x:c r="H31" s="53"/>
      <x:c r="I31" s="51"/>
      <x:c r="J31" s="32" t="s">
        <x:v>447</x:v>
      </x:c>
    </x:row>
    <x:row r="32">
      <x:c r="A32" s="50" t="s">
        <x:v>286</x:v>
      </x:c>
      <x:c r="B32" s="50" t="s">
        <x:v>287</x:v>
      </x:c>
      <x:c r="C32" s="50">
        <x:v>4</x:v>
      </x:c>
      <x:c r="D32" s="50" t="s">
        <x:v>411</x:v>
      </x:c>
      <x:c r="E32" s="50" t="s">
        <x:v>27</x:v>
      </x:c>
      <x:c r="F32" s="51" t="s">
        <x:v>414</x:v>
      </x:c>
      <x:c r="G32" s="51"/>
      <x:c r="H32" s="51"/>
      <x:c r="I32" s="51"/>
      <x:c r="J32" s="32" t="s">
        <x:v>448</x:v>
      </x:c>
    </x:row>
    <x:row r="33">
      <x:c r="A33" s="50" t="s">
        <x:v>286</x:v>
      </x:c>
      <x:c r="B33" s="50" t="s">
        <x:v>287</x:v>
      </x:c>
      <x:c r="C33" s="50">
        <x:v>5</x:v>
      </x:c>
      <x:c r="D33" s="50" t="s">
        <x:v>411</x:v>
      </x:c>
      <x:c r="E33" s="50" t="s">
        <x:v>27</x:v>
      </x:c>
      <x:c r="F33" s="51" t="s">
        <x:v>414</x:v>
      </x:c>
      <x:c r="G33" s="51"/>
      <x:c r="H33" s="51"/>
      <x:c r="I33" s="51"/>
      <x:c r="J33" s="57" t="s">
        <x:v>449</x:v>
      </x:c>
    </x:row>
    <x:row r="34">
      <x:c r="A34" s="32" t="s">
        <x:v>286</x:v>
      </x:c>
      <x:c r="B34" s="32" t="s">
        <x:v>287</x:v>
      </x:c>
      <x:c r="C34" s="32">
        <x:v>6</x:v>
      </x:c>
      <x:c r="D34" s="50" t="s">
        <x:v>411</x:v>
      </x:c>
      <x:c r="E34" s="52" t="s">
        <x:v>16</x:v>
      </x:c>
      <x:c r="F34" s="51" t="s">
        <x:v>412</x:v>
      </x:c>
      <x:c r="J34" s="57" t="s">
        <x:v>450</x:v>
      </x:c>
    </x:row>
    <x:row r="35">
      <x:c r="A35" s="50" t="s">
        <x:v>289</x:v>
      </x:c>
      <x:c r="B35" s="50" t="s">
        <x:v>290</x:v>
      </x:c>
      <x:c r="C35" s="50">
        <x:v>1</x:v>
      </x:c>
      <x:c r="D35" s="50" t="s">
        <x:v>411</x:v>
      </x:c>
      <x:c r="E35" s="52" t="s">
        <x:v>16</x:v>
      </x:c>
      <x:c r="F35" s="53" t="s">
        <x:v>412</x:v>
      </x:c>
      <x:c r="G35" s="51"/>
      <x:c r="H35" s="53"/>
      <x:c r="I35" s="51" t="s">
        <x:v>438</x:v>
      </x:c>
      <x:c r="J35" s="52" t="s">
        <x:v>451</x:v>
      </x:c>
    </x:row>
    <x:row r="36">
      <x:c r="A36" s="50" t="s">
        <x:v>292</x:v>
      </x:c>
      <x:c r="B36" s="50" t="s">
        <x:v>293</x:v>
      </x:c>
      <x:c r="C36" s="50">
        <x:v>1</x:v>
      </x:c>
      <x:c r="D36" s="50" t="s">
        <x:v>411</x:v>
      </x:c>
      <x:c r="E36" s="52" t="s">
        <x:v>16</x:v>
      </x:c>
      <x:c r="F36" s="53" t="s">
        <x:v>416</x:v>
      </x:c>
      <x:c r="G36" s="51"/>
      <x:c r="H36" s="53"/>
      <x:c r="I36" s="51" t="s">
        <x:v>452</x:v>
      </x:c>
      <x:c r="J36" s="52" t="s">
        <x:v>453</x:v>
      </x:c>
    </x:row>
    <x:row r="37">
      <x:c r="A37" s="50" t="s">
        <x:v>292</x:v>
      </x:c>
      <x:c r="B37" s="50" t="s">
        <x:v>293</x:v>
      </x:c>
      <x:c r="C37" s="50">
        <x:v>2</x:v>
      </x:c>
      <x:c r="D37" s="50" t="s">
        <x:v>411</x:v>
      </x:c>
      <x:c r="E37" s="52" t="s">
        <x:v>27</x:v>
      </x:c>
      <x:c r="F37" s="53" t="s">
        <x:v>414</x:v>
      </x:c>
      <x:c r="G37" s="51"/>
      <x:c r="H37" s="53"/>
      <x:c r="I37" s="51"/>
      <x:c r="J37" s="52" t="s">
        <x:v>454</x:v>
      </x:c>
    </x:row>
    <x:row r="38">
      <x:c r="A38" s="50" t="s">
        <x:v>292</x:v>
      </x:c>
      <x:c r="B38" s="50" t="s">
        <x:v>293</x:v>
      </x:c>
      <x:c r="C38" s="50">
        <x:v>3</x:v>
      </x:c>
      <x:c r="D38" s="50" t="s">
        <x:v>411</x:v>
      </x:c>
      <x:c r="E38" s="52" t="s">
        <x:v>16</x:v>
      </x:c>
      <x:c r="F38" s="53" t="s">
        <x:v>416</x:v>
      </x:c>
      <x:c r="G38" s="51"/>
      <x:c r="H38" s="53"/>
      <x:c r="I38" s="51"/>
      <x:c r="J38" s="52" t="s">
        <x:v>455</x:v>
      </x:c>
    </x:row>
    <x:row r="39">
      <x:c r="A39" s="50" t="s">
        <x:v>292</x:v>
      </x:c>
      <x:c r="B39" s="50" t="s">
        <x:v>293</x:v>
      </x:c>
      <x:c r="C39" s="50">
        <x:v>4</x:v>
      </x:c>
      <x:c r="D39" s="50" t="s">
        <x:v>411</x:v>
      </x:c>
      <x:c r="E39" s="52" t="s">
        <x:v>27</x:v>
      </x:c>
      <x:c r="F39" s="53" t="s">
        <x:v>414</x:v>
      </x:c>
      <x:c r="G39" s="51"/>
      <x:c r="H39" s="51"/>
      <x:c r="I39" s="51"/>
      <x:c r="J39" s="52" t="s">
        <x:v>456</x:v>
      </x:c>
    </x:row>
    <x:row r="40" ht="33" customHeight="1">
      <x:c r="A40" s="50" t="s">
        <x:v>292</x:v>
      </x:c>
      <x:c r="B40" s="50" t="s">
        <x:v>293</x:v>
      </x:c>
      <x:c r="C40" s="50">
        <x:v>5</x:v>
      </x:c>
      <x:c r="D40" s="50" t="s">
        <x:v>411</x:v>
      </x:c>
      <x:c r="E40" s="52" t="s">
        <x:v>16</x:v>
      </x:c>
      <x:c r="F40" s="53" t="s">
        <x:v>416</x:v>
      </x:c>
      <x:c r="G40" s="51"/>
      <x:c r="H40" s="51"/>
      <x:c r="I40" s="51"/>
      <x:c r="J40" s="52" t="s">
        <x:v>457</x:v>
      </x:c>
    </x:row>
    <x:row r="41">
      <x:c r="A41" s="50" t="s">
        <x:v>292</x:v>
      </x:c>
      <x:c r="B41" s="50" t="s">
        <x:v>293</x:v>
      </x:c>
      <x:c r="C41" s="50">
        <x:v>6</x:v>
      </x:c>
      <x:c r="D41" s="50" t="s">
        <x:v>411</x:v>
      </x:c>
      <x:c r="E41" s="52" t="s">
        <x:v>16</x:v>
      </x:c>
      <x:c r="F41" s="53" t="s">
        <x:v>416</x:v>
      </x:c>
      <x:c r="J41" s="57" t="s">
        <x:v>458</x:v>
      </x:c>
    </x:row>
    <x:row r="42">
      <x:c r="A42" s="50" t="s">
        <x:v>292</x:v>
      </x:c>
      <x:c r="B42" s="50" t="s">
        <x:v>293</x:v>
      </x:c>
      <x:c r="C42" s="50">
        <x:v>7</x:v>
      </x:c>
      <x:c r="D42" s="50" t="s">
        <x:v>411</x:v>
      </x:c>
      <x:c r="E42" s="52" t="s">
        <x:v>27</x:v>
      </x:c>
      <x:c r="F42" s="53" t="s">
        <x:v>414</x:v>
      </x:c>
      <x:c r="J42" s="57" t="s">
        <x:v>459</x:v>
      </x:c>
    </x:row>
    <x:row r="43">
      <x:c r="A43" s="50" t="s">
        <x:v>292</x:v>
      </x:c>
      <x:c r="B43" s="50" t="s">
        <x:v>293</x:v>
      </x:c>
      <x:c r="C43" s="50">
        <x:v>8</x:v>
      </x:c>
      <x:c r="D43" s="50" t="s">
        <x:v>411</x:v>
      </x:c>
      <x:c r="E43" s="52" t="s">
        <x:v>27</x:v>
      </x:c>
      <x:c r="F43" s="53" t="s">
        <x:v>414</x:v>
      </x:c>
      <x:c r="J43" s="57" t="s">
        <x:v>460</x:v>
      </x:c>
    </x:row>
    <x:row r="44">
      <x:c r="A44" s="50" t="s">
        <x:v>292</x:v>
      </x:c>
      <x:c r="B44" s="50" t="s">
        <x:v>293</x:v>
      </x:c>
      <x:c r="C44" s="50">
        <x:v>9</x:v>
      </x:c>
      <x:c r="D44" s="50" t="s">
        <x:v>411</x:v>
      </x:c>
      <x:c r="E44" s="52" t="s">
        <x:v>27</x:v>
      </x:c>
      <x:c r="F44" s="53" t="s">
        <x:v>414</x:v>
      </x:c>
      <x:c r="J44" s="57" t="s">
        <x:v>461</x:v>
      </x:c>
    </x:row>
    <x:row r="45">
      <x:c r="A45" s="50" t="s">
        <x:v>292</x:v>
      </x:c>
      <x:c r="B45" s="50" t="s">
        <x:v>293</x:v>
      </x:c>
      <x:c r="C45" s="50">
        <x:v>10</x:v>
      </x:c>
      <x:c r="D45" s="50" t="s">
        <x:v>411</x:v>
      </x:c>
      <x:c r="E45" s="52" t="s">
        <x:v>16</x:v>
      </x:c>
      <x:c r="F45" s="53" t="s">
        <x:v>416</x:v>
      </x:c>
      <x:c r="J45" s="57" t="s">
        <x:v>462</x:v>
      </x:c>
    </x:row>
    <x:row r="46">
      <x:c r="A46" s="50" t="s">
        <x:v>294</x:v>
      </x:c>
      <x:c r="B46" s="50" t="s">
        <x:v>295</x:v>
      </x:c>
      <x:c r="C46" s="50">
        <x:v>1</x:v>
      </x:c>
      <x:c r="D46" s="50" t="s">
        <x:v>408</x:v>
      </x:c>
      <x:c r="E46" s="50"/>
      <x:c r="F46" s="51"/>
      <x:c r="G46" s="51"/>
      <x:c r="H46" s="51"/>
      <x:c r="I46" s="51" t="s">
        <x:v>463</x:v>
      </x:c>
      <x:c r="J46" s="55" t="s">
        <x:v>464</x:v>
      </x:c>
    </x:row>
    <x:row r="47">
      <x:c r="A47" s="50" t="s">
        <x:v>294</x:v>
      </x:c>
      <x:c r="B47" s="50" t="s">
        <x:v>295</x:v>
      </x:c>
      <x:c r="C47" s="50">
        <x:v>2</x:v>
      </x:c>
      <x:c r="D47" s="50" t="s">
        <x:v>411</x:v>
      </x:c>
      <x:c r="E47" s="50" t="s">
        <x:v>23</x:v>
      </x:c>
      <x:c r="F47" s="53" t="s">
        <x:v>414</x:v>
      </x:c>
      <x:c r="G47" s="51"/>
      <x:c r="H47" s="53"/>
      <x:c r="I47" s="51"/>
      <x:c r="J47" s="50" t="s">
        <x:v>465</x:v>
      </x:c>
    </x:row>
    <x:row r="48">
      <x:c r="A48" s="50" t="s">
        <x:v>294</x:v>
      </x:c>
      <x:c r="B48" s="50" t="s">
        <x:v>295</x:v>
      </x:c>
      <x:c r="C48" s="50">
        <x:v>3</x:v>
      </x:c>
      <x:c r="D48" s="50" t="s">
        <x:v>411</x:v>
      </x:c>
      <x:c r="E48" s="50" t="s">
        <x:v>23</x:v>
      </x:c>
      <x:c r="F48" s="53" t="s">
        <x:v>414</x:v>
      </x:c>
      <x:c r="G48" s="51"/>
      <x:c r="H48" s="53"/>
      <x:c r="I48" s="51" t="s">
        <x:v>466</x:v>
      </x:c>
      <x:c r="J48" s="50" t="s">
        <x:v>467</x:v>
      </x:c>
    </x:row>
    <x:row r="49">
      <x:c r="A49" s="50" t="s">
        <x:v>294</x:v>
      </x:c>
      <x:c r="B49" s="50" t="s">
        <x:v>295</x:v>
      </x:c>
      <x:c r="C49" s="50">
        <x:v>4</x:v>
      </x:c>
      <x:c r="D49" s="50" t="s">
        <x:v>411</x:v>
      </x:c>
      <x:c r="E49" s="50" t="s">
        <x:v>16</x:v>
      </x:c>
      <x:c r="F49" s="51" t="s">
        <x:v>412</x:v>
      </x:c>
      <x:c r="G49" s="51"/>
      <x:c r="H49" s="53"/>
      <x:c r="I49" s="51"/>
      <x:c r="J49" s="51" t="s">
        <x:v>468</x:v>
      </x:c>
    </x:row>
    <x:row r="50">
      <x:c r="A50" s="50" t="s">
        <x:v>294</x:v>
      </x:c>
      <x:c r="B50" s="50" t="s">
        <x:v>295</x:v>
      </x:c>
      <x:c r="C50" s="50">
        <x:v>5</x:v>
      </x:c>
      <x:c r="D50" s="50" t="s">
        <x:v>411</x:v>
      </x:c>
      <x:c r="E50" s="50" t="s">
        <x:v>16</x:v>
      </x:c>
      <x:c r="F50" s="51" t="s">
        <x:v>412</x:v>
      </x:c>
      <x:c r="H50" s="53"/>
      <x:c r="J50" s="32" t="s">
        <x:v>469</x:v>
      </x:c>
    </x:row>
    <x:row r="51">
      <x:c r="A51" s="50" t="s">
        <x:v>294</x:v>
      </x:c>
      <x:c r="B51" s="50" t="s">
        <x:v>295</x:v>
      </x:c>
      <x:c r="C51" s="50">
        <x:v>6</x:v>
      </x:c>
      <x:c r="D51" s="50" t="s">
        <x:v>411</x:v>
      </x:c>
      <x:c r="E51" s="50" t="s">
        <x:v>33</x:v>
      </x:c>
      <x:c r="F51" s="51" t="s">
        <x:v>416</x:v>
      </x:c>
      <x:c r="G51" s="51"/>
      <x:c r="H51" s="53"/>
      <x:c r="I51" s="51"/>
      <x:c r="J51" s="50" t="s">
        <x:v>470</x:v>
      </x:c>
    </x:row>
    <x:row r="52">
      <x:c r="A52" s="50" t="s">
        <x:v>294</x:v>
      </x:c>
      <x:c r="B52" s="50" t="s">
        <x:v>295</x:v>
      </x:c>
      <x:c r="C52" s="50">
        <x:v>7</x:v>
      </x:c>
      <x:c r="D52" s="50" t="s">
        <x:v>411</x:v>
      </x:c>
      <x:c r="E52" s="50" t="s">
        <x:v>16</x:v>
      </x:c>
      <x:c r="F52" s="51" t="s">
        <x:v>412</x:v>
      </x:c>
      <x:c r="H52" s="53"/>
      <x:c r="J52" s="32" t="s">
        <x:v>471</x:v>
      </x:c>
    </x:row>
    <x:row r="53">
      <x:c r="A53" s="50" t="s">
        <x:v>294</x:v>
      </x:c>
      <x:c r="B53" s="50" t="s">
        <x:v>295</x:v>
      </x:c>
      <x:c r="C53" s="50">
        <x:v>8</x:v>
      </x:c>
      <x:c r="D53" s="50" t="s">
        <x:v>411</x:v>
      </x:c>
      <x:c r="E53" s="50" t="s">
        <x:v>33</x:v>
      </x:c>
      <x:c r="F53" s="51" t="s">
        <x:v>416</x:v>
      </x:c>
      <x:c r="H53" s="53"/>
      <x:c r="J53" s="32" t="s">
        <x:v>472</x:v>
      </x:c>
    </x:row>
    <x:row r="54">
      <x:c r="A54" s="50" t="s">
        <x:v>294</x:v>
      </x:c>
      <x:c r="B54" s="50" t="s">
        <x:v>295</x:v>
      </x:c>
      <x:c r="C54" s="50">
        <x:v>9</x:v>
      </x:c>
      <x:c r="D54" s="50" t="s">
        <x:v>408</x:v>
      </x:c>
      <x:c r="E54" s="50"/>
      <x:c r="F54" s="51"/>
      <x:c r="I54" s="51" t="s">
        <x:v>473</x:v>
      </x:c>
      <x:c r="J54" s="32" t="s">
        <x:v>474</x:v>
      </x:c>
    </x:row>
    <x:row r="55">
      <x:c r="A55" s="50" t="s">
        <x:v>294</x:v>
      </x:c>
      <x:c r="B55" s="50" t="s">
        <x:v>295</x:v>
      </x:c>
      <x:c r="C55" s="50">
        <x:v>10</x:v>
      </x:c>
      <x:c r="D55" s="50" t="s">
        <x:v>411</x:v>
      </x:c>
      <x:c r="E55" s="50" t="s">
        <x:v>29</x:v>
      </x:c>
      <x:c r="F55" s="51" t="s">
        <x:v>416</x:v>
      </x:c>
      <x:c r="H55" s="53"/>
      <x:c r="I55" s="51"/>
      <x:c r="J55" s="32" t="s">
        <x:v>475</x:v>
      </x:c>
    </x:row>
    <x:row r="56">
      <x:c r="A56" s="50" t="s">
        <x:v>294</x:v>
      </x:c>
      <x:c r="B56" s="50" t="s">
        <x:v>295</x:v>
      </x:c>
      <x:c r="C56" s="50">
        <x:v>11</x:v>
      </x:c>
      <x:c r="D56" s="50" t="s">
        <x:v>411</x:v>
      </x:c>
      <x:c r="E56" s="50" t="s">
        <x:v>16</x:v>
      </x:c>
      <x:c r="F56" s="53" t="s">
        <x:v>414</x:v>
      </x:c>
      <x:c r="H56" s="53"/>
      <x:c r="J56" s="32" t="s">
        <x:v>476</x:v>
      </x:c>
    </x:row>
    <x:row r="57">
      <x:c r="A57" s="50" t="s">
        <x:v>294</x:v>
      </x:c>
      <x:c r="B57" s="50" t="s">
        <x:v>295</x:v>
      </x:c>
      <x:c r="C57" s="50">
        <x:v>12</x:v>
      </x:c>
      <x:c r="D57" s="50" t="s">
        <x:v>411</x:v>
      </x:c>
      <x:c r="E57" s="50" t="s">
        <x:v>29</x:v>
      </x:c>
      <x:c r="F57" s="51" t="s">
        <x:v>416</x:v>
      </x:c>
      <x:c r="H57" s="53"/>
      <x:c r="I57" s="51" t="s">
        <x:v>477</x:v>
      </x:c>
      <x:c r="J57" s="32" t="s">
        <x:v>478</x:v>
      </x:c>
    </x:row>
    <x:row r="58">
      <x:c r="A58" s="50" t="s">
        <x:v>294</x:v>
      </x:c>
      <x:c r="B58" s="50" t="s">
        <x:v>295</x:v>
      </x:c>
      <x:c r="C58" s="50">
        <x:v>13</x:v>
      </x:c>
      <x:c r="D58" s="50" t="s">
        <x:v>411</x:v>
      </x:c>
      <x:c r="E58" s="50" t="s">
        <x:v>29</x:v>
      </x:c>
      <x:c r="F58" s="51" t="s">
        <x:v>416</x:v>
      </x:c>
      <x:c r="H58" s="53"/>
      <x:c r="J58" s="32" t="s">
        <x:v>479</x:v>
      </x:c>
    </x:row>
    <x:row r="59" ht="18.75">
      <x:c r="A59" s="50" t="s">
        <x:v>294</x:v>
      </x:c>
      <x:c r="B59" s="50" t="s">
        <x:v>295</x:v>
      </x:c>
      <x:c r="C59" s="50">
        <x:v>14</x:v>
      </x:c>
      <x:c r="D59" s="50" t="s">
        <x:v>411</x:v>
      </x:c>
      <x:c r="E59" s="52" t="s">
        <x:v>31</x:v>
      </x:c>
      <x:c r="F59" s="51" t="s">
        <x:v>412</x:v>
      </x:c>
      <x:c r="G59" s="57" t="s">
        <x:v>480</x:v>
      </x:c>
      <x:c r="H59" s="53"/>
      <x:c r="I59" s="72"/>
      <x:c r="J59" s="57" t="s">
        <x:v>481</x:v>
      </x:c>
    </x:row>
    <x:row r="60">
      <x:c r="A60" s="50" t="s">
        <x:v>294</x:v>
      </x:c>
      <x:c r="B60" s="50" t="s">
        <x:v>295</x:v>
      </x:c>
      <x:c r="C60" s="50">
        <x:v>15</x:v>
      </x:c>
      <x:c r="D60" s="50" t="s">
        <x:v>411</x:v>
      </x:c>
      <x:c r="E60" s="50" t="s">
        <x:v>29</x:v>
      </x:c>
      <x:c r="F60" s="51" t="s">
        <x:v>416</x:v>
      </x:c>
      <x:c r="H60" s="53"/>
      <x:c r="J60" s="57" t="s">
        <x:v>482</x:v>
      </x:c>
    </x:row>
    <x:row r="61">
      <x:c r="A61" s="50" t="s">
        <x:v>299</x:v>
      </x:c>
      <x:c r="B61" s="50" t="s">
        <x:v>300</x:v>
      </x:c>
      <x:c r="C61" s="50">
        <x:v>1</x:v>
      </x:c>
      <x:c r="D61" s="50" t="s">
        <x:v>411</x:v>
      </x:c>
      <x:c r="E61" s="52" t="s">
        <x:v>31</x:v>
      </x:c>
      <x:c r="F61" s="51" t="s">
        <x:v>412</x:v>
      </x:c>
      <x:c r="G61" s="53" t="s">
        <x:v>483</x:v>
      </x:c>
      <x:c r="H61" s="53"/>
      <x:c r="I61" s="51" t="s">
        <x:v>477</x:v>
      </x:c>
      <x:c r="J61" s="52" t="s">
        <x:v>484</x:v>
      </x:c>
    </x:row>
    <x:row r="62">
      <x:c r="A62" s="50" t="s">
        <x:v>299</x:v>
      </x:c>
      <x:c r="B62" s="50" t="s">
        <x:v>300</x:v>
      </x:c>
      <x:c r="C62" s="50">
        <x:v>2</x:v>
      </x:c>
      <x:c r="D62" s="50" t="s">
        <x:v>411</x:v>
      </x:c>
      <x:c r="E62" s="50" t="s">
        <x:v>16</x:v>
      </x:c>
      <x:c r="F62" s="53" t="s">
        <x:v>414</x:v>
      </x:c>
      <x:c r="G62" s="51"/>
      <x:c r="H62" s="53"/>
      <x:c r="I62" s="51"/>
      <x:c r="J62" s="50" t="s">
        <x:v>485</x:v>
      </x:c>
    </x:row>
    <x:row r="63">
      <x:c r="A63" s="50" t="s">
        <x:v>299</x:v>
      </x:c>
      <x:c r="B63" s="50" t="s">
        <x:v>300</x:v>
      </x:c>
      <x:c r="C63" s="50">
        <x:v>3</x:v>
      </x:c>
      <x:c r="D63" s="50" t="s">
        <x:v>411</x:v>
      </x:c>
      <x:c r="E63" s="50" t="s">
        <x:v>29</x:v>
      </x:c>
      <x:c r="F63" s="51" t="s">
        <x:v>416</x:v>
      </x:c>
      <x:c r="G63" s="51"/>
      <x:c r="H63" s="53"/>
      <x:c r="I63" s="51"/>
      <x:c r="J63" s="50" t="s">
        <x:v>486</x:v>
      </x:c>
    </x:row>
    <x:row r="64">
      <x:c r="A64" s="50" t="s">
        <x:v>299</x:v>
      </x:c>
      <x:c r="B64" s="50" t="s">
        <x:v>300</x:v>
      </x:c>
      <x:c r="C64" s="50">
        <x:v>4</x:v>
      </x:c>
      <x:c r="D64" s="50" t="s">
        <x:v>411</x:v>
      </x:c>
      <x:c r="E64" s="50" t="s">
        <x:v>16</x:v>
      </x:c>
      <x:c r="F64" s="53" t="s">
        <x:v>414</x:v>
      </x:c>
      <x:c r="G64" s="51"/>
      <x:c r="H64" s="53"/>
      <x:c r="I64" s="51"/>
      <x:c r="J64" s="52" t="s">
        <x:v>487</x:v>
      </x:c>
    </x:row>
    <x:row r="65">
      <x:c r="A65" s="50" t="s">
        <x:v>299</x:v>
      </x:c>
      <x:c r="B65" s="50" t="s">
        <x:v>300</x:v>
      </x:c>
      <x:c r="C65" s="50">
        <x:v>5</x:v>
      </x:c>
      <x:c r="D65" s="50" t="s">
        <x:v>411</x:v>
      </x:c>
      <x:c r="E65" s="52" t="s">
        <x:v>23</x:v>
      </x:c>
      <x:c r="F65" s="51" t="s">
        <x:v>412</x:v>
      </x:c>
      <x:c r="H65" s="53"/>
      <x:c r="J65" s="57" t="s">
        <x:v>488</x:v>
      </x:c>
    </x:row>
    <x:row r="66">
      <x:c r="A66" s="50" t="s">
        <x:v>299</x:v>
      </x:c>
      <x:c r="B66" s="50" t="s">
        <x:v>300</x:v>
      </x:c>
      <x:c r="C66" s="50">
        <x:v>6</x:v>
      </x:c>
      <x:c r="D66" s="50" t="s">
        <x:v>411</x:v>
      </x:c>
      <x:c r="E66" s="50" t="s">
        <x:v>16</x:v>
      </x:c>
      <x:c r="F66" s="53" t="s">
        <x:v>414</x:v>
      </x:c>
      <x:c r="G66" s="51"/>
      <x:c r="H66" s="53"/>
      <x:c r="I66" s="51"/>
      <x:c r="J66" s="53" t="s">
        <x:v>489</x:v>
      </x:c>
    </x:row>
    <x:row r="67">
      <x:c r="A67" s="50" t="s">
        <x:v>299</x:v>
      </x:c>
      <x:c r="B67" s="50" t="s">
        <x:v>300</x:v>
      </x:c>
      <x:c r="C67" s="50">
        <x:v>7</x:v>
      </x:c>
      <x:c r="D67" s="50" t="s">
        <x:v>411</x:v>
      </x:c>
      <x:c r="E67" s="50" t="s">
        <x:v>29</x:v>
      </x:c>
      <x:c r="F67" s="51" t="s">
        <x:v>416</x:v>
      </x:c>
      <x:c r="G67" s="51"/>
      <x:c r="H67" s="53"/>
      <x:c r="J67" s="57" t="s">
        <x:v>490</x:v>
      </x:c>
    </x:row>
    <x:row r="68">
      <x:c r="A68" s="50" t="s">
        <x:v>299</x:v>
      </x:c>
      <x:c r="B68" s="50" t="s">
        <x:v>300</x:v>
      </x:c>
      <x:c r="C68" s="50">
        <x:v>8</x:v>
      </x:c>
      <x:c r="D68" s="50" t="s">
        <x:v>411</x:v>
      </x:c>
      <x:c r="E68" s="50" t="s">
        <x:v>29</x:v>
      </x:c>
      <x:c r="F68" s="51" t="s">
        <x:v>416</x:v>
      </x:c>
      <x:c r="G68" s="51"/>
      <x:c r="H68" s="53"/>
      <x:c r="J68" s="57" t="s">
        <x:v>491</x:v>
      </x:c>
    </x:row>
    <x:row r="69">
      <x:c r="A69" s="50" t="s">
        <x:v>299</x:v>
      </x:c>
      <x:c r="B69" s="50" t="s">
        <x:v>300</x:v>
      </x:c>
      <x:c r="C69" s="50">
        <x:v>9</x:v>
      </x:c>
      <x:c r="D69" s="50" t="s">
        <x:v>408</x:v>
      </x:c>
      <x:c r="E69" s="50"/>
      <x:c r="F69" s="51"/>
      <x:c r="G69" s="51"/>
      <x:c r="H69" s="53"/>
      <x:c r="I69" s="51"/>
      <x:c r="J69" s="53" t="s">
        <x:v>492</x:v>
      </x:c>
    </x:row>
    <x:row r="70">
      <x:c r="A70" s="50" t="s">
        <x:v>301</x:v>
      </x:c>
      <x:c r="B70" s="50" t="s">
        <x:v>302</x:v>
      </x:c>
      <x:c r="C70" s="50">
        <x:v>1</x:v>
      </x:c>
      <x:c r="D70" s="50" t="s">
        <x:v>411</x:v>
      </x:c>
      <x:c r="E70" s="61" t="s">
        <x:v>31</x:v>
      </x:c>
      <x:c r="F70" s="53" t="s">
        <x:v>412</x:v>
      </x:c>
      <x:c r="G70" s="57" t="s">
        <x:v>480</x:v>
      </x:c>
      <x:c r="H70" s="53"/>
      <x:c r="I70" s="51" t="s">
        <x:v>477</x:v>
      </x:c>
      <x:c r="J70" s="52" t="s">
        <x:v>493</x:v>
      </x:c>
    </x:row>
    <x:row r="71">
      <x:c r="A71" s="50" t="s">
        <x:v>301</x:v>
      </x:c>
      <x:c r="B71" s="50" t="s">
        <x:v>302</x:v>
      </x:c>
      <x:c r="C71" s="50">
        <x:v>2</x:v>
      </x:c>
      <x:c r="D71" s="50" t="s">
        <x:v>411</x:v>
      </x:c>
      <x:c r="E71" s="61" t="s">
        <x:v>29</x:v>
      </x:c>
      <x:c r="F71" s="53" t="s">
        <x:v>416</x:v>
      </x:c>
      <x:c r="G71" s="51"/>
      <x:c r="H71" s="53"/>
      <x:c r="I71" s="51"/>
      <x:c r="J71" s="52" t="s">
        <x:v>494</x:v>
      </x:c>
    </x:row>
    <x:row r="72">
      <x:c r="A72" s="50" t="s">
        <x:v>301</x:v>
      </x:c>
      <x:c r="B72" s="50" t="s">
        <x:v>302</x:v>
      </x:c>
      <x:c r="C72" s="50">
        <x:v>3</x:v>
      </x:c>
      <x:c r="D72" s="50" t="s">
        <x:v>411</x:v>
      </x:c>
      <x:c r="E72" s="50" t="s">
        <x:v>16</x:v>
      </x:c>
      <x:c r="F72" s="53" t="s">
        <x:v>414</x:v>
      </x:c>
      <x:c r="G72" s="51"/>
      <x:c r="H72" s="53"/>
      <x:c r="I72" s="51"/>
      <x:c r="J72" s="52" t="s">
        <x:v>495</x:v>
      </x:c>
    </x:row>
    <x:row r="73">
      <x:c r="A73" s="50" t="s">
        <x:v>301</x:v>
      </x:c>
      <x:c r="B73" s="50" t="s">
        <x:v>302</x:v>
      </x:c>
      <x:c r="C73" s="50">
        <x:v>4</x:v>
      </x:c>
      <x:c r="D73" s="50" t="s">
        <x:v>411</x:v>
      </x:c>
      <x:c r="E73" s="61" t="s">
        <x:v>29</x:v>
      </x:c>
      <x:c r="F73" s="53" t="s">
        <x:v>416</x:v>
      </x:c>
      <x:c r="G73" s="51"/>
      <x:c r="H73" s="53"/>
      <x:c r="I73" s="51"/>
      <x:c r="J73" s="52" t="s">
        <x:v>496</x:v>
      </x:c>
    </x:row>
    <x:row r="74">
      <x:c r="A74" s="50" t="s">
        <x:v>301</x:v>
      </x:c>
      <x:c r="B74" s="50" t="s">
        <x:v>302</x:v>
      </x:c>
      <x:c r="C74" s="50">
        <x:v>5</x:v>
      </x:c>
      <x:c r="D74" s="50" t="s">
        <x:v>411</x:v>
      </x:c>
      <x:c r="E74" s="50" t="s">
        <x:v>16</x:v>
      </x:c>
      <x:c r="F74" s="53" t="s">
        <x:v>414</x:v>
      </x:c>
      <x:c r="G74" s="51"/>
      <x:c r="H74" s="53"/>
      <x:c r="I74" s="51"/>
      <x:c r="J74" s="53" t="s">
        <x:v>497</x:v>
      </x:c>
    </x:row>
    <x:row r="75">
      <x:c r="A75" s="50" t="s">
        <x:v>304</x:v>
      </x:c>
      <x:c r="B75" s="50" t="s">
        <x:v>305</x:v>
      </x:c>
      <x:c r="C75" s="50">
        <x:v>1</x:v>
      </x:c>
      <x:c r="D75" s="50" t="s">
        <x:v>411</x:v>
      </x:c>
      <x:c r="E75" s="52" t="s">
        <x:v>35</x:v>
      </x:c>
      <x:c r="F75" s="51" t="s">
        <x:v>414</x:v>
      </x:c>
      <x:c r="G75" s="51"/>
      <x:c r="H75" s="53"/>
      <x:c r="I75" s="51" t="s">
        <x:v>452</x:v>
      </x:c>
      <x:c r="J75" s="52" t="s">
        <x:v>498</x:v>
      </x:c>
    </x:row>
    <x:row r="76">
      <x:c r="A76" s="50" t="s">
        <x:v>304</x:v>
      </x:c>
      <x:c r="B76" s="50" t="s">
        <x:v>305</x:v>
      </x:c>
      <x:c r="C76" s="50">
        <x:v>2</x:v>
      </x:c>
      <x:c r="D76" s="50" t="s">
        <x:v>411</x:v>
      </x:c>
      <x:c r="E76" s="52" t="s">
        <x:v>16</x:v>
      </x:c>
      <x:c r="F76" s="51" t="s">
        <x:v>412</x:v>
      </x:c>
      <x:c r="G76" s="51"/>
      <x:c r="H76" s="53"/>
      <x:c r="I76" s="51"/>
      <x:c r="J76" s="52" t="s">
        <x:v>499</x:v>
      </x:c>
    </x:row>
    <x:row r="77">
      <x:c r="A77" s="50" t="s">
        <x:v>304</x:v>
      </x:c>
      <x:c r="B77" s="50" t="s">
        <x:v>305</x:v>
      </x:c>
      <x:c r="C77" s="50">
        <x:v>3</x:v>
      </x:c>
      <x:c r="D77" s="50" t="s">
        <x:v>411</x:v>
      </x:c>
      <x:c r="E77" s="52" t="s">
        <x:v>35</x:v>
      </x:c>
      <x:c r="F77" s="51" t="s">
        <x:v>414</x:v>
      </x:c>
      <x:c r="G77" s="51"/>
      <x:c r="H77" s="53"/>
      <x:c r="I77" s="51"/>
      <x:c r="J77" s="52" t="s">
        <x:v>500</x:v>
      </x:c>
    </x:row>
    <x:row r="78">
      <x:c r="A78" s="50" t="s">
        <x:v>304</x:v>
      </x:c>
      <x:c r="B78" s="50" t="s">
        <x:v>305</x:v>
      </x:c>
      <x:c r="C78" s="50">
        <x:v>4</x:v>
      </x:c>
      <x:c r="D78" s="50" t="s">
        <x:v>411</x:v>
      </x:c>
      <x:c r="E78" s="52" t="s">
        <x:v>16</x:v>
      </x:c>
      <x:c r="F78" s="51" t="s">
        <x:v>412</x:v>
      </x:c>
      <x:c r="G78" s="51"/>
      <x:c r="H78" s="51"/>
      <x:c r="I78" s="51"/>
      <x:c r="J78" s="52" t="s">
        <x:v>501</x:v>
      </x:c>
    </x:row>
    <x:row r="79">
      <x:c r="A79" s="50" t="s">
        <x:v>304</x:v>
      </x:c>
      <x:c r="B79" s="50" t="s">
        <x:v>305</x:v>
      </x:c>
      <x:c r="C79" s="50">
        <x:v>5</x:v>
      </x:c>
      <x:c r="D79" s="50" t="s">
        <x:v>411</x:v>
      </x:c>
      <x:c r="E79" s="52" t="s">
        <x:v>35</x:v>
      </x:c>
      <x:c r="F79" s="51" t="s">
        <x:v>414</x:v>
      </x:c>
      <x:c r="G79" s="51"/>
      <x:c r="H79" s="51"/>
      <x:c r="I79" s="51"/>
      <x:c r="J79" s="52" t="s">
        <x:v>502</x:v>
      </x:c>
    </x:row>
    <x:row r="80">
      <x:c r="A80" s="32" t="s">
        <x:v>304</x:v>
      </x:c>
      <x:c r="B80" s="32" t="s">
        <x:v>305</x:v>
      </x:c>
      <x:c r="C80" s="32">
        <x:v>6</x:v>
      </x:c>
      <x:c r="D80" s="50" t="s">
        <x:v>411</x:v>
      </x:c>
      <x:c r="E80" s="52" t="s">
        <x:v>16</x:v>
      </x:c>
      <x:c r="F80" s="51" t="s">
        <x:v>412</x:v>
      </x:c>
      <x:c r="J80" s="57" t="s">
        <x:v>503</x:v>
      </x:c>
    </x:row>
    <x:row r="81">
      <x:c r="A81" s="50" t="s">
        <x:v>304</x:v>
      </x:c>
      <x:c r="B81" s="50" t="s">
        <x:v>305</x:v>
      </x:c>
      <x:c r="C81" s="50">
        <x:v>7</x:v>
      </x:c>
      <x:c r="D81" s="50" t="s">
        <x:v>411</x:v>
      </x:c>
      <x:c r="E81" s="52" t="s">
        <x:v>35</x:v>
      </x:c>
      <x:c r="F81" s="51" t="s">
        <x:v>414</x:v>
      </x:c>
      <x:c r="J81" s="57" t="s">
        <x:v>504</x:v>
      </x:c>
    </x:row>
    <x:row r="82">
      <x:c r="A82" s="50" t="s">
        <x:v>304</x:v>
      </x:c>
      <x:c r="B82" s="50" t="s">
        <x:v>305</x:v>
      </x:c>
      <x:c r="C82" s="50">
        <x:v>8</x:v>
      </x:c>
      <x:c r="D82" s="50" t="s">
        <x:v>411</x:v>
      </x:c>
      <x:c r="E82" s="52" t="s">
        <x:v>16</x:v>
      </x:c>
      <x:c r="F82" s="51" t="s">
        <x:v>412</x:v>
      </x:c>
      <x:c r="J82" s="57" t="s">
        <x:v>505</x:v>
      </x:c>
    </x:row>
    <x:row r="83">
      <x:c r="A83" s="50" t="s">
        <x:v>304</x:v>
      </x:c>
      <x:c r="B83" s="50" t="s">
        <x:v>305</x:v>
      </x:c>
      <x:c r="C83" s="50">
        <x:v>9</x:v>
      </x:c>
      <x:c r="D83" s="50" t="s">
        <x:v>411</x:v>
      </x:c>
      <x:c r="E83" s="52" t="s">
        <x:v>35</x:v>
      </x:c>
      <x:c r="F83" s="51" t="s">
        <x:v>414</x:v>
      </x:c>
      <x:c r="J83" s="32" t="s">
        <x:v>506</x:v>
      </x:c>
    </x:row>
    <x:row r="84">
      <x:c r="A84" s="50" t="s">
        <x:v>304</x:v>
      </x:c>
      <x:c r="B84" s="50" t="s">
        <x:v>305</x:v>
      </x:c>
      <x:c r="C84" s="50">
        <x:v>10</x:v>
      </x:c>
      <x:c r="D84" s="50" t="s">
        <x:v>411</x:v>
      </x:c>
      <x:c r="E84" s="52" t="s">
        <x:v>16</x:v>
      </x:c>
      <x:c r="F84" s="51" t="s">
        <x:v>412</x:v>
      </x:c>
      <x:c r="J84" s="32" t="s">
        <x:v>507</x:v>
      </x:c>
    </x:row>
    <x:row r="85">
      <x:c r="A85" s="50" t="s">
        <x:v>304</x:v>
      </x:c>
      <x:c r="B85" s="50" t="s">
        <x:v>305</x:v>
      </x:c>
      <x:c r="C85" s="50">
        <x:v>11</x:v>
      </x:c>
      <x:c r="D85" s="50" t="s">
        <x:v>411</x:v>
      </x:c>
      <x:c r="E85" s="52" t="s">
        <x:v>35</x:v>
      </x:c>
      <x:c r="F85" s="51" t="s">
        <x:v>414</x:v>
      </x:c>
      <x:c r="J85" s="57" t="s">
        <x:v>508</x:v>
      </x:c>
    </x:row>
    <x:row r="86">
      <x:c r="A86" s="32" t="s">
        <x:v>304</x:v>
      </x:c>
      <x:c r="B86" s="32" t="s">
        <x:v>305</x:v>
      </x:c>
      <x:c r="C86" s="32">
        <x:v>12</x:v>
      </x:c>
      <x:c r="D86" s="50" t="s">
        <x:v>411</x:v>
      </x:c>
      <x:c r="E86" s="52" t="s">
        <x:v>16</x:v>
      </x:c>
      <x:c r="F86" s="51" t="s">
        <x:v>412</x:v>
      </x:c>
      <x:c r="J86" s="57" t="s">
        <x:v>509</x:v>
      </x:c>
    </x:row>
    <x:row r="87">
      <x:c r="A87" s="32" t="s">
        <x:v>304</x:v>
      </x:c>
      <x:c r="B87" s="32" t="s">
        <x:v>305</x:v>
      </x:c>
      <x:c r="C87" s="32">
        <x:v>13</x:v>
      </x:c>
      <x:c r="D87" s="50" t="s">
        <x:v>411</x:v>
      </x:c>
      <x:c r="E87" s="57" t="s">
        <x:v>23</x:v>
      </x:c>
      <x:c r="F87" s="53" t="s">
        <x:v>416</x:v>
      </x:c>
      <x:c r="J87" s="57" t="s">
        <x:v>510</x:v>
      </x:c>
    </x:row>
    <x:row r="88">
      <x:c r="A88" s="32" t="s">
        <x:v>304</x:v>
      </x:c>
      <x:c r="B88" s="32" t="s">
        <x:v>305</x:v>
      </x:c>
      <x:c r="C88" s="32">
        <x:v>14</x:v>
      </x:c>
      <x:c r="D88" s="50" t="s">
        <x:v>411</x:v>
      </x:c>
      <x:c r="E88" s="52" t="s">
        <x:v>35</x:v>
      </x:c>
      <x:c r="F88" s="51" t="s">
        <x:v>414</x:v>
      </x:c>
      <x:c r="J88" s="57" t="s">
        <x:v>511</x:v>
      </x:c>
    </x:row>
    <x:row r="89" ht="36">
      <x:c r="A89" s="50" t="s">
        <x:v>307</x:v>
      </x:c>
      <x:c r="B89" s="50" t="s">
        <x:v>308</x:v>
      </x:c>
      <x:c r="C89" s="50">
        <x:v>1</x:v>
      </x:c>
      <x:c r="D89" s="50" t="s">
        <x:v>411</x:v>
      </x:c>
      <x:c r="E89" s="52" t="s">
        <x:v>14</x:v>
      </x:c>
      <x:c r="F89" s="51" t="s">
        <x:v>414</x:v>
      </x:c>
      <x:c r="G89" s="51"/>
      <x:c r="H89" s="53"/>
      <x:c r="I89" s="51" t="s">
        <x:v>452</x:v>
      </x:c>
      <x:c r="J89" s="52" t="s">
        <x:v>512</x:v>
      </x:c>
    </x:row>
    <x:row r="90" ht="36">
      <x:c r="A90" s="50" t="s">
        <x:v>307</x:v>
      </x:c>
      <x:c r="B90" s="50" t="s">
        <x:v>308</x:v>
      </x:c>
      <x:c r="C90" s="50">
        <x:v>2</x:v>
      </x:c>
      <x:c r="D90" s="50" t="s">
        <x:v>411</x:v>
      </x:c>
      <x:c r="E90" s="52" t="s">
        <x:v>16</x:v>
      </x:c>
      <x:c r="F90" s="53" t="s">
        <x:v>416</x:v>
      </x:c>
      <x:c r="G90" s="51"/>
      <x:c r="H90" s="53"/>
      <x:c r="I90" s="51"/>
      <x:c r="J90" s="52" t="s">
        <x:v>513</x:v>
      </x:c>
    </x:row>
    <x:row r="91" ht="36">
      <x:c r="A91" s="50" t="s">
        <x:v>307</x:v>
      </x:c>
      <x:c r="B91" s="50" t="s">
        <x:v>308</x:v>
      </x:c>
      <x:c r="C91" s="50">
        <x:v>3</x:v>
      </x:c>
      <x:c r="D91" s="50" t="s">
        <x:v>411</x:v>
      </x:c>
      <x:c r="E91" s="52" t="s">
        <x:v>14</x:v>
      </x:c>
      <x:c r="F91" s="51" t="s">
        <x:v>414</x:v>
      </x:c>
      <x:c r="G91" s="51"/>
      <x:c r="H91" s="53"/>
      <x:c r="I91" s="51"/>
      <x:c r="J91" s="52" t="s">
        <x:v>514</x:v>
      </x:c>
    </x:row>
    <x:row r="92" ht="36">
      <x:c r="A92" s="50" t="s">
        <x:v>307</x:v>
      </x:c>
      <x:c r="B92" s="50" t="s">
        <x:v>308</x:v>
      </x:c>
      <x:c r="C92" s="50">
        <x:v>4</x:v>
      </x:c>
      <x:c r="D92" s="50" t="s">
        <x:v>411</x:v>
      </x:c>
      <x:c r="E92" s="52" t="s">
        <x:v>16</x:v>
      </x:c>
      <x:c r="F92" s="53" t="s">
        <x:v>416</x:v>
      </x:c>
      <x:c r="G92" s="51"/>
      <x:c r="H92" s="53"/>
      <x:c r="I92" s="51"/>
      <x:c r="J92" s="52" t="s">
        <x:v>515</x:v>
      </x:c>
    </x:row>
    <x:row r="93">
      <x:c r="A93" s="50" t="s">
        <x:v>311</x:v>
      </x:c>
      <x:c r="B93" s="50" t="s">
        <x:v>312</x:v>
      </x:c>
      <x:c r="C93" s="50">
        <x:v>1</x:v>
      </x:c>
      <x:c r="D93" s="50" t="s">
        <x:v>411</x:v>
      </x:c>
      <x:c r="E93" s="52" t="s">
        <x:v>16</x:v>
      </x:c>
      <x:c r="F93" s="53" t="s">
        <x:v>416</x:v>
      </x:c>
      <x:c r="G93" s="51"/>
      <x:c r="H93" s="53"/>
      <x:c r="I93" s="51" t="s">
        <x:v>452</x:v>
      </x:c>
      <x:c r="J93" s="52" t="s">
        <x:v>516</x:v>
      </x:c>
    </x:row>
    <x:row r="94">
      <x:c r="A94" s="50" t="s">
        <x:v>311</x:v>
      </x:c>
      <x:c r="B94" s="50" t="s">
        <x:v>312</x:v>
      </x:c>
      <x:c r="C94" s="50">
        <x:v>2</x:v>
      </x:c>
      <x:c r="D94" s="50" t="s">
        <x:v>411</x:v>
      </x:c>
      <x:c r="E94" s="52" t="s">
        <x:v>14</x:v>
      </x:c>
      <x:c r="F94" s="51" t="s">
        <x:v>414</x:v>
      </x:c>
      <x:c r="G94" s="51"/>
      <x:c r="H94" s="53"/>
      <x:c r="I94" s="51"/>
      <x:c r="J94" s="52" t="s">
        <x:v>517</x:v>
      </x:c>
    </x:row>
    <x:row r="95">
      <x:c r="A95" s="50" t="s">
        <x:v>311</x:v>
      </x:c>
      <x:c r="B95" s="50" t="s">
        <x:v>312</x:v>
      </x:c>
      <x:c r="C95" s="50">
        <x:v>3</x:v>
      </x:c>
      <x:c r="D95" s="50" t="s">
        <x:v>411</x:v>
      </x:c>
      <x:c r="E95" s="52" t="s">
        <x:v>14</x:v>
      </x:c>
      <x:c r="F95" s="51" t="s">
        <x:v>414</x:v>
      </x:c>
      <x:c r="G95" s="51"/>
      <x:c r="H95" s="53"/>
      <x:c r="I95" s="51"/>
      <x:c r="J95" s="52" t="s">
        <x:v>518</x:v>
      </x:c>
    </x:row>
    <x:row r="96">
      <x:c r="A96" s="50" t="s">
        <x:v>311</x:v>
      </x:c>
      <x:c r="B96" s="50" t="s">
        <x:v>312</x:v>
      </x:c>
      <x:c r="C96" s="50">
        <x:v>4</x:v>
      </x:c>
      <x:c r="D96" s="50" t="s">
        <x:v>411</x:v>
      </x:c>
      <x:c r="E96" s="52" t="s">
        <x:v>16</x:v>
      </x:c>
      <x:c r="F96" s="53" t="s">
        <x:v>416</x:v>
      </x:c>
      <x:c r="G96" s="51"/>
      <x:c r="H96" s="51"/>
      <x:c r="I96" s="51"/>
      <x:c r="J96" s="52" t="s">
        <x:v>519</x:v>
      </x:c>
    </x:row>
    <x:row r="97" ht="18.75" customHeight="1">
      <x:c r="A97" s="50" t="s">
        <x:v>311</x:v>
      </x:c>
      <x:c r="B97" s="50" t="s">
        <x:v>312</x:v>
      </x:c>
      <x:c r="C97" s="50">
        <x:v>5</x:v>
      </x:c>
      <x:c r="D97" s="50" t="s">
        <x:v>411</x:v>
      </x:c>
      <x:c r="E97" s="52" t="s">
        <x:v>14</x:v>
      </x:c>
      <x:c r="F97" s="51" t="s">
        <x:v>414</x:v>
      </x:c>
      <x:c r="G97" s="51"/>
      <x:c r="H97" s="51"/>
      <x:c r="I97" s="51"/>
      <x:c r="J97" s="52" t="s">
        <x:v>520</x:v>
      </x:c>
    </x:row>
    <x:row r="98">
      <x:c r="A98" s="50" t="s">
        <x:v>311</x:v>
      </x:c>
      <x:c r="B98" s="50" t="s">
        <x:v>312</x:v>
      </x:c>
      <x:c r="C98" s="50">
        <x:v>6</x:v>
      </x:c>
      <x:c r="D98" s="50" t="s">
        <x:v>411</x:v>
      </x:c>
      <x:c r="E98" s="52" t="s">
        <x:v>14</x:v>
      </x:c>
      <x:c r="F98" s="51" t="s">
        <x:v>414</x:v>
      </x:c>
      <x:c r="J98" s="65" t="s">
        <x:v>521</x:v>
      </x:c>
    </x:row>
    <x:row r="99">
      <x:c r="A99" s="50" t="s">
        <x:v>311</x:v>
      </x:c>
      <x:c r="B99" s="50" t="s">
        <x:v>312</x:v>
      </x:c>
      <x:c r="C99" s="50">
        <x:v>7</x:v>
      </x:c>
      <x:c r="D99" s="50" t="s">
        <x:v>411</x:v>
      </x:c>
      <x:c r="E99" s="52" t="s">
        <x:v>16</x:v>
      </x:c>
      <x:c r="F99" s="53" t="s">
        <x:v>416</x:v>
      </x:c>
      <x:c r="J99" s="57" t="s">
        <x:v>522</x:v>
      </x:c>
    </x:row>
    <x:row r="100">
      <x:c r="A100" s="50" t="s">
        <x:v>311</x:v>
      </x:c>
      <x:c r="B100" s="50" t="s">
        <x:v>312</x:v>
      </x:c>
      <x:c r="C100" s="50">
        <x:v>8</x:v>
      </x:c>
      <x:c r="D100" s="50" t="s">
        <x:v>411</x:v>
      </x:c>
      <x:c r="E100" s="52" t="s">
        <x:v>14</x:v>
      </x:c>
      <x:c r="F100" s="51" t="s">
        <x:v>414</x:v>
      </x:c>
      <x:c r="J100" s="57" t="s">
        <x:v>523</x:v>
      </x:c>
    </x:row>
    <x:row r="101">
      <x:c r="A101" s="50" t="s">
        <x:v>311</x:v>
      </x:c>
      <x:c r="B101" s="50" t="s">
        <x:v>312</x:v>
      </x:c>
      <x:c r="C101" s="50">
        <x:v>9</x:v>
      </x:c>
      <x:c r="D101" s="50" t="s">
        <x:v>411</x:v>
      </x:c>
      <x:c r="E101" s="52" t="s">
        <x:v>16</x:v>
      </x:c>
      <x:c r="F101" s="53" t="s">
        <x:v>416</x:v>
      </x:c>
      <x:c r="J101" s="57" t="s">
        <x:v>524</x:v>
      </x:c>
    </x:row>
    <x:row r="102">
      <x:c r="A102" s="50" t="s">
        <x:v>311</x:v>
      </x:c>
      <x:c r="B102" s="50" t="s">
        <x:v>312</x:v>
      </x:c>
      <x:c r="C102" s="50">
        <x:v>10</x:v>
      </x:c>
      <x:c r="D102" s="50" t="s">
        <x:v>411</x:v>
      </x:c>
      <x:c r="E102" s="52" t="s">
        <x:v>14</x:v>
      </x:c>
      <x:c r="F102" s="51" t="s">
        <x:v>414</x:v>
      </x:c>
      <x:c r="J102" s="57" t="s">
        <x:v>525</x:v>
      </x:c>
    </x:row>
    <x:row r="103">
      <x:c r="A103" s="50" t="s">
        <x:v>313</x:v>
      </x:c>
      <x:c r="B103" s="50" t="s">
        <x:v>314</x:v>
      </x:c>
      <x:c r="C103" s="50">
        <x:v>1</x:v>
      </x:c>
      <x:c r="D103" s="50" t="s">
        <x:v>411</x:v>
      </x:c>
      <x:c r="E103" s="50" t="s">
        <x:v>16</x:v>
      </x:c>
      <x:c r="F103" s="53" t="s">
        <x:v>416</x:v>
      </x:c>
      <x:c r="G103" s="51"/>
      <x:c r="H103" s="53"/>
      <x:c r="I103" s="51" t="s">
        <x:v>452</x:v>
      </x:c>
      <x:c r="J103" s="50" t="s">
        <x:v>451</x:v>
      </x:c>
    </x:row>
    <x:row r="104">
      <x:c r="A104" s="50" t="s">
        <x:v>315</x:v>
      </x:c>
      <x:c r="B104" s="50" t="s">
        <x:v>316</x:v>
      </x:c>
      <x:c r="C104" s="50">
        <x:v>1</x:v>
      </x:c>
      <x:c r="D104" s="50" t="s">
        <x:v>411</x:v>
      </x:c>
      <x:c r="E104" s="50" t="s">
        <x:v>37</x:v>
      </x:c>
      <x:c r="F104" s="51" t="s">
        <x:v>414</x:v>
      </x:c>
      <x:c r="G104" s="51"/>
      <x:c r="H104" s="53"/>
      <x:c r="I104" s="51" t="s">
        <x:v>452</x:v>
      </x:c>
      <x:c r="J104" s="50" t="s">
        <x:v>526</x:v>
      </x:c>
    </x:row>
    <x:row r="105">
      <x:c r="A105" s="50" t="s">
        <x:v>315</x:v>
      </x:c>
      <x:c r="B105" s="50" t="s">
        <x:v>316</x:v>
      </x:c>
      <x:c r="C105" s="50">
        <x:v>2</x:v>
      </x:c>
      <x:c r="D105" s="50" t="s">
        <x:v>411</x:v>
      </x:c>
      <x:c r="E105" s="55" t="s">
        <x:v>16</x:v>
      </x:c>
      <x:c r="F105" s="51" t="s">
        <x:v>412</x:v>
      </x:c>
      <x:c r="G105" s="51"/>
      <x:c r="H105" s="53"/>
      <x:c r="I105" s="51"/>
      <x:c r="J105" s="50" t="s">
        <x:v>527</x:v>
      </x:c>
    </x:row>
    <x:row r="106">
      <x:c r="A106" s="50" t="s">
        <x:v>315</x:v>
      </x:c>
      <x:c r="B106" s="50" t="s">
        <x:v>316</x:v>
      </x:c>
      <x:c r="C106" s="50">
        <x:v>3</x:v>
      </x:c>
      <x:c r="D106" s="50" t="s">
        <x:v>411</x:v>
      </x:c>
      <x:c r="E106" s="50" t="s">
        <x:v>37</x:v>
      </x:c>
      <x:c r="F106" s="51" t="s">
        <x:v>414</x:v>
      </x:c>
      <x:c r="G106" s="51"/>
      <x:c r="H106" s="53"/>
      <x:c r="I106" s="51"/>
      <x:c r="J106" s="52" t="s">
        <x:v>528</x:v>
      </x:c>
    </x:row>
    <x:row r="107">
      <x:c r="A107" s="50" t="s">
        <x:v>315</x:v>
      </x:c>
      <x:c r="B107" s="50" t="s">
        <x:v>316</x:v>
      </x:c>
      <x:c r="C107" s="50">
        <x:v>4</x:v>
      </x:c>
      <x:c r="D107" s="50" t="s">
        <x:v>411</x:v>
      </x:c>
      <x:c r="E107" s="52" t="s">
        <x:v>35</x:v>
      </x:c>
      <x:c r="F107" s="51" t="s">
        <x:v>416</x:v>
      </x:c>
      <x:c r="G107" s="53" t="s">
        <x:v>480</x:v>
      </x:c>
      <x:c r="H107" s="51"/>
      <x:c r="I107" s="51"/>
      <x:c r="J107" s="52" t="s">
        <x:v>529</x:v>
      </x:c>
    </x:row>
    <x:row r="108">
      <x:c r="A108" s="50" t="s">
        <x:v>315</x:v>
      </x:c>
      <x:c r="B108" s="50" t="s">
        <x:v>316</x:v>
      </x:c>
      <x:c r="C108" s="50">
        <x:v>5</x:v>
      </x:c>
      <x:c r="D108" s="50" t="s">
        <x:v>411</x:v>
      </x:c>
      <x:c r="E108" s="55" t="s">
        <x:v>16</x:v>
      </x:c>
      <x:c r="F108" s="51" t="s">
        <x:v>412</x:v>
      </x:c>
      <x:c r="G108" s="51"/>
      <x:c r="H108" s="51"/>
      <x:c r="I108" s="51"/>
      <x:c r="J108" s="52" t="s">
        <x:v>530</x:v>
      </x:c>
    </x:row>
    <x:row r="109">
      <x:c r="A109" s="50" t="s">
        <x:v>315</x:v>
      </x:c>
      <x:c r="B109" s="50" t="s">
        <x:v>316</x:v>
      </x:c>
      <x:c r="C109" s="50">
        <x:v>6</x:v>
      </x:c>
      <x:c r="D109" s="50" t="s">
        <x:v>411</x:v>
      </x:c>
      <x:c r="E109" s="52" t="s">
        <x:v>35</x:v>
      </x:c>
      <x:c r="F109" s="51" t="s">
        <x:v>416</x:v>
      </x:c>
      <x:c r="G109" s="53" t="s">
        <x:v>480</x:v>
      </x:c>
      <x:c r="J109" s="52" t="s">
        <x:v>531</x:v>
      </x:c>
    </x:row>
    <x:row r="110">
      <x:c r="A110" s="50" t="s">
        <x:v>319</x:v>
      </x:c>
      <x:c r="B110" s="50" t="s">
        <x:v>320</x:v>
      </x:c>
      <x:c r="C110" s="50">
        <x:v>1</x:v>
      </x:c>
      <x:c r="D110" s="50" t="s">
        <x:v>411</x:v>
      </x:c>
      <x:c r="E110" s="52" t="s">
        <x:v>35</x:v>
      </x:c>
      <x:c r="F110" s="53" t="s">
        <x:v>416</x:v>
      </x:c>
      <x:c r="G110" s="51"/>
      <x:c r="H110" s="53"/>
      <x:c r="I110" s="51" t="s">
        <x:v>452</x:v>
      </x:c>
      <x:c r="J110" s="52" t="s">
        <x:v>532</x:v>
      </x:c>
    </x:row>
    <x:row r="111" ht="30" customHeight="1">
      <x:c r="A111" s="50" t="s">
        <x:v>319</x:v>
      </x:c>
      <x:c r="B111" s="50" t="s">
        <x:v>320</x:v>
      </x:c>
      <x:c r="C111" s="50">
        <x:v>2</x:v>
      </x:c>
      <x:c r="D111" s="50" t="s">
        <x:v>411</x:v>
      </x:c>
      <x:c r="E111" s="52" t="s">
        <x:v>16</x:v>
      </x:c>
      <x:c r="F111" s="51" t="s">
        <x:v>412</x:v>
      </x:c>
      <x:c r="G111" s="51"/>
      <x:c r="H111" s="53"/>
      <x:c r="I111" s="51"/>
      <x:c r="J111" s="52" t="s">
        <x:v>533</x:v>
      </x:c>
    </x:row>
    <x:row r="112">
      <x:c r="A112" s="50" t="s">
        <x:v>319</x:v>
      </x:c>
      <x:c r="B112" s="50" t="s">
        <x:v>320</x:v>
      </x:c>
      <x:c r="C112" s="50">
        <x:v>3</x:v>
      </x:c>
      <x:c r="D112" s="50" t="s">
        <x:v>411</x:v>
      </x:c>
      <x:c r="E112" s="52" t="s">
        <x:v>37</x:v>
      </x:c>
      <x:c r="F112" s="51" t="s">
        <x:v>414</x:v>
      </x:c>
      <x:c r="G112" s="51"/>
      <x:c r="H112" s="53" t="s">
        <x:v>534</x:v>
      </x:c>
      <x:c r="I112" s="51"/>
      <x:c r="J112" s="52" t="s">
        <x:v>535</x:v>
      </x:c>
    </x:row>
    <x:row r="113">
      <x:c r="A113" s="50" t="s">
        <x:v>319</x:v>
      </x:c>
      <x:c r="B113" s="50" t="s">
        <x:v>320</x:v>
      </x:c>
      <x:c r="C113" s="50">
        <x:v>4</x:v>
      </x:c>
      <x:c r="D113" s="50" t="s">
        <x:v>411</x:v>
      </x:c>
      <x:c r="E113" s="52" t="s">
        <x:v>23</x:v>
      </x:c>
      <x:c r="F113" s="53" t="s">
        <x:v>416</x:v>
      </x:c>
      <x:c r="G113" s="51"/>
      <x:c r="H113" s="51"/>
      <x:c r="I113" s="51"/>
      <x:c r="J113" s="52" t="s">
        <x:v>536</x:v>
      </x:c>
    </x:row>
    <x:row r="114">
      <x:c r="A114" s="50" t="s">
        <x:v>319</x:v>
      </x:c>
      <x:c r="B114" s="50" t="s">
        <x:v>320</x:v>
      </x:c>
      <x:c r="C114" s="50">
        <x:v>5</x:v>
      </x:c>
      <x:c r="D114" s="50" t="s">
        <x:v>411</x:v>
      </x:c>
      <x:c r="E114" s="52" t="s">
        <x:v>16</x:v>
      </x:c>
      <x:c r="F114" s="51" t="s">
        <x:v>412</x:v>
      </x:c>
      <x:c r="G114" s="51"/>
      <x:c r="H114" s="53"/>
      <x:c r="I114" s="51"/>
      <x:c r="J114" s="52" t="s">
        <x:v>537</x:v>
      </x:c>
    </x:row>
    <x:row r="115">
      <x:c r="A115" s="50" t="s">
        <x:v>321</x:v>
      </x:c>
      <x:c r="B115" s="50" t="s">
        <x:v>322</x:v>
      </x:c>
      <x:c r="C115" s="50">
        <x:v>1</x:v>
      </x:c>
      <x:c r="D115" s="50" t="s">
        <x:v>411</x:v>
      </x:c>
      <x:c r="E115" s="52" t="s">
        <x:v>16</x:v>
      </x:c>
      <x:c r="F115" s="51" t="s">
        <x:v>412</x:v>
      </x:c>
      <x:c r="G115" s="51"/>
      <x:c r="H115" s="53"/>
      <x:c r="I115" s="51" t="s">
        <x:v>452</x:v>
      </x:c>
      <x:c r="J115" s="52" t="s">
        <x:v>451</x:v>
      </x:c>
    </x:row>
    <x:row r="116">
      <x:c r="A116" s="50" t="s">
        <x:v>323</x:v>
      </x:c>
      <x:c r="B116" s="50" t="s">
        <x:v>324</x:v>
      </x:c>
      <x:c r="C116" s="50">
        <x:v>1</x:v>
      </x:c>
      <x:c r="D116" s="50" t="s">
        <x:v>411</x:v>
      </x:c>
      <x:c r="E116" s="50" t="s">
        <x:v>41</x:v>
      </x:c>
      <x:c r="F116" s="51" t="s">
        <x:v>414</x:v>
      </x:c>
      <x:c r="G116" s="51"/>
      <x:c r="H116" s="53"/>
      <x:c r="I116" s="51" t="s">
        <x:v>452</x:v>
      </x:c>
      <x:c r="J116" s="50" t="s">
        <x:v>538</x:v>
      </x:c>
    </x:row>
    <x:row r="117">
      <x:c r="A117" s="50" t="s">
        <x:v>323</x:v>
      </x:c>
      <x:c r="B117" s="50" t="s">
        <x:v>324</x:v>
      </x:c>
      <x:c r="C117" s="50">
        <x:v>2</x:v>
      </x:c>
      <x:c r="D117" s="50" t="s">
        <x:v>411</x:v>
      </x:c>
      <x:c r="E117" s="50" t="s">
        <x:v>16</x:v>
      </x:c>
      <x:c r="F117" s="51" t="s">
        <x:v>412</x:v>
      </x:c>
      <x:c r="G117" s="51"/>
      <x:c r="H117" s="53"/>
      <x:c r="I117" s="51"/>
      <x:c r="J117" s="50" t="s">
        <x:v>539</x:v>
      </x:c>
    </x:row>
    <x:row r="118">
      <x:c r="A118" s="50" t="s">
        <x:v>323</x:v>
      </x:c>
      <x:c r="B118" s="50" t="s">
        <x:v>324</x:v>
      </x:c>
      <x:c r="C118" s="50">
        <x:v>3</x:v>
      </x:c>
      <x:c r="D118" s="50" t="s">
        <x:v>411</x:v>
      </x:c>
      <x:c r="E118" s="50" t="s">
        <x:v>39</x:v>
      </x:c>
      <x:c r="F118" s="53" t="s">
        <x:v>416</x:v>
      </x:c>
      <x:c r="G118" s="51"/>
      <x:c r="H118" s="53"/>
      <x:c r="I118" s="51" t="s">
        <x:v>540</x:v>
      </x:c>
      <x:c r="J118" s="50" t="s">
        <x:v>541</x:v>
      </x:c>
    </x:row>
    <x:row r="119">
      <x:c r="A119" s="50" t="s">
        <x:v>323</x:v>
      </x:c>
      <x:c r="B119" s="50" t="s">
        <x:v>324</x:v>
      </x:c>
      <x:c r="C119" s="50">
        <x:v>4</x:v>
      </x:c>
      <x:c r="D119" s="50" t="s">
        <x:v>411</x:v>
      </x:c>
      <x:c r="E119" s="50" t="s">
        <x:v>39</x:v>
      </x:c>
      <x:c r="F119" s="53" t="s">
        <x:v>416</x:v>
      </x:c>
      <x:c r="G119" s="51"/>
      <x:c r="H119" s="51"/>
      <x:c r="I119" s="51"/>
      <x:c r="J119" s="50" t="s">
        <x:v>542</x:v>
      </x:c>
    </x:row>
    <x:row r="120">
      <x:c r="A120" s="50" t="s">
        <x:v>323</x:v>
      </x:c>
      <x:c r="B120" s="50" t="s">
        <x:v>324</x:v>
      </x:c>
      <x:c r="C120" s="50">
        <x:v>5</x:v>
      </x:c>
      <x:c r="D120" s="50" t="s">
        <x:v>411</x:v>
      </x:c>
      <x:c r="E120" s="50" t="s">
        <x:v>39</x:v>
      </x:c>
      <x:c r="F120" s="53" t="s">
        <x:v>416</x:v>
      </x:c>
      <x:c r="G120" s="51"/>
      <x:c r="H120" s="51"/>
      <x:c r="I120" s="51"/>
      <x:c r="J120" s="50" t="s">
        <x:v>543</x:v>
      </x:c>
    </x:row>
    <x:row r="121">
      <x:c r="A121" s="50" t="s">
        <x:v>323</x:v>
      </x:c>
      <x:c r="B121" s="50" t="s">
        <x:v>324</x:v>
      </x:c>
      <x:c r="C121" s="50">
        <x:v>6</x:v>
      </x:c>
      <x:c r="D121" s="50" t="s">
        <x:v>411</x:v>
      </x:c>
      <x:c r="E121" s="50" t="s">
        <x:v>39</x:v>
      </x:c>
      <x:c r="F121" s="53" t="s">
        <x:v>416</x:v>
      </x:c>
      <x:c r="H121" s="53"/>
      <x:c r="J121" s="32" t="s">
        <x:v>544</x:v>
      </x:c>
    </x:row>
    <x:row r="122">
      <x:c r="A122" s="50" t="s">
        <x:v>323</x:v>
      </x:c>
      <x:c r="B122" s="50" t="s">
        <x:v>324</x:v>
      </x:c>
      <x:c r="C122" s="50">
        <x:v>7</x:v>
      </x:c>
      <x:c r="D122" s="50" t="s">
        <x:v>411</x:v>
      </x:c>
      <x:c r="E122" s="32" t="s">
        <x:v>43</x:v>
      </x:c>
      <x:c r="F122" s="51" t="s">
        <x:v>416</x:v>
      </x:c>
      <x:c r="I122" s="51" t="s">
        <x:v>545</x:v>
      </x:c>
      <x:c r="J122" s="10" t="s">
        <x:v>546</x:v>
      </x:c>
    </x:row>
    <x:row r="123">
      <x:c r="A123" s="50" t="s">
        <x:v>323</x:v>
      </x:c>
      <x:c r="B123" s="50" t="s">
        <x:v>324</x:v>
      </x:c>
      <x:c r="C123" s="50">
        <x:v>8</x:v>
      </x:c>
      <x:c r="D123" s="50" t="s">
        <x:v>411</x:v>
      </x:c>
      <x:c r="E123" s="32" t="s">
        <x:v>43</x:v>
      </x:c>
      <x:c r="F123" s="51" t="s">
        <x:v>416</x:v>
      </x:c>
      <x:c r="H123" s="53"/>
      <x:c r="J123" s="57" t="s">
        <x:v>547</x:v>
      </x:c>
    </x:row>
    <x:row r="124">
      <x:c r="A124" s="50" t="s">
        <x:v>323</x:v>
      </x:c>
      <x:c r="B124" s="50" t="s">
        <x:v>324</x:v>
      </x:c>
      <x:c r="C124" s="50">
        <x:v>9</x:v>
      </x:c>
      <x:c r="D124" s="50" t="s">
        <x:v>411</x:v>
      </x:c>
      <x:c r="E124" s="32" t="s">
        <x:v>16</x:v>
      </x:c>
      <x:c r="F124" s="51" t="s">
        <x:v>414</x:v>
      </x:c>
      <x:c r="H124" s="53"/>
      <x:c r="J124" s="32" t="s">
        <x:v>548</x:v>
      </x:c>
    </x:row>
    <x:row r="125">
      <x:c r="A125" s="50" t="s">
        <x:v>323</x:v>
      </x:c>
      <x:c r="B125" s="50" t="s">
        <x:v>324</x:v>
      </x:c>
      <x:c r="C125" s="50">
        <x:v>10</x:v>
      </x:c>
      <x:c r="D125" s="50" t="s">
        <x:v>411</x:v>
      </x:c>
      <x:c r="E125" s="32" t="s">
        <x:v>18</x:v>
      </x:c>
      <x:c r="F125" s="51" t="s">
        <x:v>416</x:v>
      </x:c>
      <x:c r="I125" s="51" t="s">
        <x:v>452</x:v>
      </x:c>
      <x:c r="J125" s="10" t="s">
        <x:v>549</x:v>
      </x:c>
    </x:row>
    <x:row r="126">
      <x:c r="A126" s="50" t="s">
        <x:v>323</x:v>
      </x:c>
      <x:c r="B126" s="50" t="s">
        <x:v>324</x:v>
      </x:c>
      <x:c r="C126" s="50">
        <x:v>11</x:v>
      </x:c>
      <x:c r="D126" s="50" t="s">
        <x:v>411</x:v>
      </x:c>
      <x:c r="E126" s="32" t="s">
        <x:v>16</x:v>
      </x:c>
      <x:c r="F126" s="51" t="s">
        <x:v>414</x:v>
      </x:c>
      <x:c r="J126" s="32" t="s">
        <x:v>550</x:v>
      </x:c>
    </x:row>
    <x:row r="127">
      <x:c r="A127" s="50" t="s">
        <x:v>323</x:v>
      </x:c>
      <x:c r="B127" s="50" t="s">
        <x:v>324</x:v>
      </x:c>
      <x:c r="C127" s="50">
        <x:v>12</x:v>
      </x:c>
      <x:c r="D127" s="50" t="s">
        <x:v>411</x:v>
      </x:c>
      <x:c r="E127" s="32" t="s">
        <x:v>20</x:v>
      </x:c>
      <x:c r="F127" s="51" t="s">
        <x:v>412</x:v>
      </x:c>
      <x:c r="J127" s="10" t="s">
        <x:v>551</x:v>
      </x:c>
    </x:row>
    <x:row r="128">
      <x:c r="A128" s="50" t="s">
        <x:v>323</x:v>
      </x:c>
      <x:c r="B128" s="50" t="s">
        <x:v>324</x:v>
      </x:c>
      <x:c r="C128" s="50">
        <x:v>13</x:v>
      </x:c>
      <x:c r="D128" s="50" t="s">
        <x:v>411</x:v>
      </x:c>
      <x:c r="E128" s="32" t="s">
        <x:v>16</x:v>
      </x:c>
      <x:c r="F128" s="51" t="s">
        <x:v>414</x:v>
      </x:c>
      <x:c r="J128" s="32" t="s">
        <x:v>552</x:v>
      </x:c>
    </x:row>
    <x:row r="129">
      <x:c r="A129" s="50" t="s">
        <x:v>323</x:v>
      </x:c>
      <x:c r="B129" s="50" t="s">
        <x:v>324</x:v>
      </x:c>
      <x:c r="C129" s="50">
        <x:v>14</x:v>
      </x:c>
      <x:c r="D129" s="50" t="s">
        <x:v>411</x:v>
      </x:c>
      <x:c r="E129" s="32" t="s">
        <x:v>23</x:v>
      </x:c>
      <x:c r="F129" s="51" t="s">
        <x:v>416</x:v>
      </x:c>
      <x:c r="J129" s="32" t="s">
        <x:v>553</x:v>
      </x:c>
    </x:row>
    <x:row r="130">
      <x:c r="A130" s="50" t="s">
        <x:v>325</x:v>
      </x:c>
      <x:c r="B130" s="50" t="s">
        <x:v>326</x:v>
      </x:c>
      <x:c r="C130" s="50">
        <x:v>1</x:v>
      </x:c>
      <x:c r="D130" s="50" t="s">
        <x:v>411</x:v>
      </x:c>
      <x:c r="E130" s="50" t="s">
        <x:v>18</x:v>
      </x:c>
      <x:c r="F130" s="51" t="s">
        <x:v>412</x:v>
      </x:c>
      <x:c r="G130" s="51"/>
      <x:c r="H130" s="53"/>
      <x:c r="I130" s="51" t="s">
        <x:v>554</x:v>
      </x:c>
      <x:c r="J130" s="55" t="s">
        <x:v>555</x:v>
      </x:c>
    </x:row>
    <x:row r="131">
      <x:c r="A131" s="50" t="s">
        <x:v>325</x:v>
      </x:c>
      <x:c r="B131" s="50" t="s">
        <x:v>326</x:v>
      </x:c>
      <x:c r="C131" s="50">
        <x:v>2</x:v>
      </x:c>
      <x:c r="D131" s="50" t="s">
        <x:v>411</x:v>
      </x:c>
      <x:c r="E131" s="50" t="s">
        <x:v>41</x:v>
      </x:c>
      <x:c r="F131" s="53" t="s">
        <x:v>416</x:v>
      </x:c>
      <x:c r="G131" s="51"/>
      <x:c r="H131" s="53" t="s">
        <x:v>534</x:v>
      </x:c>
      <x:c r="I131" s="51"/>
      <x:c r="J131" s="66" t="s">
        <x:v>556</x:v>
      </x:c>
    </x:row>
    <x:row r="132">
      <x:c r="A132" s="50" t="s">
        <x:v>325</x:v>
      </x:c>
      <x:c r="B132" s="50" t="s">
        <x:v>326</x:v>
      </x:c>
      <x:c r="C132" s="50">
        <x:v>3</x:v>
      </x:c>
      <x:c r="D132" s="50" t="s">
        <x:v>411</x:v>
      </x:c>
      <x:c r="E132" s="50" t="s">
        <x:v>16</x:v>
      </x:c>
      <x:c r="F132" s="51" t="s">
        <x:v>414</x:v>
      </x:c>
      <x:c r="G132" s="51"/>
      <x:c r="H132" s="53"/>
      <x:c r="I132" s="51"/>
      <x:c r="J132" s="52" t="s">
        <x:v>557</x:v>
      </x:c>
    </x:row>
    <x:row r="133">
      <x:c r="A133" s="50" t="s">
        <x:v>325</x:v>
      </x:c>
      <x:c r="B133" s="50" t="s">
        <x:v>326</x:v>
      </x:c>
      <x:c r="C133" s="50">
        <x:v>4</x:v>
      </x:c>
      <x:c r="D133" s="50" t="s">
        <x:v>411</x:v>
      </x:c>
      <x:c r="E133" s="50" t="s">
        <x:v>18</x:v>
      </x:c>
      <x:c r="F133" s="51" t="s">
        <x:v>412</x:v>
      </x:c>
      <x:c r="G133" s="51"/>
      <x:c r="H133" s="51"/>
      <x:c r="I133" s="51"/>
      <x:c r="J133" s="53" t="s">
        <x:v>558</x:v>
      </x:c>
    </x:row>
    <x:row r="134">
      <x:c r="A134" s="50" t="s">
        <x:v>325</x:v>
      </x:c>
      <x:c r="B134" s="50" t="s">
        <x:v>326</x:v>
      </x:c>
      <x:c r="C134" s="50">
        <x:v>5</x:v>
      </x:c>
      <x:c r="D134" s="50" t="s">
        <x:v>411</x:v>
      </x:c>
      <x:c r="E134" s="50" t="s">
        <x:v>18</x:v>
      </x:c>
      <x:c r="F134" s="51" t="s">
        <x:v>412</x:v>
      </x:c>
      <x:c r="G134" s="51"/>
      <x:c r="H134" s="51"/>
      <x:c r="I134" s="51"/>
      <x:c r="J134" s="52" t="s">
        <x:v>559</x:v>
      </x:c>
    </x:row>
    <x:row r="135">
      <x:c r="A135" s="50" t="s">
        <x:v>325</x:v>
      </x:c>
      <x:c r="B135" s="50" t="s">
        <x:v>326</x:v>
      </x:c>
      <x:c r="C135" s="50">
        <x:v>6</x:v>
      </x:c>
      <x:c r="D135" s="50" t="s">
        <x:v>411</x:v>
      </x:c>
      <x:c r="E135" s="50" t="s">
        <x:v>16</x:v>
      </x:c>
      <x:c r="F135" s="51" t="s">
        <x:v>414</x:v>
      </x:c>
      <x:c r="J135" s="32" t="s">
        <x:v>560</x:v>
      </x:c>
    </x:row>
    <x:row r="136">
      <x:c r="A136" s="50" t="s">
        <x:v>327</x:v>
      </x:c>
      <x:c r="B136" s="50" t="s">
        <x:v>328</x:v>
      </x:c>
      <x:c r="C136" s="50">
        <x:v>1</x:v>
      </x:c>
      <x:c r="D136" s="50" t="s">
        <x:v>411</x:v>
      </x:c>
      <x:c r="E136" s="52" t="s">
        <x:v>20</x:v>
      </x:c>
      <x:c r="F136" s="53" t="s">
        <x:v>412</x:v>
      </x:c>
      <x:c r="G136" s="51"/>
      <x:c r="H136" s="53"/>
      <x:c r="I136" s="51" t="s">
        <x:v>561</x:v>
      </x:c>
      <x:c r="J136" s="52" t="s">
        <x:v>562</x:v>
      </x:c>
    </x:row>
    <x:row r="137">
      <x:c r="A137" s="50" t="s">
        <x:v>327</x:v>
      </x:c>
      <x:c r="B137" s="50" t="s">
        <x:v>328</x:v>
      </x:c>
      <x:c r="C137" s="50">
        <x:v>2</x:v>
      </x:c>
      <x:c r="D137" s="50" t="s">
        <x:v>411</x:v>
      </x:c>
      <x:c r="E137" s="52" t="s">
        <x:v>18</x:v>
      </x:c>
      <x:c r="F137" s="53" t="s">
        <x:v>416</x:v>
      </x:c>
      <x:c r="G137" s="51"/>
      <x:c r="H137" s="53"/>
      <x:c r="I137" s="51"/>
      <x:c r="J137" s="52" t="s">
        <x:v>563</x:v>
      </x:c>
    </x:row>
    <x:row r="138">
      <x:c r="A138" s="50" t="s">
        <x:v>327</x:v>
      </x:c>
      <x:c r="B138" s="50" t="s">
        <x:v>328</x:v>
      </x:c>
      <x:c r="C138" s="50">
        <x:v>3</x:v>
      </x:c>
      <x:c r="D138" s="50" t="s">
        <x:v>411</x:v>
      </x:c>
      <x:c r="E138" s="52" t="s">
        <x:v>18</x:v>
      </x:c>
      <x:c r="F138" s="53" t="s">
        <x:v>416</x:v>
      </x:c>
      <x:c r="G138" s="51"/>
      <x:c r="H138" s="53"/>
      <x:c r="I138" s="51"/>
      <x:c r="J138" s="52" t="s">
        <x:v>564</x:v>
      </x:c>
    </x:row>
    <x:row r="139">
      <x:c r="A139" s="50" t="s">
        <x:v>327</x:v>
      </x:c>
      <x:c r="B139" s="50" t="s">
        <x:v>328</x:v>
      </x:c>
      <x:c r="C139" s="50">
        <x:v>4</x:v>
      </x:c>
      <x:c r="D139" s="50" t="s">
        <x:v>411</x:v>
      </x:c>
      <x:c r="E139" s="52" t="s">
        <x:v>18</x:v>
      </x:c>
      <x:c r="F139" s="53" t="s">
        <x:v>416</x:v>
      </x:c>
      <x:c r="G139" s="51"/>
      <x:c r="H139" s="51"/>
      <x:c r="I139" s="51"/>
      <x:c r="J139" s="52" t="s">
        <x:v>565</x:v>
      </x:c>
    </x:row>
    <x:row r="140">
      <x:c r="A140" s="50" t="s">
        <x:v>327</x:v>
      </x:c>
      <x:c r="B140" s="50" t="s">
        <x:v>328</x:v>
      </x:c>
      <x:c r="C140" s="50">
        <x:v>5</x:v>
      </x:c>
      <x:c r="D140" s="50" t="s">
        <x:v>411</x:v>
      </x:c>
      <x:c r="E140" s="52" t="s">
        <x:v>16</x:v>
      </x:c>
      <x:c r="F140" s="53" t="s">
        <x:v>414</x:v>
      </x:c>
      <x:c r="G140" s="51"/>
      <x:c r="H140" s="51"/>
      <x:c r="I140" s="51"/>
      <x:c r="J140" s="52" t="s">
        <x:v>566</x:v>
      </x:c>
    </x:row>
    <x:row r="141">
      <x:c r="A141" s="50" t="s">
        <x:v>327</x:v>
      </x:c>
      <x:c r="B141" s="50" t="s">
        <x:v>328</x:v>
      </x:c>
      <x:c r="C141" s="50">
        <x:v>6</x:v>
      </x:c>
      <x:c r="D141" s="50" t="s">
        <x:v>411</x:v>
      </x:c>
      <x:c r="E141" s="52" t="s">
        <x:v>18</x:v>
      </x:c>
      <x:c r="F141" s="53" t="s">
        <x:v>416</x:v>
      </x:c>
      <x:c r="J141" s="57" t="s">
        <x:v>567</x:v>
      </x:c>
    </x:row>
    <x:row r="142">
      <x:c r="A142" s="50" t="s">
        <x:v>327</x:v>
      </x:c>
      <x:c r="B142" s="50" t="s">
        <x:v>328</x:v>
      </x:c>
      <x:c r="C142" s="50">
        <x:v>7</x:v>
      </x:c>
      <x:c r="D142" s="50" t="s">
        <x:v>411</x:v>
      </x:c>
      <x:c r="E142" s="52" t="s">
        <x:v>16</x:v>
      </x:c>
      <x:c r="F142" s="53" t="s">
        <x:v>414</x:v>
      </x:c>
      <x:c r="J142" s="57" t="s">
        <x:v>568</x:v>
      </x:c>
    </x:row>
    <x:row r="143">
      <x:c r="A143" s="50" t="s">
        <x:v>327</x:v>
      </x:c>
      <x:c r="B143" s="50" t="s">
        <x:v>328</x:v>
      </x:c>
      <x:c r="C143" s="50">
        <x:v>8</x:v>
      </x:c>
      <x:c r="D143" s="50" t="s">
        <x:v>411</x:v>
      </x:c>
      <x:c r="E143" s="52" t="s">
        <x:v>18</x:v>
      </x:c>
      <x:c r="F143" s="53" t="s">
        <x:v>416</x:v>
      </x:c>
      <x:c r="J143" s="57" t="s">
        <x:v>569</x:v>
      </x:c>
    </x:row>
    <x:row r="144">
      <x:c r="A144" s="50" t="s">
        <x:v>329</x:v>
      </x:c>
      <x:c r="B144" s="50" t="s">
        <x:v>330</x:v>
      </x:c>
      <x:c r="C144" s="50">
        <x:v>1</x:v>
      </x:c>
      <x:c r="D144" s="50" t="s">
        <x:v>411</x:v>
      </x:c>
      <x:c r="E144" s="52" t="s">
        <x:v>18</x:v>
      </x:c>
      <x:c r="F144" s="51" t="s">
        <x:v>414</x:v>
      </x:c>
      <x:c r="G144" s="51"/>
      <x:c r="H144" s="53"/>
      <x:c r="I144" s="51" t="s">
        <x:v>452</x:v>
      </x:c>
      <x:c r="J144" s="52" t="s">
        <x:v>570</x:v>
      </x:c>
    </x:row>
    <x:row r="145">
      <x:c r="A145" s="50" t="s">
        <x:v>329</x:v>
      </x:c>
      <x:c r="B145" s="50" t="s">
        <x:v>330</x:v>
      </x:c>
      <x:c r="C145" s="50">
        <x:v>2</x:v>
      </x:c>
      <x:c r="D145" s="50" t="s">
        <x:v>411</x:v>
      </x:c>
      <x:c r="E145" s="52" t="s">
        <x:v>16</x:v>
      </x:c>
      <x:c r="F145" s="53" t="s">
        <x:v>416</x:v>
      </x:c>
      <x:c r="G145" s="51"/>
      <x:c r="H145" s="53"/>
      <x:c r="I145" s="51"/>
      <x:c r="J145" s="52" t="s">
        <x:v>527</x:v>
      </x:c>
    </x:row>
    <x:row r="146" ht="33" customHeight="1">
      <x:c r="A146" s="50" t="s">
        <x:v>329</x:v>
      </x:c>
      <x:c r="B146" s="50" t="s">
        <x:v>330</x:v>
      </x:c>
      <x:c r="C146" s="50">
        <x:v>3</x:v>
      </x:c>
      <x:c r="D146" s="50" t="s">
        <x:v>411</x:v>
      </x:c>
      <x:c r="E146" s="52" t="s">
        <x:v>18</x:v>
      </x:c>
      <x:c r="F146" s="51" t="s">
        <x:v>414</x:v>
      </x:c>
      <x:c r="G146" s="51"/>
      <x:c r="H146" s="53"/>
      <x:c r="I146" s="51"/>
      <x:c r="J146" s="52" t="s">
        <x:v>571</x:v>
      </x:c>
    </x:row>
    <x:row r="147">
      <x:c r="A147" s="50" t="s">
        <x:v>329</x:v>
      </x:c>
      <x:c r="B147" s="50" t="s">
        <x:v>330</x:v>
      </x:c>
      <x:c r="C147" s="50">
        <x:v>4</x:v>
      </x:c>
      <x:c r="D147" s="50" t="s">
        <x:v>411</x:v>
      </x:c>
      <x:c r="E147" s="52" t="s">
        <x:v>18</x:v>
      </x:c>
      <x:c r="F147" s="51" t="s">
        <x:v>414</x:v>
      </x:c>
      <x:c r="G147" s="51"/>
      <x:c r="H147" s="51"/>
      <x:c r="I147" s="51"/>
      <x:c r="J147" s="52" t="s">
        <x:v>572</x:v>
      </x:c>
    </x:row>
    <x:row r="148">
      <x:c r="A148" s="50" t="s">
        <x:v>329</x:v>
      </x:c>
      <x:c r="B148" s="50" t="s">
        <x:v>330</x:v>
      </x:c>
      <x:c r="C148" s="50">
        <x:v>5</x:v>
      </x:c>
      <x:c r="D148" s="50" t="s">
        <x:v>411</x:v>
      </x:c>
      <x:c r="E148" s="52" t="s">
        <x:v>16</x:v>
      </x:c>
      <x:c r="F148" s="53" t="s">
        <x:v>416</x:v>
      </x:c>
      <x:c r="G148" s="51"/>
      <x:c r="H148" s="51"/>
      <x:c r="I148" s="51"/>
      <x:c r="J148" s="52" t="s">
        <x:v>573</x:v>
      </x:c>
    </x:row>
    <x:row r="149">
      <x:c r="A149" s="50" t="s">
        <x:v>329</x:v>
      </x:c>
      <x:c r="B149" s="50" t="s">
        <x:v>330</x:v>
      </x:c>
      <x:c r="C149" s="50">
        <x:v>6</x:v>
      </x:c>
      <x:c r="D149" s="50" t="s">
        <x:v>411</x:v>
      </x:c>
      <x:c r="E149" s="52" t="s">
        <x:v>18</x:v>
      </x:c>
      <x:c r="F149" s="51" t="s">
        <x:v>414</x:v>
      </x:c>
      <x:c r="J149" s="57" t="s">
        <x:v>574</x:v>
      </x:c>
    </x:row>
    <x:row r="150">
      <x:c r="A150" s="50" t="s">
        <x:v>329</x:v>
      </x:c>
      <x:c r="B150" s="50" t="s">
        <x:v>330</x:v>
      </x:c>
      <x:c r="C150" s="50">
        <x:v>7</x:v>
      </x:c>
      <x:c r="D150" s="50" t="s">
        <x:v>411</x:v>
      </x:c>
      <x:c r="E150" s="52" t="s">
        <x:v>16</x:v>
      </x:c>
      <x:c r="F150" s="53" t="s">
        <x:v>416</x:v>
      </x:c>
      <x:c r="J150" s="57" t="s">
        <x:v>575</x:v>
      </x:c>
    </x:row>
    <x:row r="151">
      <x:c r="A151" s="50" t="s">
        <x:v>331</x:v>
      </x:c>
      <x:c r="B151" s="50" t="s">
        <x:v>332</x:v>
      </x:c>
      <x:c r="C151" s="50">
        <x:v>1</x:v>
      </x:c>
      <x:c r="D151" s="50" t="s">
        <x:v>408</x:v>
      </x:c>
      <x:c r="E151" s="52" t="s">
        <x:v>14</x:v>
      </x:c>
      <x:c r="F151" s="51" t="s">
        <x:v>414</x:v>
      </x:c>
      <x:c r="G151" s="51"/>
      <x:c r="H151" s="53"/>
      <x:c r="I151" s="51" t="s">
        <x:v>452</x:v>
      </x:c>
      <x:c r="J151" s="52" t="s">
        <x:v>576</x:v>
      </x:c>
    </x:row>
    <x:row r="152">
      <x:c r="A152" s="50" t="s">
        <x:v>331</x:v>
      </x:c>
      <x:c r="B152" s="50" t="s">
        <x:v>332</x:v>
      </x:c>
      <x:c r="C152" s="50">
        <x:v>2</x:v>
      </x:c>
      <x:c r="D152" s="50" t="s">
        <x:v>411</x:v>
      </x:c>
      <x:c r="E152" s="52" t="s">
        <x:v>16</x:v>
      </x:c>
      <x:c r="F152" s="53" t="s">
        <x:v>416</x:v>
      </x:c>
      <x:c r="G152" s="51"/>
      <x:c r="H152" s="53"/>
      <x:c r="I152" s="51"/>
      <x:c r="J152" s="52" t="s">
        <x:v>577</x:v>
      </x:c>
    </x:row>
    <x:row r="153">
      <x:c r="A153" s="50" t="s">
        <x:v>331</x:v>
      </x:c>
      <x:c r="B153" s="50" t="s">
        <x:v>332</x:v>
      </x:c>
      <x:c r="C153" s="50">
        <x:v>3</x:v>
      </x:c>
      <x:c r="D153" s="50" t="s">
        <x:v>411</x:v>
      </x:c>
      <x:c r="E153" s="52" t="s">
        <x:v>14</x:v>
      </x:c>
      <x:c r="F153" s="51" t="s">
        <x:v>414</x:v>
      </x:c>
      <x:c r="G153" s="51"/>
      <x:c r="H153" s="53"/>
      <x:c r="I153" s="51"/>
      <x:c r="J153" s="66" t="s">
        <x:v>578</x:v>
      </x:c>
    </x:row>
    <x:row r="154">
      <x:c r="A154" s="50" t="s">
        <x:v>331</x:v>
      </x:c>
      <x:c r="B154" s="50" t="s">
        <x:v>332</x:v>
      </x:c>
      <x:c r="C154" s="50">
        <x:v>4</x:v>
      </x:c>
      <x:c r="D154" s="50" t="s">
        <x:v>411</x:v>
      </x:c>
      <x:c r="E154" s="52" t="s">
        <x:v>16</x:v>
      </x:c>
      <x:c r="F154" s="53" t="s">
        <x:v>416</x:v>
      </x:c>
      <x:c r="G154" s="51"/>
      <x:c r="H154" s="51"/>
      <x:c r="I154" s="51"/>
      <x:c r="J154" s="52" t="s">
        <x:v>579</x:v>
      </x:c>
    </x:row>
    <x:row r="155">
      <x:c r="A155" s="50" t="s">
        <x:v>331</x:v>
      </x:c>
      <x:c r="B155" s="50" t="s">
        <x:v>332</x:v>
      </x:c>
      <x:c r="C155" s="50">
        <x:v>5</x:v>
      </x:c>
      <x:c r="D155" s="50" t="s">
        <x:v>411</x:v>
      </x:c>
      <x:c r="E155" s="52" t="s">
        <x:v>14</x:v>
      </x:c>
      <x:c r="F155" s="51" t="s">
        <x:v>414</x:v>
      </x:c>
      <x:c r="G155" s="51"/>
      <x:c r="H155" s="51"/>
      <x:c r="I155" s="51"/>
      <x:c r="J155" s="52" t="s">
        <x:v>580</x:v>
      </x:c>
    </x:row>
    <x:row r="156">
      <x:c r="A156" s="50" t="s">
        <x:v>331</x:v>
      </x:c>
      <x:c r="B156" s="50" t="s">
        <x:v>332</x:v>
      </x:c>
      <x:c r="C156" s="50">
        <x:v>6</x:v>
      </x:c>
      <x:c r="D156" s="50" t="s">
        <x:v>411</x:v>
      </x:c>
      <x:c r="E156" s="52" t="s">
        <x:v>16</x:v>
      </x:c>
      <x:c r="F156" s="53" t="s">
        <x:v>416</x:v>
      </x:c>
      <x:c r="J156" s="57" t="s">
        <x:v>581</x:v>
      </x:c>
    </x:row>
    <x:row r="157">
      <x:c r="A157" s="50" t="s">
        <x:v>331</x:v>
      </x:c>
      <x:c r="B157" s="50" t="s">
        <x:v>332</x:v>
      </x:c>
      <x:c r="C157" s="50">
        <x:v>7</x:v>
      </x:c>
      <x:c r="D157" s="50" t="s">
        <x:v>411</x:v>
      </x:c>
      <x:c r="E157" s="52" t="s">
        <x:v>14</x:v>
      </x:c>
      <x:c r="F157" s="51" t="s">
        <x:v>414</x:v>
      </x:c>
      <x:c r="J157" s="57" t="s">
        <x:v>582</x:v>
      </x:c>
    </x:row>
    <x:row r="158">
      <x:c r="A158" s="50" t="s">
        <x:v>331</x:v>
      </x:c>
      <x:c r="B158" s="50" t="s">
        <x:v>332</x:v>
      </x:c>
      <x:c r="C158" s="50">
        <x:v>8</x:v>
      </x:c>
      <x:c r="D158" s="50" t="s">
        <x:v>411</x:v>
      </x:c>
      <x:c r="E158" s="52" t="s">
        <x:v>16</x:v>
      </x:c>
      <x:c r="F158" s="53" t="s">
        <x:v>416</x:v>
      </x:c>
      <x:c r="J158" s="57" t="s">
        <x:v>583</x:v>
      </x:c>
    </x:row>
    <x:row r="159">
      <x:c r="A159" s="50" t="s">
        <x:v>331</x:v>
      </x:c>
      <x:c r="B159" s="50" t="s">
        <x:v>332</x:v>
      </x:c>
      <x:c r="C159" s="50">
        <x:v>9</x:v>
      </x:c>
      <x:c r="D159" s="50" t="s">
        <x:v>411</x:v>
      </x:c>
      <x:c r="E159" s="52" t="s">
        <x:v>14</x:v>
      </x:c>
      <x:c r="F159" s="51" t="s">
        <x:v>414</x:v>
      </x:c>
      <x:c r="J159" s="57" t="s">
        <x:v>584</x:v>
      </x:c>
    </x:row>
    <x:row r="160">
      <x:c r="A160" s="50" t="s">
        <x:v>331</x:v>
      </x:c>
      <x:c r="B160" s="50" t="s">
        <x:v>332</x:v>
      </x:c>
      <x:c r="C160" s="50">
        <x:v>10</x:v>
      </x:c>
      <x:c r="D160" s="50" t="s">
        <x:v>411</x:v>
      </x:c>
      <x:c r="E160" s="52" t="s">
        <x:v>16</x:v>
      </x:c>
      <x:c r="F160" s="53" t="s">
        <x:v>416</x:v>
      </x:c>
      <x:c r="J160" s="57" t="s">
        <x:v>585</x:v>
      </x:c>
    </x:row>
    <x:row r="161" ht="36">
      <x:c r="A161" s="50" t="s">
        <x:v>333</x:v>
      </x:c>
      <x:c r="B161" s="50" t="s">
        <x:v>334</x:v>
      </x:c>
      <x:c r="C161" s="50">
        <x:v>1</x:v>
      </x:c>
      <x:c r="D161" s="50" t="s">
        <x:v>411</x:v>
      </x:c>
      <x:c r="E161" s="52" t="s">
        <x:v>10</x:v>
      </x:c>
      <x:c r="F161" s="51" t="s">
        <x:v>414</x:v>
      </x:c>
      <x:c r="G161" s="51"/>
      <x:c r="H161" s="53"/>
      <x:c r="I161" s="51" t="s">
        <x:v>452</x:v>
      </x:c>
      <x:c r="J161" s="52" t="s">
        <x:v>586</x:v>
      </x:c>
    </x:row>
    <x:row r="162" ht="36">
      <x:c r="A162" s="50" t="s">
        <x:v>333</x:v>
      </x:c>
      <x:c r="B162" s="50" t="s">
        <x:v>334</x:v>
      </x:c>
      <x:c r="C162" s="50">
        <x:v>2</x:v>
      </x:c>
      <x:c r="D162" s="50" t="s">
        <x:v>411</x:v>
      </x:c>
      <x:c r="E162" s="52" t="s">
        <x:v>16</x:v>
      </x:c>
      <x:c r="F162" s="53" t="s">
        <x:v>416</x:v>
      </x:c>
      <x:c r="G162" s="51"/>
      <x:c r="H162" s="53"/>
      <x:c r="I162" s="51"/>
      <x:c r="J162" s="52" t="s">
        <x:v>587</x:v>
      </x:c>
    </x:row>
    <x:row r="163" ht="36">
      <x:c r="A163" s="50" t="s">
        <x:v>333</x:v>
      </x:c>
      <x:c r="B163" s="50" t="s">
        <x:v>334</x:v>
      </x:c>
      <x:c r="C163" s="50">
        <x:v>3</x:v>
      </x:c>
      <x:c r="D163" s="50" t="s">
        <x:v>411</x:v>
      </x:c>
      <x:c r="E163" s="52" t="s">
        <x:v>10</x:v>
      </x:c>
      <x:c r="F163" s="51" t="s">
        <x:v>414</x:v>
      </x:c>
      <x:c r="G163" s="51"/>
      <x:c r="H163" s="53"/>
      <x:c r="I163" s="51"/>
      <x:c r="J163" s="52" t="s">
        <x:v>588</x:v>
      </x:c>
    </x:row>
    <x:row r="164">
      <x:c r="A164" s="50" t="s">
        <x:v>337</x:v>
      </x:c>
      <x:c r="B164" s="50" t="s">
        <x:v>338</x:v>
      </x:c>
      <x:c r="C164" s="50">
        <x:v>1</x:v>
      </x:c>
      <x:c r="D164" s="50" t="s">
        <x:v>411</x:v>
      </x:c>
      <x:c r="E164" s="52" t="s">
        <x:v>16</x:v>
      </x:c>
      <x:c r="F164" s="53" t="s">
        <x:v>416</x:v>
      </x:c>
      <x:c r="G164" s="51"/>
      <x:c r="H164" s="53"/>
      <x:c r="I164" s="51" t="s">
        <x:v>452</x:v>
      </x:c>
      <x:c r="J164" s="53" t="s">
        <x:v>589</x:v>
      </x:c>
    </x:row>
    <x:row r="165">
      <x:c r="A165" s="50" t="s">
        <x:v>337</x:v>
      </x:c>
      <x:c r="B165" s="50" t="s">
        <x:v>338</x:v>
      </x:c>
      <x:c r="C165" s="50">
        <x:v>2</x:v>
      </x:c>
      <x:c r="D165" s="50" t="s">
        <x:v>411</x:v>
      </x:c>
      <x:c r="E165" s="50" t="s">
        <x:v>10</x:v>
      </x:c>
      <x:c r="F165" s="53" t="s">
        <x:v>414</x:v>
      </x:c>
      <x:c r="G165" s="51"/>
      <x:c r="H165" s="53"/>
      <x:c r="I165" s="51"/>
      <x:c r="J165" s="52" t="s">
        <x:v>590</x:v>
      </x:c>
    </x:row>
    <x:row r="166">
      <x:c r="A166" s="50" t="s">
        <x:v>337</x:v>
      </x:c>
      <x:c r="B166" s="50" t="s">
        <x:v>338</x:v>
      </x:c>
      <x:c r="C166" s="50">
        <x:v>3</x:v>
      </x:c>
      <x:c r="D166" s="50" t="s">
        <x:v>411</x:v>
      </x:c>
      <x:c r="E166" s="52" t="s">
        <x:v>16</x:v>
      </x:c>
      <x:c r="F166" s="53" t="s">
        <x:v>416</x:v>
      </x:c>
      <x:c r="G166" s="51"/>
      <x:c r="H166" s="53"/>
      <x:c r="I166" s="51"/>
      <x:c r="J166" s="52" t="s">
        <x:v>591</x:v>
      </x:c>
    </x:row>
    <x:row r="167">
      <x:c r="A167" s="50" t="s">
        <x:v>337</x:v>
      </x:c>
      <x:c r="B167" s="50" t="s">
        <x:v>338</x:v>
      </x:c>
      <x:c r="C167" s="50">
        <x:v>4</x:v>
      </x:c>
      <x:c r="D167" s="50" t="s">
        <x:v>411</x:v>
      </x:c>
      <x:c r="E167" s="50" t="s">
        <x:v>10</x:v>
      </x:c>
      <x:c r="F167" s="53" t="s">
        <x:v>414</x:v>
      </x:c>
      <x:c r="G167" s="51"/>
      <x:c r="H167" s="51"/>
      <x:c r="I167" s="51"/>
      <x:c r="J167" s="52" t="s">
        <x:v>592</x:v>
      </x:c>
    </x:row>
    <x:row r="168">
      <x:c r="A168" s="50" t="s">
        <x:v>337</x:v>
      </x:c>
      <x:c r="B168" s="50" t="s">
        <x:v>338</x:v>
      </x:c>
      <x:c r="C168" s="50">
        <x:v>5</x:v>
      </x:c>
      <x:c r="D168" s="50" t="s">
        <x:v>411</x:v>
      </x:c>
      <x:c r="E168" s="52" t="s">
        <x:v>16</x:v>
      </x:c>
      <x:c r="F168" s="53" t="s">
        <x:v>416</x:v>
      </x:c>
      <x:c r="G168" s="51"/>
      <x:c r="H168" s="51"/>
      <x:c r="I168" s="51"/>
      <x:c r="J168" s="52" t="s">
        <x:v>593</x:v>
      </x:c>
    </x:row>
    <x:row r="169">
      <x:c r="A169" s="50" t="s">
        <x:v>337</x:v>
      </x:c>
      <x:c r="B169" s="50" t="s">
        <x:v>338</x:v>
      </x:c>
      <x:c r="C169" s="50">
        <x:v>6</x:v>
      </x:c>
      <x:c r="D169" s="50" t="s">
        <x:v>411</x:v>
      </x:c>
      <x:c r="E169" s="50" t="s">
        <x:v>10</x:v>
      </x:c>
      <x:c r="F169" s="53" t="s">
        <x:v>414</x:v>
      </x:c>
      <x:c r="J169" s="57" t="s">
        <x:v>594</x:v>
      </x:c>
    </x:row>
    <x:row r="170">
      <x:c r="A170" s="50" t="s">
        <x:v>337</x:v>
      </x:c>
      <x:c r="B170" s="50" t="s">
        <x:v>338</x:v>
      </x:c>
      <x:c r="C170" s="50">
        <x:v>7</x:v>
      </x:c>
      <x:c r="D170" s="50" t="s">
        <x:v>411</x:v>
      </x:c>
      <x:c r="E170" s="50" t="s">
        <x:v>10</x:v>
      </x:c>
      <x:c r="F170" s="53" t="s">
        <x:v>414</x:v>
      </x:c>
      <x:c r="J170" s="32" t="s">
        <x:v>595</x:v>
      </x:c>
    </x:row>
    <x:row r="171">
      <x:c r="A171" s="50" t="s">
        <x:v>337</x:v>
      </x:c>
      <x:c r="B171" s="50" t="s">
        <x:v>338</x:v>
      </x:c>
      <x:c r="C171" s="50">
        <x:v>8</x:v>
      </x:c>
      <x:c r="D171" s="50" t="s">
        <x:v>411</x:v>
      </x:c>
      <x:c r="E171" s="52" t="s">
        <x:v>16</x:v>
      </x:c>
      <x:c r="F171" s="53" t="s">
        <x:v>416</x:v>
      </x:c>
      <x:c r="J171" s="32" t="s">
        <x:v>596</x:v>
      </x:c>
    </x:row>
    <x:row r="172">
      <x:c r="A172" s="50" t="s">
        <x:v>337</x:v>
      </x:c>
      <x:c r="B172" s="50" t="s">
        <x:v>338</x:v>
      </x:c>
      <x:c r="C172" s="50">
        <x:v>9</x:v>
      </x:c>
      <x:c r="D172" s="50" t="s">
        <x:v>411</x:v>
      </x:c>
      <x:c r="E172" s="50" t="s">
        <x:v>10</x:v>
      </x:c>
      <x:c r="F172" s="53" t="s">
        <x:v>414</x:v>
      </x:c>
      <x:c r="J172" s="32" t="s">
        <x:v>597</x:v>
      </x:c>
    </x:row>
    <x:row r="173">
      <x:c r="A173" s="50" t="s">
        <x:v>339</x:v>
      </x:c>
      <x:c r="B173" s="50" t="s">
        <x:v>340</x:v>
      </x:c>
      <x:c r="C173" s="50">
        <x:v>1</x:v>
      </x:c>
      <x:c r="D173" s="50" t="s">
        <x:v>411</x:v>
      </x:c>
      <x:c r="E173" s="52" t="s">
        <x:v>16</x:v>
      </x:c>
      <x:c r="F173" s="53" t="s">
        <x:v>416</x:v>
      </x:c>
      <x:c r="G173" s="51"/>
      <x:c r="H173" s="53"/>
      <x:c r="I173" s="51" t="s">
        <x:v>452</x:v>
      </x:c>
      <x:c r="J173" s="50" t="s">
        <x:v>451</x:v>
      </x:c>
    </x:row>
    <x:row r="174">
      <x:c r="A174" s="50" t="s">
        <x:v>341</x:v>
      </x:c>
      <x:c r="B174" s="50" t="s">
        <x:v>342</x:v>
      </x:c>
      <x:c r="C174" s="50">
        <x:v>1</x:v>
      </x:c>
      <x:c r="D174" s="50" t="s">
        <x:v>408</x:v>
      </x:c>
      <x:c r="E174" s="50"/>
      <x:c r="F174" s="51"/>
      <x:c r="G174" s="51"/>
      <x:c r="H174" s="53"/>
      <x:c r="I174" s="51" t="s">
        <x:v>452</x:v>
      </x:c>
      <x:c r="J174" s="52" t="s">
        <x:v>598</x:v>
      </x:c>
    </x:row>
    <x:row r="175">
      <x:c r="A175" s="50" t="s">
        <x:v>341</x:v>
      </x:c>
      <x:c r="B175" s="50" t="s">
        <x:v>342</x:v>
      </x:c>
      <x:c r="C175" s="50">
        <x:v>2</x:v>
      </x:c>
      <x:c r="D175" s="50" t="s">
        <x:v>411</x:v>
      </x:c>
      <x:c r="E175" s="52" t="s">
        <x:v>16</x:v>
      </x:c>
      <x:c r="F175" s="53" t="s">
        <x:v>416</x:v>
      </x:c>
      <x:c r="G175" s="51"/>
      <x:c r="H175" s="53"/>
      <x:c r="I175" s="51"/>
      <x:c r="J175" s="52" t="s">
        <x:v>599</x:v>
      </x:c>
    </x:row>
    <x:row r="176">
      <x:c r="A176" s="50" t="s">
        <x:v>341</x:v>
      </x:c>
      <x:c r="B176" s="50" t="s">
        <x:v>342</x:v>
      </x:c>
      <x:c r="C176" s="50">
        <x:v>3</x:v>
      </x:c>
      <x:c r="D176" s="50" t="s">
        <x:v>411</x:v>
      </x:c>
      <x:c r="E176" s="52" t="s">
        <x:v>14</x:v>
      </x:c>
      <x:c r="F176" s="53" t="s">
        <x:v>414</x:v>
      </x:c>
      <x:c r="G176" s="51"/>
      <x:c r="H176" s="53"/>
      <x:c r="I176" s="51"/>
      <x:c r="J176" s="66" t="s">
        <x:v>600</x:v>
      </x:c>
    </x:row>
    <x:row r="177">
      <x:c r="A177" s="50" t="s">
        <x:v>341</x:v>
      </x:c>
      <x:c r="B177" s="50" t="s">
        <x:v>342</x:v>
      </x:c>
      <x:c r="C177" s="50">
        <x:v>4</x:v>
      </x:c>
      <x:c r="D177" s="50" t="s">
        <x:v>411</x:v>
      </x:c>
      <x:c r="E177" s="52" t="s">
        <x:v>16</x:v>
      </x:c>
      <x:c r="F177" s="53" t="s">
        <x:v>416</x:v>
      </x:c>
      <x:c r="G177" s="51"/>
      <x:c r="H177" s="51"/>
      <x:c r="I177" s="51"/>
      <x:c r="J177" s="52" t="s">
        <x:v>601</x:v>
      </x:c>
    </x:row>
    <x:row r="178">
      <x:c r="A178" s="50" t="s">
        <x:v>341</x:v>
      </x:c>
      <x:c r="B178" s="50" t="s">
        <x:v>342</x:v>
      </x:c>
      <x:c r="C178" s="50">
        <x:v>5</x:v>
      </x:c>
      <x:c r="D178" s="50" t="s">
        <x:v>411</x:v>
      </x:c>
      <x:c r="E178" s="52" t="s">
        <x:v>14</x:v>
      </x:c>
      <x:c r="F178" s="53" t="s">
        <x:v>414</x:v>
      </x:c>
      <x:c r="G178" s="51"/>
      <x:c r="H178" s="51"/>
      <x:c r="I178" s="51"/>
      <x:c r="J178" s="51" t="s">
        <x:v>602</x:v>
      </x:c>
    </x:row>
    <x:row r="179">
      <x:c r="A179" s="50" t="s">
        <x:v>341</x:v>
      </x:c>
      <x:c r="B179" s="50" t="s">
        <x:v>342</x:v>
      </x:c>
      <x:c r="C179" s="50">
        <x:v>6</x:v>
      </x:c>
      <x:c r="D179" s="50" t="s">
        <x:v>411</x:v>
      </x:c>
      <x:c r="E179" s="52" t="s">
        <x:v>16</x:v>
      </x:c>
      <x:c r="F179" s="53" t="s">
        <x:v>416</x:v>
      </x:c>
      <x:c r="J179" s="57" t="s">
        <x:v>603</x:v>
      </x:c>
    </x:row>
    <x:row r="180">
      <x:c r="A180" s="50" t="s">
        <x:v>341</x:v>
      </x:c>
      <x:c r="B180" s="50" t="s">
        <x:v>342</x:v>
      </x:c>
      <x:c r="C180" s="50">
        <x:v>7</x:v>
      </x:c>
      <x:c r="D180" s="50" t="s">
        <x:v>411</x:v>
      </x:c>
      <x:c r="E180" s="52" t="s">
        <x:v>14</x:v>
      </x:c>
      <x:c r="F180" s="53" t="s">
        <x:v>414</x:v>
      </x:c>
      <x:c r="J180" s="32" t="s">
        <x:v>604</x:v>
      </x:c>
    </x:row>
    <x:row r="181">
      <x:c r="A181" s="50" t="s">
        <x:v>341</x:v>
      </x:c>
      <x:c r="B181" s="50" t="s">
        <x:v>342</x:v>
      </x:c>
      <x:c r="C181" s="50">
        <x:v>8</x:v>
      </x:c>
      <x:c r="D181" s="50" t="s">
        <x:v>411</x:v>
      </x:c>
      <x:c r="E181" s="52" t="s">
        <x:v>16</x:v>
      </x:c>
      <x:c r="F181" s="53" t="s">
        <x:v>416</x:v>
      </x:c>
      <x:c r="J181" s="32" t="s">
        <x:v>605</x:v>
      </x:c>
    </x:row>
    <x:row r="182">
      <x:c r="A182" s="50" t="s">
        <x:v>341</x:v>
      </x:c>
      <x:c r="B182" s="50" t="s">
        <x:v>342</x:v>
      </x:c>
      <x:c r="C182" s="50">
        <x:v>9</x:v>
      </x:c>
      <x:c r="D182" s="50" t="s">
        <x:v>411</x:v>
      </x:c>
      <x:c r="E182" s="52" t="s">
        <x:v>14</x:v>
      </x:c>
      <x:c r="F182" s="53" t="s">
        <x:v>414</x:v>
      </x:c>
      <x:c r="J182" s="32" t="s">
        <x:v>606</x:v>
      </x:c>
    </x:row>
    <x:row r="183">
      <x:c r="A183" s="50" t="s">
        <x:v>341</x:v>
      </x:c>
      <x:c r="B183" s="50" t="s">
        <x:v>342</x:v>
      </x:c>
      <x:c r="C183" s="50">
        <x:v>10</x:v>
      </x:c>
      <x:c r="D183" s="50" t="s">
        <x:v>411</x:v>
      </x:c>
      <x:c r="E183" s="52" t="s">
        <x:v>16</x:v>
      </x:c>
      <x:c r="F183" s="53" t="s">
        <x:v>416</x:v>
      </x:c>
      <x:c r="J183" s="32" t="s">
        <x:v>607</x:v>
      </x:c>
    </x:row>
    <x:row r="184">
      <x:c r="A184" s="50" t="s">
        <x:v>341</x:v>
      </x:c>
      <x:c r="B184" s="50" t="s">
        <x:v>342</x:v>
      </x:c>
      <x:c r="C184" s="50">
        <x:v>11</x:v>
      </x:c>
      <x:c r="D184" s="50" t="s">
        <x:v>411</x:v>
      </x:c>
      <x:c r="E184" s="52" t="s">
        <x:v>14</x:v>
      </x:c>
      <x:c r="F184" s="53" t="s">
        <x:v>414</x:v>
      </x:c>
      <x:c r="J184" s="10" t="s">
        <x:v>608</x:v>
      </x:c>
    </x:row>
    <x:row r="185">
      <x:c r="A185" s="50" t="s">
        <x:v>341</x:v>
      </x:c>
      <x:c r="B185" s="50" t="s">
        <x:v>342</x:v>
      </x:c>
      <x:c r="C185" s="50">
        <x:v>12</x:v>
      </x:c>
      <x:c r="D185" s="50" t="s">
        <x:v>411</x:v>
      </x:c>
      <x:c r="E185" s="52" t="s">
        <x:v>16</x:v>
      </x:c>
      <x:c r="F185" s="53" t="s">
        <x:v>416</x:v>
      </x:c>
      <x:c r="J185" s="32" t="s">
        <x:v>609</x:v>
      </x:c>
    </x:row>
    <x:row r="186">
      <x:c r="A186" s="50" t="s">
        <x:v>341</x:v>
      </x:c>
      <x:c r="B186" s="50" t="s">
        <x:v>342</x:v>
      </x:c>
      <x:c r="C186" s="50">
        <x:v>13</x:v>
      </x:c>
      <x:c r="D186" s="50" t="s">
        <x:v>411</x:v>
      </x:c>
      <x:c r="E186" s="52" t="s">
        <x:v>14</x:v>
      </x:c>
      <x:c r="F186" s="53" t="s">
        <x:v>414</x:v>
      </x:c>
      <x:c r="J186" s="32" t="s">
        <x:v>610</x:v>
      </x:c>
    </x:row>
    <x:row r="187">
      <x:c r="A187" s="50" t="s">
        <x:v>341</x:v>
      </x:c>
      <x:c r="B187" s="50" t="s">
        <x:v>342</x:v>
      </x:c>
      <x:c r="C187" s="50">
        <x:v>14</x:v>
      </x:c>
      <x:c r="D187" s="50" t="s">
        <x:v>408</x:v>
      </x:c>
      <x:c r="F187" s="51"/>
      <x:c r="I187" s="51" t="s">
        <x:v>611</x:v>
      </x:c>
      <x:c r="J187" s="32" t="s">
        <x:v>612</x:v>
      </x:c>
    </x:row>
    <x:row r="188">
      <x:c r="A188" s="50" t="s">
        <x:v>341</x:v>
      </x:c>
      <x:c r="B188" s="50" t="s">
        <x:v>342</x:v>
      </x:c>
      <x:c r="C188" s="50">
        <x:v>15</x:v>
      </x:c>
      <x:c r="D188" s="50" t="s">
        <x:v>411</x:v>
      </x:c>
      <x:c r="E188" s="32" t="s">
        <x:v>29</x:v>
      </x:c>
      <x:c r="F188" s="51" t="s">
        <x:v>416</x:v>
      </x:c>
      <x:c r="I188" s="51" t="s">
        <x:v>613</x:v>
      </x:c>
      <x:c r="J188" s="32" t="s">
        <x:v>614</x:v>
      </x:c>
    </x:row>
    <x:row r="189">
      <x:c r="A189" s="50" t="s">
        <x:v>341</x:v>
      </x:c>
      <x:c r="B189" s="50" t="s">
        <x:v>342</x:v>
      </x:c>
      <x:c r="C189" s="50">
        <x:v>16</x:v>
      </x:c>
      <x:c r="D189" s="50" t="s">
        <x:v>411</x:v>
      </x:c>
      <x:c r="E189" s="52" t="s">
        <x:v>16</x:v>
      </x:c>
      <x:c r="F189" s="53" t="s">
        <x:v>414</x:v>
      </x:c>
      <x:c r="J189" s="32" t="s">
        <x:v>615</x:v>
      </x:c>
    </x:row>
    <x:row r="190">
      <x:c r="A190" s="50" t="s">
        <x:v>341</x:v>
      </x:c>
      <x:c r="B190" s="50" t="s">
        <x:v>342</x:v>
      </x:c>
      <x:c r="C190" s="50">
        <x:v>17</x:v>
      </x:c>
      <x:c r="D190" s="50" t="s">
        <x:v>411</x:v>
      </x:c>
      <x:c r="E190" s="32" t="s">
        <x:v>29</x:v>
      </x:c>
      <x:c r="F190" s="51" t="s">
        <x:v>416</x:v>
      </x:c>
      <x:c r="J190" s="32" t="s">
        <x:v>616</x:v>
      </x:c>
    </x:row>
    <x:row r="191">
      <x:c r="A191" s="50" t="s">
        <x:v>341</x:v>
      </x:c>
      <x:c r="B191" s="50" t="s">
        <x:v>342</x:v>
      </x:c>
      <x:c r="C191" s="50">
        <x:v>18</x:v>
      </x:c>
      <x:c r="D191" s="50" t="s">
        <x:v>408</x:v>
      </x:c>
      <x:c r="E191" s="52"/>
      <x:c r="F191" s="53"/>
      <x:c r="J191" s="32" t="s">
        <x:v>617</x:v>
      </x:c>
    </x:row>
    <x:row r="192">
      <x:c r="A192" s="50" t="s">
        <x:v>341</x:v>
      </x:c>
      <x:c r="B192" s="50" t="s">
        <x:v>342</x:v>
      </x:c>
      <x:c r="C192" s="50">
        <x:v>19</x:v>
      </x:c>
      <x:c r="D192" s="50" t="s">
        <x:v>411</x:v>
      </x:c>
      <x:c r="E192" s="32" t="s">
        <x:v>29</x:v>
      </x:c>
      <x:c r="F192" s="51" t="s">
        <x:v>416</x:v>
      </x:c>
      <x:c r="J192" s="57" t="s">
        <x:v>618</x:v>
      </x:c>
    </x:row>
    <x:row r="193">
      <x:c r="A193" s="50" t="s">
        <x:v>341</x:v>
      </x:c>
      <x:c r="B193" s="50" t="s">
        <x:v>342</x:v>
      </x:c>
      <x:c r="C193" s="50">
        <x:v>20</x:v>
      </x:c>
      <x:c r="D193" s="50" t="s">
        <x:v>411</x:v>
      </x:c>
      <x:c r="E193" s="52" t="s">
        <x:v>16</x:v>
      </x:c>
      <x:c r="F193" s="53" t="s">
        <x:v>414</x:v>
      </x:c>
      <x:c r="J193" s="57" t="s">
        <x:v>619</x:v>
      </x:c>
    </x:row>
    <x:row r="194">
      <x:c r="A194" s="50" t="s">
        <x:v>341</x:v>
      </x:c>
      <x:c r="B194" s="50" t="s">
        <x:v>342</x:v>
      </x:c>
      <x:c r="C194" s="50">
        <x:v>21</x:v>
      </x:c>
      <x:c r="D194" s="50" t="s">
        <x:v>411</x:v>
      </x:c>
      <x:c r="E194" s="32" t="s">
        <x:v>29</x:v>
      </x:c>
      <x:c r="F194" s="51" t="s">
        <x:v>416</x:v>
      </x:c>
      <x:c r="J194" s="57" t="s">
        <x:v>620</x:v>
      </x:c>
    </x:row>
    <x:row r="195">
      <x:c r="A195" s="50" t="s">
        <x:v>341</x:v>
      </x:c>
      <x:c r="B195" s="50" t="s">
        <x:v>342</x:v>
      </x:c>
      <x:c r="C195" s="50">
        <x:v>22</x:v>
      </x:c>
      <x:c r="D195" s="50" t="s">
        <x:v>411</x:v>
      </x:c>
      <x:c r="E195" s="52" t="s">
        <x:v>16</x:v>
      </x:c>
      <x:c r="F195" s="53" t="s">
        <x:v>414</x:v>
      </x:c>
      <x:c r="J195" s="32" t="s">
        <x:v>621</x:v>
      </x:c>
    </x:row>
    <x:row r="196">
      <x:c r="A196" s="50" t="s">
        <x:v>341</x:v>
      </x:c>
      <x:c r="B196" s="50" t="s">
        <x:v>342</x:v>
      </x:c>
      <x:c r="C196" s="50">
        <x:v>23</x:v>
      </x:c>
      <x:c r="D196" s="50" t="s">
        <x:v>411</x:v>
      </x:c>
      <x:c r="E196" s="32" t="s">
        <x:v>29</x:v>
      </x:c>
      <x:c r="F196" s="51" t="s">
        <x:v>416</x:v>
      </x:c>
      <x:c r="J196" s="57" t="s">
        <x:v>622</x:v>
      </x:c>
    </x:row>
    <x:row r="197">
      <x:c r="A197" s="50" t="s">
        <x:v>343</x:v>
      </x:c>
      <x:c r="B197" s="50" t="s">
        <x:v>344</x:v>
      </x:c>
      <x:c r="C197" s="50">
        <x:v>1</x:v>
      </x:c>
      <x:c r="D197" s="50" t="s">
        <x:v>411</x:v>
      </x:c>
      <x:c r="E197" s="52" t="s">
        <x:v>16</x:v>
      </x:c>
      <x:c r="F197" s="53" t="s">
        <x:v>416</x:v>
      </x:c>
      <x:c r="G197" s="51"/>
      <x:c r="H197" s="53"/>
      <x:c r="I197" s="51" t="s">
        <x:v>452</x:v>
      </x:c>
      <x:c r="J197" s="52" t="s">
        <x:v>623</x:v>
      </x:c>
    </x:row>
    <x:row r="198">
      <x:c r="A198" s="50" t="s">
        <x:v>343</x:v>
      </x:c>
      <x:c r="B198" s="50" t="s">
        <x:v>344</x:v>
      </x:c>
      <x:c r="C198" s="50">
        <x:v>2</x:v>
      </x:c>
      <x:c r="D198" s="50" t="s">
        <x:v>411</x:v>
      </x:c>
      <x:c r="E198" s="52" t="s">
        <x:v>10</x:v>
      </x:c>
      <x:c r="F198" s="51" t="s">
        <x:v>414</x:v>
      </x:c>
      <x:c r="G198" s="51"/>
      <x:c r="H198" s="53"/>
      <x:c r="I198" s="51"/>
      <x:c r="J198" s="52" t="s">
        <x:v>624</x:v>
      </x:c>
    </x:row>
    <x:row r="199">
      <x:c r="A199" s="50" t="s">
        <x:v>343</x:v>
      </x:c>
      <x:c r="B199" s="50" t="s">
        <x:v>344</x:v>
      </x:c>
      <x:c r="C199" s="50">
        <x:v>3</x:v>
      </x:c>
      <x:c r="D199" s="50" t="s">
        <x:v>411</x:v>
      </x:c>
      <x:c r="E199" s="52" t="s">
        <x:v>16</x:v>
      </x:c>
      <x:c r="F199" s="53" t="s">
        <x:v>416</x:v>
      </x:c>
      <x:c r="G199" s="51"/>
      <x:c r="H199" s="53"/>
      <x:c r="I199" s="51"/>
      <x:c r="J199" s="52" t="s">
        <x:v>625</x:v>
      </x:c>
    </x:row>
    <x:row r="200">
      <x:c r="A200" s="50" t="s">
        <x:v>343</x:v>
      </x:c>
      <x:c r="B200" s="50" t="s">
        <x:v>344</x:v>
      </x:c>
      <x:c r="C200" s="50">
        <x:v>4</x:v>
      </x:c>
      <x:c r="D200" s="50" t="s">
        <x:v>411</x:v>
      </x:c>
      <x:c r="E200" s="52" t="s">
        <x:v>10</x:v>
      </x:c>
      <x:c r="F200" s="51" t="s">
        <x:v>414</x:v>
      </x:c>
      <x:c r="G200" s="51"/>
      <x:c r="H200" s="51"/>
      <x:c r="I200" s="51"/>
      <x:c r="J200" s="50" t="s">
        <x:v>626</x:v>
      </x:c>
    </x:row>
    <x:row r="201">
      <x:c r="A201" s="50" t="s">
        <x:v>343</x:v>
      </x:c>
      <x:c r="B201" s="50" t="s">
        <x:v>344</x:v>
      </x:c>
      <x:c r="C201" s="50">
        <x:v>5</x:v>
      </x:c>
      <x:c r="D201" s="50" t="s">
        <x:v>411</x:v>
      </x:c>
      <x:c r="E201" s="52" t="s">
        <x:v>16</x:v>
      </x:c>
      <x:c r="F201" s="53" t="s">
        <x:v>416</x:v>
      </x:c>
      <x:c r="G201" s="51"/>
      <x:c r="H201" s="51"/>
      <x:c r="I201" s="51"/>
      <x:c r="J201" s="57" t="s">
        <x:v>627</x:v>
      </x:c>
    </x:row>
    <x:row r="202">
      <x:c r="A202" s="50" t="s">
        <x:v>343</x:v>
      </x:c>
      <x:c r="B202" s="50" t="s">
        <x:v>344</x:v>
      </x:c>
      <x:c r="C202" s="50">
        <x:v>6</x:v>
      </x:c>
      <x:c r="D202" s="50" t="s">
        <x:v>411</x:v>
      </x:c>
      <x:c r="E202" s="52" t="s">
        <x:v>10</x:v>
      </x:c>
      <x:c r="F202" s="51" t="s">
        <x:v>414</x:v>
      </x:c>
      <x:c r="J202" s="57" t="s">
        <x:v>628</x:v>
      </x:c>
    </x:row>
    <x:row r="203">
      <x:c r="A203" s="50" t="s">
        <x:v>343</x:v>
      </x:c>
      <x:c r="B203" s="50" t="s">
        <x:v>344</x:v>
      </x:c>
      <x:c r="C203" s="50">
        <x:v>7</x:v>
      </x:c>
      <x:c r="D203" s="50" t="s">
        <x:v>411</x:v>
      </x:c>
      <x:c r="E203" s="52" t="s">
        <x:v>16</x:v>
      </x:c>
      <x:c r="F203" s="53" t="s">
        <x:v>416</x:v>
      </x:c>
      <x:c r="J203" s="57" t="s">
        <x:v>629</x:v>
      </x:c>
    </x:row>
    <x:row r="204">
      <x:c r="A204" s="50" t="s">
        <x:v>343</x:v>
      </x:c>
      <x:c r="B204" s="50" t="s">
        <x:v>344</x:v>
      </x:c>
      <x:c r="C204" s="50">
        <x:v>8</x:v>
      </x:c>
      <x:c r="D204" s="50" t="s">
        <x:v>411</x:v>
      </x:c>
      <x:c r="E204" s="52" t="s">
        <x:v>10</x:v>
      </x:c>
      <x:c r="F204" s="51" t="s">
        <x:v>414</x:v>
      </x:c>
      <x:c r="J204" s="57" t="s">
        <x:v>630</x:v>
      </x:c>
    </x:row>
    <x:row r="205">
      <x:c r="A205" s="50" t="s">
        <x:v>343</x:v>
      </x:c>
      <x:c r="B205" s="50" t="s">
        <x:v>344</x:v>
      </x:c>
      <x:c r="C205" s="50">
        <x:v>9</x:v>
      </x:c>
      <x:c r="D205" s="50" t="s">
        <x:v>411</x:v>
      </x:c>
      <x:c r="E205" s="52" t="s">
        <x:v>16</x:v>
      </x:c>
      <x:c r="F205" s="53" t="s">
        <x:v>416</x:v>
      </x:c>
      <x:c r="J205" s="57" t="s">
        <x:v>631</x:v>
      </x:c>
    </x:row>
    <x:row r="206" ht="36">
      <x:c r="A206" s="50" t="s">
        <x:v>345</x:v>
      </x:c>
      <x:c r="B206" s="50" t="s">
        <x:v>346</x:v>
      </x:c>
      <x:c r="C206" s="50">
        <x:v>1</x:v>
      </x:c>
      <x:c r="D206" s="50" t="s">
        <x:v>411</x:v>
      </x:c>
      <x:c r="E206" s="50" t="s">
        <x:v>43</x:v>
      </x:c>
      <x:c r="F206" s="51" t="s">
        <x:v>414</x:v>
      </x:c>
      <x:c r="G206" s="51" t="s">
        <x:v>480</x:v>
      </x:c>
      <x:c r="H206" s="53"/>
      <x:c r="I206" s="51" t="s">
        <x:v>452</x:v>
      </x:c>
      <x:c r="J206" s="50" t="s">
        <x:v>632</x:v>
      </x:c>
    </x:row>
    <x:row r="207" ht="36">
      <x:c r="A207" s="50" t="s">
        <x:v>345</x:v>
      </x:c>
      <x:c r="B207" s="50" t="s">
        <x:v>346</x:v>
      </x:c>
      <x:c r="C207" s="50">
        <x:v>2</x:v>
      </x:c>
      <x:c r="D207" s="50" t="s">
        <x:v>411</x:v>
      </x:c>
      <x:c r="E207" s="50" t="s">
        <x:v>16</x:v>
      </x:c>
      <x:c r="F207" s="53" t="s">
        <x:v>416</x:v>
      </x:c>
      <x:c r="G207" s="51"/>
      <x:c r="H207" s="53"/>
      <x:c r="I207" s="51"/>
      <x:c r="J207" s="54" t="s">
        <x:v>633</x:v>
      </x:c>
    </x:row>
    <x:row r="208">
      <x:c r="A208" s="50" t="s">
        <x:v>349</x:v>
      </x:c>
      <x:c r="B208" s="50" t="s">
        <x:v>350</x:v>
      </x:c>
      <x:c r="C208" s="50">
        <x:v>1</x:v>
      </x:c>
      <x:c r="D208" s="50" t="s">
        <x:v>411</x:v>
      </x:c>
      <x:c r="E208" s="50" t="s">
        <x:v>16</x:v>
      </x:c>
      <x:c r="F208" s="53" t="s">
        <x:v>416</x:v>
      </x:c>
      <x:c r="G208" s="51"/>
      <x:c r="H208" s="53"/>
      <x:c r="I208" s="51" t="s">
        <x:v>452</x:v>
      </x:c>
      <x:c r="J208" s="54" t="s">
        <x:v>634</x:v>
      </x:c>
    </x:row>
    <x:row r="209">
      <x:c r="A209" s="50" t="s">
        <x:v>349</x:v>
      </x:c>
      <x:c r="B209" s="50" t="s">
        <x:v>350</x:v>
      </x:c>
      <x:c r="C209" s="50">
        <x:v>2</x:v>
      </x:c>
      <x:c r="D209" s="50" t="s">
        <x:v>411</x:v>
      </x:c>
      <x:c r="E209" s="50" t="s">
        <x:v>43</x:v>
      </x:c>
      <x:c r="F209" s="51" t="s">
        <x:v>414</x:v>
      </x:c>
      <x:c r="G209" s="51" t="s">
        <x:v>480</x:v>
      </x:c>
      <x:c r="H209" s="53"/>
      <x:c r="I209" s="51"/>
      <x:c r="J209" s="50" t="s">
        <x:v>635</x:v>
      </x:c>
    </x:row>
    <x:row r="210">
      <x:c r="A210" s="50" t="s">
        <x:v>349</x:v>
      </x:c>
      <x:c r="B210" s="50" t="s">
        <x:v>350</x:v>
      </x:c>
      <x:c r="C210" s="50">
        <x:v>3</x:v>
      </x:c>
      <x:c r="D210" s="50" t="s">
        <x:v>411</x:v>
      </x:c>
      <x:c r="E210" s="50" t="s">
        <x:v>16</x:v>
      </x:c>
      <x:c r="F210" s="53" t="s">
        <x:v>416</x:v>
      </x:c>
      <x:c r="G210" s="51"/>
      <x:c r="H210" s="53"/>
      <x:c r="I210" s="51"/>
      <x:c r="J210" s="50" t="s">
        <x:v>636</x:v>
      </x:c>
    </x:row>
    <x:row r="211">
      <x:c r="A211" s="50" t="s">
        <x:v>349</x:v>
      </x:c>
      <x:c r="B211" s="50" t="s">
        <x:v>350</x:v>
      </x:c>
      <x:c r="C211" s="50">
        <x:v>4</x:v>
      </x:c>
      <x:c r="D211" s="50" t="s">
        <x:v>411</x:v>
      </x:c>
      <x:c r="E211" s="50" t="s">
        <x:v>43</x:v>
      </x:c>
      <x:c r="F211" s="51" t="s">
        <x:v>414</x:v>
      </x:c>
      <x:c r="G211" s="51" t="s">
        <x:v>480</x:v>
      </x:c>
      <x:c r="H211" s="51"/>
      <x:c r="I211" s="51"/>
      <x:c r="J211" s="50" t="s">
        <x:v>637</x:v>
      </x:c>
    </x:row>
    <x:row r="212">
      <x:c r="A212" s="50" t="s">
        <x:v>349</x:v>
      </x:c>
      <x:c r="B212" s="50" t="s">
        <x:v>350</x:v>
      </x:c>
      <x:c r="C212" s="50">
        <x:v>5</x:v>
      </x:c>
      <x:c r="D212" s="50" t="s">
        <x:v>411</x:v>
      </x:c>
      <x:c r="E212" s="50" t="s">
        <x:v>16</x:v>
      </x:c>
      <x:c r="F212" s="53" t="s">
        <x:v>416</x:v>
      </x:c>
      <x:c r="G212" s="51"/>
      <x:c r="H212" s="51"/>
      <x:c r="I212" s="51"/>
      <x:c r="J212" s="50" t="s">
        <x:v>638</x:v>
      </x:c>
    </x:row>
    <x:row r="213">
      <x:c r="A213" s="50" t="s">
        <x:v>349</x:v>
      </x:c>
      <x:c r="B213" s="50" t="s">
        <x:v>350</x:v>
      </x:c>
      <x:c r="C213" s="50">
        <x:v>6</x:v>
      </x:c>
      <x:c r="D213" s="50" t="s">
        <x:v>411</x:v>
      </x:c>
      <x:c r="E213" s="50" t="s">
        <x:v>43</x:v>
      </x:c>
      <x:c r="F213" s="51" t="s">
        <x:v>414</x:v>
      </x:c>
      <x:c r="G213" s="51" t="s">
        <x:v>480</x:v>
      </x:c>
      <x:c r="J213" s="32" t="s">
        <x:v>639</x:v>
      </x:c>
    </x:row>
    <x:row r="214">
      <x:c r="A214" s="50" t="s">
        <x:v>349</x:v>
      </x:c>
      <x:c r="B214" s="50" t="s">
        <x:v>350</x:v>
      </x:c>
      <x:c r="C214" s="50">
        <x:v>7</x:v>
      </x:c>
      <x:c r="D214" s="50" t="s">
        <x:v>411</x:v>
      </x:c>
      <x:c r="E214" s="50" t="s">
        <x:v>16</x:v>
      </x:c>
      <x:c r="F214" s="53" t="s">
        <x:v>416</x:v>
      </x:c>
      <x:c r="J214" s="32" t="s">
        <x:v>596</x:v>
      </x:c>
    </x:row>
    <x:row r="215">
      <x:c r="A215" s="50" t="s">
        <x:v>351</x:v>
      </x:c>
      <x:c r="B215" s="50" t="s">
        <x:v>352</x:v>
      </x:c>
      <x:c r="C215" s="50">
        <x:v>1</x:v>
      </x:c>
      <x:c r="D215" s="50" t="s">
        <x:v>411</x:v>
      </x:c>
      <x:c r="E215" s="67" t="s">
        <x:v>16</x:v>
      </x:c>
      <x:c r="F215" s="53" t="s">
        <x:v>416</x:v>
      </x:c>
      <x:c r="G215" s="51"/>
      <x:c r="H215" s="53"/>
      <x:c r="I215" s="51" t="s">
        <x:v>452</x:v>
      </x:c>
      <x:c r="J215" s="50" t="s">
        <x:v>451</x:v>
      </x:c>
    </x:row>
    <x:row r="216">
      <x:c r="A216" s="50" t="s">
        <x:v>353</x:v>
      </x:c>
      <x:c r="B216" s="50" t="s">
        <x:v>354</x:v>
      </x:c>
      <x:c r="C216" s="50">
        <x:v>1</x:v>
      </x:c>
      <x:c r="D216" s="50" t="s">
        <x:v>408</x:v>
      </x:c>
      <x:c r="E216" s="50"/>
      <x:c r="F216" s="51"/>
      <x:c r="G216" s="51"/>
      <x:c r="H216" s="53"/>
      <x:c r="I216" s="51" t="s">
        <x:v>452</x:v>
      </x:c>
      <x:c r="J216" s="50" t="s">
        <x:v>640</x:v>
      </x:c>
    </x:row>
    <x:row r="217">
      <x:c r="A217" s="50" t="s">
        <x:v>353</x:v>
      </x:c>
      <x:c r="B217" s="50" t="s">
        <x:v>354</x:v>
      </x:c>
      <x:c r="C217" s="50">
        <x:v>2</x:v>
      </x:c>
      <x:c r="D217" s="50" t="s">
        <x:v>411</x:v>
      </x:c>
      <x:c r="E217" s="67" t="s">
        <x:v>23</x:v>
      </x:c>
      <x:c r="F217" s="68" t="s">
        <x:v>414</x:v>
      </x:c>
      <x:c r="G217" s="51"/>
      <x:c r="H217" s="53"/>
      <x:c r="I217" s="51"/>
      <x:c r="J217" s="67" t="s">
        <x:v>641</x:v>
      </x:c>
    </x:row>
    <x:row r="218">
      <x:c r="A218" s="50" t="s">
        <x:v>353</x:v>
      </x:c>
      <x:c r="B218" s="50" t="s">
        <x:v>354</x:v>
      </x:c>
      <x:c r="C218" s="50">
        <x:v>3</x:v>
      </x:c>
      <x:c r="D218" s="50" t="s">
        <x:v>411</x:v>
      </x:c>
      <x:c r="E218" s="67" t="s">
        <x:v>16</x:v>
      </x:c>
      <x:c r="F218" s="53" t="s">
        <x:v>416</x:v>
      </x:c>
      <x:c r="G218" s="51"/>
      <x:c r="H218" s="53"/>
      <x:c r="I218" s="51"/>
      <x:c r="J218" s="67" t="s">
        <x:v>642</x:v>
      </x:c>
    </x:row>
    <x:row r="219">
      <x:c r="A219" s="50" t="s">
        <x:v>353</x:v>
      </x:c>
      <x:c r="B219" s="50" t="s">
        <x:v>354</x:v>
      </x:c>
      <x:c r="C219" s="50">
        <x:v>4</x:v>
      </x:c>
      <x:c r="D219" s="50" t="s">
        <x:v>411</x:v>
      </x:c>
      <x:c r="E219" s="67" t="s">
        <x:v>16</x:v>
      </x:c>
      <x:c r="F219" s="53" t="s">
        <x:v>416</x:v>
      </x:c>
      <x:c r="G219" s="51"/>
      <x:c r="H219" s="51"/>
      <x:c r="I219" s="51" t="s">
        <x:v>643</x:v>
      </x:c>
      <x:c r="J219" s="67" t="s">
        <x:v>644</x:v>
      </x:c>
    </x:row>
    <x:row r="220">
      <x:c r="A220" s="50" t="s">
        <x:v>353</x:v>
      </x:c>
      <x:c r="B220" s="50" t="s">
        <x:v>354</x:v>
      </x:c>
      <x:c r="C220" s="50">
        <x:v>5</x:v>
      </x:c>
      <x:c r="D220" s="50" t="s">
        <x:v>411</x:v>
      </x:c>
      <x:c r="E220" s="67" t="s">
        <x:v>23</x:v>
      </x:c>
      <x:c r="F220" s="68" t="s">
        <x:v>414</x:v>
      </x:c>
      <x:c r="G220" s="51"/>
      <x:c r="H220" s="51"/>
      <x:c r="I220" s="51"/>
      <x:c r="J220" s="67" t="s">
        <x:v>645</x:v>
      </x:c>
    </x:row>
    <x:row r="221">
      <x:c r="A221" s="50" t="s">
        <x:v>353</x:v>
      </x:c>
      <x:c r="B221" s="50" t="s">
        <x:v>354</x:v>
      </x:c>
      <x:c r="C221" s="50">
        <x:v>6</x:v>
      </x:c>
      <x:c r="D221" s="50" t="s">
        <x:v>411</x:v>
      </x:c>
      <x:c r="E221" s="67" t="s">
        <x:v>16</x:v>
      </x:c>
      <x:c r="F221" s="53" t="s">
        <x:v>416</x:v>
      </x:c>
      <x:c r="J221" s="69" t="s">
        <x:v>646</x:v>
      </x:c>
    </x:row>
    <x:row r="222">
      <x:c r="A222" s="50" t="s">
        <x:v>355</x:v>
      </x:c>
      <x:c r="B222" s="50" t="s">
        <x:v>356</x:v>
      </x:c>
      <x:c r="C222" s="50">
        <x:v>1</x:v>
      </x:c>
      <x:c r="D222" s="50" t="s">
        <x:v>411</x:v>
      </x:c>
      <x:c r="E222" s="52" t="s">
        <x:v>45</x:v>
      </x:c>
      <x:c r="F222" s="53" t="s">
        <x:v>414</x:v>
      </x:c>
      <x:c r="G222" s="51"/>
      <x:c r="H222" s="53"/>
      <x:c r="I222" s="51" t="s">
        <x:v>452</x:v>
      </x:c>
      <x:c r="J222" s="52" t="s">
        <x:v>647</x:v>
      </x:c>
    </x:row>
    <x:row r="223">
      <x:c r="A223" s="50" t="s">
        <x:v>355</x:v>
      </x:c>
      <x:c r="B223" s="50" t="s">
        <x:v>356</x:v>
      </x:c>
      <x:c r="C223" s="50">
        <x:v>2</x:v>
      </x:c>
      <x:c r="D223" s="50" t="s">
        <x:v>411</x:v>
      </x:c>
      <x:c r="E223" s="52" t="s">
        <x:v>16</x:v>
      </x:c>
      <x:c r="F223" s="53" t="s">
        <x:v>416</x:v>
      </x:c>
      <x:c r="G223" s="51"/>
      <x:c r="H223" s="53"/>
      <x:c r="I223" s="51"/>
      <x:c r="J223" s="52" t="s">
        <x:v>648</x:v>
      </x:c>
    </x:row>
    <x:row r="224">
      <x:c r="A224" s="50" t="s">
        <x:v>355</x:v>
      </x:c>
      <x:c r="B224" s="50" t="s">
        <x:v>356</x:v>
      </x:c>
      <x:c r="C224" s="50">
        <x:v>3</x:v>
      </x:c>
      <x:c r="D224" s="50" t="s">
        <x:v>411</x:v>
      </x:c>
      <x:c r="E224" s="52" t="s">
        <x:v>45</x:v>
      </x:c>
      <x:c r="F224" s="53" t="s">
        <x:v>414</x:v>
      </x:c>
      <x:c r="G224" s="51"/>
      <x:c r="H224" s="53"/>
      <x:c r="I224" s="51"/>
      <x:c r="J224" s="52" t="s">
        <x:v>649</x:v>
      </x:c>
    </x:row>
    <x:row r="225">
      <x:c r="A225" s="50" t="s">
        <x:v>355</x:v>
      </x:c>
      <x:c r="B225" s="50" t="s">
        <x:v>356</x:v>
      </x:c>
      <x:c r="C225" s="50">
        <x:v>4</x:v>
      </x:c>
      <x:c r="D225" s="50" t="s">
        <x:v>411</x:v>
      </x:c>
      <x:c r="E225" s="52" t="s">
        <x:v>16</x:v>
      </x:c>
      <x:c r="F225" s="53" t="s">
        <x:v>416</x:v>
      </x:c>
      <x:c r="G225" s="51"/>
      <x:c r="H225" s="51"/>
      <x:c r="I225" s="51"/>
      <x:c r="J225" s="52" t="s">
        <x:v>650</x:v>
      </x:c>
    </x:row>
    <x:row r="226">
      <x:c r="A226" s="50" t="s">
        <x:v>355</x:v>
      </x:c>
      <x:c r="B226" s="50" t="s">
        <x:v>356</x:v>
      </x:c>
      <x:c r="C226" s="50">
        <x:v>5</x:v>
      </x:c>
      <x:c r="D226" s="50" t="s">
        <x:v>411</x:v>
      </x:c>
      <x:c r="E226" s="52" t="s">
        <x:v>45</x:v>
      </x:c>
      <x:c r="F226" s="53" t="s">
        <x:v>414</x:v>
      </x:c>
      <x:c r="G226" s="51"/>
      <x:c r="H226" s="51"/>
      <x:c r="I226" s="51"/>
      <x:c r="J226" s="52" t="s">
        <x:v>651</x:v>
      </x:c>
    </x:row>
    <x:row r="227">
      <x:c r="A227" s="50" t="s">
        <x:v>357</x:v>
      </x:c>
      <x:c r="B227" s="50" t="s">
        <x:v>358</x:v>
      </x:c>
      <x:c r="C227" s="50">
        <x:v>1</x:v>
      </x:c>
      <x:c r="D227" s="50" t="s">
        <x:v>408</x:v>
      </x:c>
      <x:c r="E227" s="67"/>
      <x:c r="F227" s="51"/>
      <x:c r="G227" s="51"/>
      <x:c r="H227" s="53"/>
      <x:c r="I227" s="51" t="s">
        <x:v>452</x:v>
      </x:c>
      <x:c r="J227" s="67" t="s">
        <x:v>652</x:v>
      </x:c>
    </x:row>
    <x:row r="228">
      <x:c r="A228" s="50" t="s">
        <x:v>357</x:v>
      </x:c>
      <x:c r="B228" s="50" t="s">
        <x:v>358</x:v>
      </x:c>
      <x:c r="C228" s="50">
        <x:v>2</x:v>
      </x:c>
      <x:c r="D228" s="50" t="s">
        <x:v>411</x:v>
      </x:c>
      <x:c r="E228" s="67" t="s">
        <x:v>16</x:v>
      </x:c>
      <x:c r="F228" s="51" t="s">
        <x:v>412</x:v>
      </x:c>
      <x:c r="G228" s="51"/>
      <x:c r="H228" s="53"/>
      <x:c r="I228" s="51"/>
      <x:c r="J228" s="67" t="s">
        <x:v>653</x:v>
      </x:c>
    </x:row>
    <x:row r="229">
      <x:c r="A229" s="50" t="s">
        <x:v>357</x:v>
      </x:c>
      <x:c r="B229" s="50" t="s">
        <x:v>358</x:v>
      </x:c>
      <x:c r="C229" s="50">
        <x:v>3</x:v>
      </x:c>
      <x:c r="D229" s="50" t="s">
        <x:v>411</x:v>
      </x:c>
      <x:c r="E229" s="67" t="s">
        <x:v>47</x:v>
      </x:c>
      <x:c r="F229" s="51" t="s">
        <x:v>414</x:v>
      </x:c>
      <x:c r="G229" s="51"/>
      <x:c r="H229" s="53"/>
      <x:c r="I229" s="51" t="s">
        <x:v>654</x:v>
      </x:c>
      <x:c r="J229" s="67" t="s">
        <x:v>655</x:v>
      </x:c>
    </x:row>
    <x:row r="230">
      <x:c r="A230" s="50" t="s">
        <x:v>357</x:v>
      </x:c>
      <x:c r="B230" s="50" t="s">
        <x:v>358</x:v>
      </x:c>
      <x:c r="C230" s="50">
        <x:v>4</x:v>
      </x:c>
      <x:c r="D230" s="50" t="s">
        <x:v>411</x:v>
      </x:c>
      <x:c r="E230" s="67" t="s">
        <x:v>16</x:v>
      </x:c>
      <x:c r="F230" s="51" t="s">
        <x:v>412</x:v>
      </x:c>
      <x:c r="G230" s="51"/>
      <x:c r="H230" s="51"/>
      <x:c r="I230" s="51" t="s">
        <x:v>656</x:v>
      </x:c>
      <x:c r="J230" s="67" t="s">
        <x:v>638</x:v>
      </x:c>
    </x:row>
    <x:row r="231">
      <x:c r="A231" s="50" t="s">
        <x:v>357</x:v>
      </x:c>
      <x:c r="B231" s="50" t="s">
        <x:v>358</x:v>
      </x:c>
      <x:c r="C231" s="50">
        <x:v>5</x:v>
      </x:c>
      <x:c r="D231" s="50" t="s">
        <x:v>408</x:v>
      </x:c>
      <x:c r="E231" s="50"/>
      <x:c r="F231" s="51"/>
      <x:c r="G231" s="51"/>
      <x:c r="H231" s="51"/>
      <x:c r="I231" s="51" t="s">
        <x:v>657</x:v>
      </x:c>
      <x:c r="J231" s="67" t="s">
        <x:v>658</x:v>
      </x:c>
    </x:row>
    <x:row r="232">
      <x:c r="A232" s="50" t="s">
        <x:v>357</x:v>
      </x:c>
      <x:c r="B232" s="50" t="s">
        <x:v>358</x:v>
      </x:c>
      <x:c r="C232" s="50">
        <x:v>6</x:v>
      </x:c>
      <x:c r="D232" s="50" t="s">
        <x:v>411</x:v>
      </x:c>
      <x:c r="E232" s="67" t="s">
        <x:v>47</x:v>
      </x:c>
      <x:c r="F232" s="51" t="s">
        <x:v>414</x:v>
      </x:c>
      <x:c r="J232" s="69" t="s">
        <x:v>659</x:v>
      </x:c>
    </x:row>
    <x:row r="233">
      <x:c r="A233" s="50" t="s">
        <x:v>357</x:v>
      </x:c>
      <x:c r="B233" s="50" t="s">
        <x:v>358</x:v>
      </x:c>
      <x:c r="C233" s="50">
        <x:v>7</x:v>
      </x:c>
      <x:c r="D233" s="50" t="s">
        <x:v>411</x:v>
      </x:c>
      <x:c r="E233" s="67" t="s">
        <x:v>16</x:v>
      </x:c>
      <x:c r="F233" s="51" t="s">
        <x:v>412</x:v>
      </x:c>
      <x:c r="G233" s="51"/>
      <x:c r="H233" s="57" t="s">
        <x:v>534</x:v>
      </x:c>
      <x:c r="I233" s="51"/>
      <x:c r="J233" s="67" t="s">
        <x:v>638</x:v>
      </x:c>
    </x:row>
    <x:row r="234">
      <x:c r="A234" s="50" t="s">
        <x:v>357</x:v>
      </x:c>
      <x:c r="B234" s="50" t="s">
        <x:v>358</x:v>
      </x:c>
      <x:c r="C234" s="50">
        <x:v>8</x:v>
      </x:c>
      <x:c r="D234" s="50" t="s">
        <x:v>411</x:v>
      </x:c>
      <x:c r="E234" s="69" t="s">
        <x:v>14</x:v>
      </x:c>
      <x:c r="F234" s="68" t="s">
        <x:v>416</x:v>
      </x:c>
      <x:c r="H234" s="57" t="s">
        <x:v>534</x:v>
      </x:c>
      <x:c r="I234" s="51" t="s">
        <x:v>452</x:v>
      </x:c>
      <x:c r="J234" s="69" t="s">
        <x:v>660</x:v>
      </x:c>
    </x:row>
    <x:row r="235">
      <x:c r="A235" s="50" t="s">
        <x:v>357</x:v>
      </x:c>
      <x:c r="B235" s="50" t="s">
        <x:v>358</x:v>
      </x:c>
      <x:c r="C235" s="50">
        <x:v>9</x:v>
      </x:c>
      <x:c r="D235" s="50" t="s">
        <x:v>411</x:v>
      </x:c>
      <x:c r="E235" s="69" t="s">
        <x:v>33</x:v>
      </x:c>
      <x:c r="F235" s="68" t="s">
        <x:v>414</x:v>
      </x:c>
      <x:c r="J235" s="69" t="s">
        <x:v>661</x:v>
      </x:c>
    </x:row>
    <x:row r="236">
      <x:c r="A236" s="50" t="s">
        <x:v>357</x:v>
      </x:c>
      <x:c r="B236" s="50" t="s">
        <x:v>358</x:v>
      </x:c>
      <x:c r="C236" s="50">
        <x:v>10</x:v>
      </x:c>
      <x:c r="D236" s="50" t="s">
        <x:v>411</x:v>
      </x:c>
      <x:c r="E236" s="69" t="s">
        <x:v>45</x:v>
      </x:c>
      <x:c r="F236" s="51" t="s">
        <x:v>414</x:v>
      </x:c>
      <x:c r="G236" s="69" t="s">
        <x:v>662</x:v>
      </x:c>
      <x:c r="H236" s="57" t="s">
        <x:v>534</x:v>
      </x:c>
      <x:c r="J236" s="69" t="s">
        <x:v>663</x:v>
      </x:c>
    </x:row>
    <x:row r="237">
      <x:c r="A237" s="50" t="s">
        <x:v>357</x:v>
      </x:c>
      <x:c r="B237" s="50" t="s">
        <x:v>358</x:v>
      </x:c>
      <x:c r="C237" s="50">
        <x:v>11</x:v>
      </x:c>
      <x:c r="D237" s="50" t="s">
        <x:v>408</x:v>
      </x:c>
      <x:c r="F237" s="51"/>
      <x:c r="I237" s="51" t="s">
        <x:v>664</x:v>
      </x:c>
      <x:c r="J237" s="57" t="s">
        <x:v>665</x:v>
      </x:c>
    </x:row>
    <x:row r="238">
      <x:c r="A238" s="50" t="s">
        <x:v>357</x:v>
      </x:c>
      <x:c r="B238" s="50" t="s">
        <x:v>358</x:v>
      </x:c>
      <x:c r="C238" s="50">
        <x:v>12</x:v>
      </x:c>
      <x:c r="D238" s="50" t="s">
        <x:v>411</x:v>
      </x:c>
      <x:c r="E238" s="69" t="s">
        <x:v>33</x:v>
      </x:c>
      <x:c r="F238" s="51" t="s">
        <x:v>414</x:v>
      </x:c>
      <x:c r="J238" s="57" t="s">
        <x:v>666</x:v>
      </x:c>
    </x:row>
    <x:row r="239">
      <x:c r="A239" s="50" t="s">
        <x:v>357</x:v>
      </x:c>
      <x:c r="B239" s="50" t="s">
        <x:v>358</x:v>
      </x:c>
      <x:c r="C239" s="50">
        <x:v>13</x:v>
      </x:c>
      <x:c r="D239" s="50" t="s">
        <x:v>411</x:v>
      </x:c>
      <x:c r="E239" s="57" t="s">
        <x:v>29</x:v>
      </x:c>
      <x:c r="F239" s="68" t="s">
        <x:v>416</x:v>
      </x:c>
      <x:c r="J239" s="57" t="s">
        <x:v>667</x:v>
      </x:c>
    </x:row>
    <x:row r="240">
      <x:c r="A240" s="50" t="s">
        <x:v>357</x:v>
      </x:c>
      <x:c r="B240" s="50" t="s">
        <x:v>358</x:v>
      </x:c>
      <x:c r="C240" s="50">
        <x:v>14</x:v>
      </x:c>
      <x:c r="D240" s="50" t="s">
        <x:v>411</x:v>
      </x:c>
      <x:c r="E240" s="57" t="s">
        <x:v>49</x:v>
      </x:c>
      <x:c r="F240" s="53" t="s">
        <x:v>412</x:v>
      </x:c>
      <x:c r="J240" s="57" t="s">
        <x:v>668</x:v>
      </x:c>
    </x:row>
    <x:row r="241">
      <x:c r="A241" s="50" t="s">
        <x:v>357</x:v>
      </x:c>
      <x:c r="B241" s="50" t="s">
        <x:v>358</x:v>
      </x:c>
      <x:c r="C241" s="50">
        <x:v>15</x:v>
      </x:c>
      <x:c r="D241" s="50" t="s">
        <x:v>411</x:v>
      </x:c>
      <x:c r="E241" s="67" t="s">
        <x:v>16</x:v>
      </x:c>
      <x:c r="F241" s="51" t="s">
        <x:v>414</x:v>
      </x:c>
      <x:c r="J241" s="57" t="s">
        <x:v>669</x:v>
      </x:c>
    </x:row>
    <x:row r="242">
      <x:c r="A242" s="50" t="s">
        <x:v>357</x:v>
      </x:c>
      <x:c r="B242" s="50" t="s">
        <x:v>358</x:v>
      </x:c>
      <x:c r="C242" s="50">
        <x:v>16</x:v>
      </x:c>
      <x:c r="D242" s="50" t="s">
        <x:v>408</x:v>
      </x:c>
      <x:c r="F242" s="51"/>
      <x:c r="J242" s="57" t="s">
        <x:v>670</x:v>
      </x:c>
    </x:row>
    <x:row r="243">
      <x:c r="A243" s="50" t="s">
        <x:v>359</x:v>
      </x:c>
      <x:c r="B243" s="50" t="s">
        <x:v>360</x:v>
      </x:c>
      <x:c r="C243" s="50">
        <x:v>1</x:v>
      </x:c>
      <x:c r="D243" s="50" t="s">
        <x:v>408</x:v>
      </x:c>
      <x:c r="E243" s="50"/>
      <x:c r="F243" s="51"/>
      <x:c r="G243" s="51"/>
      <x:c r="H243" s="53"/>
      <x:c r="I243" s="51" t="s">
        <x:v>671</x:v>
      </x:c>
      <x:c r="J243" s="52" t="s">
        <x:v>672</x:v>
      </x:c>
    </x:row>
    <x:row r="244">
      <x:c r="A244" s="50" t="s">
        <x:v>359</x:v>
      </x:c>
      <x:c r="B244" s="50" t="s">
        <x:v>360</x:v>
      </x:c>
      <x:c r="C244" s="50">
        <x:v>2</x:v>
      </x:c>
      <x:c r="D244" s="50" t="s">
        <x:v>408</x:v>
      </x:c>
      <x:c r="E244" s="50"/>
      <x:c r="F244" s="51"/>
      <x:c r="G244" s="51"/>
      <x:c r="H244" s="53"/>
      <x:c r="I244" s="51"/>
      <x:c r="J244" s="52" t="s">
        <x:v>673</x:v>
      </x:c>
    </x:row>
    <x:row r="245">
      <x:c r="A245" s="50" t="s">
        <x:v>359</x:v>
      </x:c>
      <x:c r="B245" s="50" t="s">
        <x:v>360</x:v>
      </x:c>
      <x:c r="C245" s="50">
        <x:v>3</x:v>
      </x:c>
      <x:c r="D245" s="50" t="s">
        <x:v>408</x:v>
      </x:c>
      <x:c r="E245" s="50"/>
      <x:c r="F245" s="53"/>
      <x:c r="G245" s="51"/>
      <x:c r="H245" s="53"/>
      <x:c r="I245" s="51"/>
      <x:c r="J245" s="52" t="s">
        <x:v>674</x:v>
      </x:c>
    </x:row>
    <x:row r="246">
      <x:c r="A246" s="50" t="s">
        <x:v>359</x:v>
      </x:c>
      <x:c r="B246" s="50" t="s">
        <x:v>360</x:v>
      </x:c>
      <x:c r="C246" s="50">
        <x:v>4</x:v>
      </x:c>
      <x:c r="D246" s="50" t="s">
        <x:v>411</x:v>
      </x:c>
      <x:c r="E246" s="52" t="s">
        <x:v>16</x:v>
      </x:c>
      <x:c r="F246" s="53" t="s">
        <x:v>416</x:v>
      </x:c>
      <x:c r="G246" s="51"/>
      <x:c r="H246" s="51"/>
      <x:c r="I246" s="51"/>
      <x:c r="J246" s="52" t="s">
        <x:v>675</x:v>
      </x:c>
    </x:row>
    <x:row r="247">
      <x:c r="A247" s="50" t="s">
        <x:v>359</x:v>
      </x:c>
      <x:c r="B247" s="50" t="s">
        <x:v>360</x:v>
      </x:c>
      <x:c r="C247" s="50">
        <x:v>5</x:v>
      </x:c>
      <x:c r="D247" s="50" t="s">
        <x:v>411</x:v>
      </x:c>
      <x:c r="E247" s="52" t="s">
        <x:v>18</x:v>
      </x:c>
      <x:c r="F247" s="53" t="s">
        <x:v>412</x:v>
      </x:c>
      <x:c r="G247" s="51"/>
      <x:c r="H247" s="51"/>
      <x:c r="I247" s="51"/>
      <x:c r="J247" s="52" t="s">
        <x:v>676</x:v>
      </x:c>
    </x:row>
    <x:row r="248">
      <x:c r="A248" s="50" t="s">
        <x:v>359</x:v>
      </x:c>
      <x:c r="B248" s="50" t="s">
        <x:v>360</x:v>
      </x:c>
      <x:c r="C248" s="50">
        <x:v>6</x:v>
      </x:c>
      <x:c r="D248" s="50" t="s">
        <x:v>411</x:v>
      </x:c>
      <x:c r="E248" s="57" t="s">
        <x:v>29</x:v>
      </x:c>
      <x:c r="F248" s="53" t="s">
        <x:v>414</x:v>
      </x:c>
      <x:c r="J248" s="32" t="s">
        <x:v>677</x:v>
      </x:c>
    </x:row>
    <x:row r="249">
      <x:c r="A249" s="50" t="s">
        <x:v>359</x:v>
      </x:c>
      <x:c r="B249" s="50" t="s">
        <x:v>360</x:v>
      </x:c>
      <x:c r="C249" s="50">
        <x:v>7</x:v>
      </x:c>
      <x:c r="D249" s="50" t="s">
        <x:v>411</x:v>
      </x:c>
      <x:c r="E249" s="52" t="s">
        <x:v>16</x:v>
      </x:c>
      <x:c r="F249" s="53" t="s">
        <x:v>416</x:v>
      </x:c>
      <x:c r="J249" s="57" t="s">
        <x:v>678</x:v>
      </x:c>
    </x:row>
    <x:row r="250">
      <x:c r="A250" s="50" t="s">
        <x:v>359</x:v>
      </x:c>
      <x:c r="B250" s="50" t="s">
        <x:v>360</x:v>
      </x:c>
      <x:c r="C250" s="50">
        <x:v>8</x:v>
      </x:c>
      <x:c r="D250" s="50" t="s">
        <x:v>411</x:v>
      </x:c>
      <x:c r="E250" s="57" t="s">
        <x:v>29</x:v>
      </x:c>
      <x:c r="F250" s="53" t="s">
        <x:v>414</x:v>
      </x:c>
      <x:c r="J250" s="57" t="s">
        <x:v>679</x:v>
      </x:c>
    </x:row>
    <x:row r="251">
      <x:c r="A251" s="50" t="s">
        <x:v>359</x:v>
      </x:c>
      <x:c r="B251" s="50" t="s">
        <x:v>360</x:v>
      </x:c>
      <x:c r="C251" s="50">
        <x:v>9</x:v>
      </x:c>
      <x:c r="D251" s="50" t="s">
        <x:v>411</x:v>
      </x:c>
      <x:c r="E251" s="52" t="s">
        <x:v>16</x:v>
      </x:c>
      <x:c r="F251" s="53" t="s">
        <x:v>416</x:v>
      </x:c>
      <x:c r="J251" s="57" t="s">
        <x:v>680</x:v>
      </x:c>
    </x:row>
    <x:row r="252">
      <x:c r="A252" s="50" t="s">
        <x:v>359</x:v>
      </x:c>
      <x:c r="B252" s="50" t="s">
        <x:v>360</x:v>
      </x:c>
      <x:c r="C252" s="50">
        <x:v>10</x:v>
      </x:c>
      <x:c r="D252" s="50" t="s">
        <x:v>411</x:v>
      </x:c>
      <x:c r="E252" s="57" t="s">
        <x:v>29</x:v>
      </x:c>
      <x:c r="F252" s="53" t="s">
        <x:v>414</x:v>
      </x:c>
      <x:c r="J252" s="57" t="s">
        <x:v>681</x:v>
      </x:c>
    </x:row>
    <x:row r="253">
      <x:c r="A253" s="50" t="s">
        <x:v>359</x:v>
      </x:c>
      <x:c r="B253" s="50" t="s">
        <x:v>360</x:v>
      </x:c>
      <x:c r="C253" s="50">
        <x:v>11</x:v>
      </x:c>
      <x:c r="D253" s="50" t="s">
        <x:v>408</x:v>
      </x:c>
      <x:c r="F253" s="51"/>
      <x:c r="J253" s="57" t="s">
        <x:v>492</x:v>
      </x:c>
    </x:row>
    <x:row r="254">
      <x:c r="A254" s="50" t="s">
        <x:v>361</x:v>
      </x:c>
      <x:c r="B254" s="50" t="s">
        <x:v>362</x:v>
      </x:c>
      <x:c r="C254" s="50">
        <x:v>1</x:v>
      </x:c>
      <x:c r="D254" s="50" t="s">
        <x:v>411</x:v>
      </x:c>
      <x:c r="E254" s="50" t="s">
        <x:v>53</x:v>
      </x:c>
      <x:c r="F254" s="51" t="s">
        <x:v>414</x:v>
      </x:c>
      <x:c r="G254" s="51"/>
      <x:c r="H254" s="53"/>
      <x:c r="I254" s="51" t="s">
        <x:v>452</x:v>
      </x:c>
      <x:c r="J254" s="50" t="s">
        <x:v>682</x:v>
      </x:c>
    </x:row>
    <x:row r="255">
      <x:c r="A255" s="50" t="s">
        <x:v>361</x:v>
      </x:c>
      <x:c r="B255" s="50" t="s">
        <x:v>362</x:v>
      </x:c>
      <x:c r="C255" s="50">
        <x:v>2</x:v>
      </x:c>
      <x:c r="D255" s="50" t="s">
        <x:v>411</x:v>
      </x:c>
      <x:c r="E255" s="50" t="s">
        <x:v>16</x:v>
      </x:c>
      <x:c r="F255" s="53" t="s">
        <x:v>416</x:v>
      </x:c>
      <x:c r="G255" s="51"/>
      <x:c r="H255" s="53"/>
      <x:c r="I255" s="51"/>
      <x:c r="J255" s="50" t="s">
        <x:v>683</x:v>
      </x:c>
    </x:row>
    <x:row r="256">
      <x:c r="A256" s="50" t="s">
        <x:v>365</x:v>
      </x:c>
      <x:c r="B256" s="50" t="s">
        <x:v>366</x:v>
      </x:c>
      <x:c r="C256" s="50">
        <x:v>1</x:v>
      </x:c>
      <x:c r="D256" s="50" t="s">
        <x:v>411</x:v>
      </x:c>
      <x:c r="E256" s="50" t="s">
        <x:v>53</x:v>
      </x:c>
      <x:c r="F256" s="51" t="s">
        <x:v>416</x:v>
      </x:c>
      <x:c r="G256" s="51"/>
      <x:c r="H256" s="53"/>
      <x:c r="I256" s="51" t="s">
        <x:v>452</x:v>
      </x:c>
      <x:c r="J256" s="50" t="s">
        <x:v>684</x:v>
      </x:c>
    </x:row>
    <x:row r="257">
      <x:c r="A257" s="50" t="s">
        <x:v>365</x:v>
      </x:c>
      <x:c r="B257" s="50" t="s">
        <x:v>366</x:v>
      </x:c>
      <x:c r="C257" s="50">
        <x:v>2</x:v>
      </x:c>
      <x:c r="D257" s="50" t="s">
        <x:v>411</x:v>
      </x:c>
      <x:c r="E257" s="50" t="s">
        <x:v>16</x:v>
      </x:c>
      <x:c r="F257" s="51" t="s">
        <x:v>412</x:v>
      </x:c>
      <x:c r="G257" s="51"/>
      <x:c r="H257" s="53"/>
      <x:c r="I257" s="51"/>
      <x:c r="J257" s="50" t="s">
        <x:v>685</x:v>
      </x:c>
    </x:row>
    <x:row r="258">
      <x:c r="A258" s="50" t="s">
        <x:v>365</x:v>
      </x:c>
      <x:c r="B258" s="50" t="s">
        <x:v>366</x:v>
      </x:c>
      <x:c r="C258" s="50">
        <x:v>3</x:v>
      </x:c>
      <x:c r="D258" s="50" t="s">
        <x:v>411</x:v>
      </x:c>
      <x:c r="E258" s="50" t="s">
        <x:v>16</x:v>
      </x:c>
      <x:c r="F258" s="51" t="s">
        <x:v>412</x:v>
      </x:c>
      <x:c r="G258" s="51"/>
      <x:c r="H258" s="53"/>
      <x:c r="I258" s="51"/>
      <x:c r="J258" s="54" t="s">
        <x:v>686</x:v>
      </x:c>
    </x:row>
    <x:row r="259">
      <x:c r="A259" s="50" t="s">
        <x:v>365</x:v>
      </x:c>
      <x:c r="B259" s="50" t="s">
        <x:v>366</x:v>
      </x:c>
      <x:c r="C259" s="50">
        <x:v>4</x:v>
      </x:c>
      <x:c r="D259" s="50" t="s">
        <x:v>411</x:v>
      </x:c>
      <x:c r="E259" s="50" t="s">
        <x:v>23</x:v>
      </x:c>
      <x:c r="F259" s="51" t="s">
        <x:v>414</x:v>
      </x:c>
      <x:c r="G259" s="51"/>
      <x:c r="H259" s="51"/>
      <x:c r="I259" s="51"/>
      <x:c r="J259" s="50" t="s">
        <x:v>687</x:v>
      </x:c>
    </x:row>
    <x:row r="260">
      <x:c r="A260" s="50" t="s">
        <x:v>365</x:v>
      </x:c>
      <x:c r="B260" s="50" t="s">
        <x:v>366</x:v>
      </x:c>
      <x:c r="C260" s="50">
        <x:v>5</x:v>
      </x:c>
      <x:c r="D260" s="50" t="s">
        <x:v>411</x:v>
      </x:c>
      <x:c r="E260" s="50" t="s">
        <x:v>53</x:v>
      </x:c>
      <x:c r="F260" s="51" t="s">
        <x:v>416</x:v>
      </x:c>
      <x:c r="G260" s="51"/>
      <x:c r="H260" s="51"/>
      <x:c r="I260" s="51"/>
      <x:c r="J260" s="54" t="s">
        <x:v>688</x:v>
      </x:c>
    </x:row>
    <x:row r="261">
      <x:c r="A261" s="50" t="s">
        <x:v>365</x:v>
      </x:c>
      <x:c r="B261" s="50" t="s">
        <x:v>366</x:v>
      </x:c>
      <x:c r="C261" s="50">
        <x:v>6</x:v>
      </x:c>
      <x:c r="D261" s="50" t="s">
        <x:v>411</x:v>
      </x:c>
      <x:c r="E261" s="50" t="s">
        <x:v>23</x:v>
      </x:c>
      <x:c r="F261" s="51" t="s">
        <x:v>414</x:v>
      </x:c>
      <x:c r="J261" s="32" t="s">
        <x:v>689</x:v>
      </x:c>
    </x:row>
    <x:row r="262">
      <x:c r="A262" s="50" t="s">
        <x:v>365</x:v>
      </x:c>
      <x:c r="B262" s="50" t="s">
        <x:v>366</x:v>
      </x:c>
      <x:c r="C262" s="50">
        <x:v>7</x:v>
      </x:c>
      <x:c r="D262" s="50" t="s">
        <x:v>411</x:v>
      </x:c>
      <x:c r="E262" s="50" t="s">
        <x:v>25</x:v>
      </x:c>
      <x:c r="F262" s="51" t="s">
        <x:v>412</x:v>
      </x:c>
      <x:c r="J262" s="36" t="s">
        <x:v>690</x:v>
      </x:c>
    </x:row>
    <x:row r="263">
      <x:c r="A263" s="50" t="s">
        <x:v>365</x:v>
      </x:c>
      <x:c r="B263" s="50" t="s">
        <x:v>366</x:v>
      </x:c>
      <x:c r="C263" s="50">
        <x:v>8</x:v>
      </x:c>
      <x:c r="D263" s="50" t="s">
        <x:v>411</x:v>
      </x:c>
      <x:c r="E263" s="50" t="s">
        <x:v>16</x:v>
      </x:c>
      <x:c r="F263" s="51" t="s">
        <x:v>412</x:v>
      </x:c>
      <x:c r="J263" s="32" t="s">
        <x:v>691</x:v>
      </x:c>
    </x:row>
    <x:row r="264">
      <x:c r="A264" s="50" t="s">
        <x:v>365</x:v>
      </x:c>
      <x:c r="B264" s="50" t="s">
        <x:v>366</x:v>
      </x:c>
      <x:c r="C264" s="50">
        <x:v>9</x:v>
      </x:c>
      <x:c r="D264" s="50" t="s">
        <x:v>411</x:v>
      </x:c>
      <x:c r="E264" s="50" t="s">
        <x:v>53</x:v>
      </x:c>
      <x:c r="F264" s="51" t="s">
        <x:v>416</x:v>
      </x:c>
      <x:c r="J264" s="32" t="s">
        <x:v>692</x:v>
      </x:c>
    </x:row>
    <x:row r="265">
      <x:c r="A265" s="50" t="s">
        <x:v>365</x:v>
      </x:c>
      <x:c r="B265" s="50" t="s">
        <x:v>366</x:v>
      </x:c>
      <x:c r="C265" s="50">
        <x:v>10</x:v>
      </x:c>
      <x:c r="D265" s="50" t="s">
        <x:v>411</x:v>
      </x:c>
      <x:c r="E265" s="50" t="s">
        <x:v>53</x:v>
      </x:c>
      <x:c r="F265" s="51" t="s">
        <x:v>416</x:v>
      </x:c>
      <x:c r="J265" s="32" t="s">
        <x:v>693</x:v>
      </x:c>
    </x:row>
    <x:row r="266">
      <x:c r="A266" s="50" t="s">
        <x:v>365</x:v>
      </x:c>
      <x:c r="B266" s="50" t="s">
        <x:v>366</x:v>
      </x:c>
      <x:c r="C266" s="50">
        <x:v>11</x:v>
      </x:c>
      <x:c r="D266" s="50" t="s">
        <x:v>411</x:v>
      </x:c>
      <x:c r="E266" s="50" t="s">
        <x:v>53</x:v>
      </x:c>
      <x:c r="F266" s="51" t="s">
        <x:v>416</x:v>
      </x:c>
      <x:c r="J266" s="32" t="s">
        <x:v>694</x:v>
      </x:c>
    </x:row>
    <x:row r="267">
      <x:c r="A267" s="50" t="s">
        <x:v>365</x:v>
      </x:c>
      <x:c r="B267" s="50" t="s">
        <x:v>366</x:v>
      </x:c>
      <x:c r="C267" s="50">
        <x:v>12</x:v>
      </x:c>
      <x:c r="D267" s="50" t="s">
        <x:v>411</x:v>
      </x:c>
      <x:c r="E267" s="50" t="s">
        <x:v>53</x:v>
      </x:c>
      <x:c r="F267" s="51" t="s">
        <x:v>416</x:v>
      </x:c>
      <x:c r="J267" s="32" t="s">
        <x:v>695</x:v>
      </x:c>
    </x:row>
    <x:row r="268">
      <x:c r="A268" s="50" t="s">
        <x:v>365</x:v>
      </x:c>
      <x:c r="B268" s="50" t="s">
        <x:v>366</x:v>
      </x:c>
      <x:c r="C268" s="50">
        <x:v>13</x:v>
      </x:c>
      <x:c r="D268" s="50" t="s">
        <x:v>411</x:v>
      </x:c>
      <x:c r="E268" s="50" t="s">
        <x:v>53</x:v>
      </x:c>
      <x:c r="F268" s="51" t="s">
        <x:v>416</x:v>
      </x:c>
      <x:c r="J268" s="32" t="s">
        <x:v>696</x:v>
      </x:c>
    </x:row>
    <x:row r="269">
      <x:c r="A269" s="50" t="s">
        <x:v>365</x:v>
      </x:c>
      <x:c r="B269" s="50" t="s">
        <x:v>366</x:v>
      </x:c>
      <x:c r="C269" s="50">
        <x:v>14</x:v>
      </x:c>
      <x:c r="D269" s="50" t="s">
        <x:v>411</x:v>
      </x:c>
      <x:c r="E269" s="50" t="s">
        <x:v>53</x:v>
      </x:c>
      <x:c r="F269" s="51" t="s">
        <x:v>416</x:v>
      </x:c>
      <x:c r="J269" s="32" t="s">
        <x:v>697</x:v>
      </x:c>
    </x:row>
    <x:row r="270">
      <x:c r="A270" s="50" t="s">
        <x:v>365</x:v>
      </x:c>
      <x:c r="B270" s="50" t="s">
        <x:v>366</x:v>
      </x:c>
      <x:c r="C270" s="50">
        <x:v>15</x:v>
      </x:c>
      <x:c r="D270" s="50" t="s">
        <x:v>411</x:v>
      </x:c>
      <x:c r="E270" s="50" t="s">
        <x:v>53</x:v>
      </x:c>
      <x:c r="F270" s="51" t="s">
        <x:v>416</x:v>
      </x:c>
      <x:c r="J270" s="32" t="s">
        <x:v>698</x:v>
      </x:c>
    </x:row>
    <x:row r="271">
      <x:c r="A271" s="50" t="s">
        <x:v>365</x:v>
      </x:c>
      <x:c r="B271" s="50" t="s">
        <x:v>366</x:v>
      </x:c>
      <x:c r="C271" s="50">
        <x:v>16</x:v>
      </x:c>
      <x:c r="D271" s="50" t="s">
        <x:v>411</x:v>
      </x:c>
      <x:c r="E271" s="50" t="s">
        <x:v>53</x:v>
      </x:c>
      <x:c r="F271" s="51" t="s">
        <x:v>416</x:v>
      </x:c>
      <x:c r="J271" s="32" t="s">
        <x:v>699</x:v>
      </x:c>
    </x:row>
    <x:row r="272">
      <x:c r="A272" s="50" t="s">
        <x:v>365</x:v>
      </x:c>
      <x:c r="B272" s="50" t="s">
        <x:v>366</x:v>
      </x:c>
      <x:c r="C272" s="50">
        <x:v>17</x:v>
      </x:c>
      <x:c r="D272" s="50" t="s">
        <x:v>411</x:v>
      </x:c>
      <x:c r="E272" s="50" t="s">
        <x:v>53</x:v>
      </x:c>
      <x:c r="F272" s="51" t="s">
        <x:v>416</x:v>
      </x:c>
      <x:c r="J272" s="32" t="s">
        <x:v>700</x:v>
      </x:c>
    </x:row>
    <x:row r="273">
      <x:c r="A273" s="50" t="s">
        <x:v>365</x:v>
      </x:c>
      <x:c r="B273" s="50" t="s">
        <x:v>366</x:v>
      </x:c>
      <x:c r="C273" s="50">
        <x:v>18</x:v>
      </x:c>
      <x:c r="D273" s="50" t="s">
        <x:v>411</x:v>
      </x:c>
      <x:c r="E273" s="50" t="s">
        <x:v>23</x:v>
      </x:c>
      <x:c r="F273" s="51" t="s">
        <x:v>414</x:v>
      </x:c>
      <x:c r="J273" s="32" t="s">
        <x:v>701</x:v>
      </x:c>
    </x:row>
    <x:row r="274">
      <x:c r="A274" s="32" t="s">
        <x:v>365</x:v>
      </x:c>
      <x:c r="B274" s="32" t="s">
        <x:v>366</x:v>
      </x:c>
      <x:c r="C274" s="32">
        <x:v>19</x:v>
      </x:c>
      <x:c r="D274" s="50" t="s">
        <x:v>411</x:v>
      </x:c>
      <x:c r="E274" s="50" t="s">
        <x:v>16</x:v>
      </x:c>
      <x:c r="F274" s="51" t="s">
        <x:v>412</x:v>
      </x:c>
      <x:c r="J274" s="32" t="s">
        <x:v>702</x:v>
      </x:c>
    </x:row>
    <x:row r="275">
      <x:c r="A275" s="50" t="s">
        <x:v>367</x:v>
      </x:c>
      <x:c r="B275" s="50" t="s">
        <x:v>368</x:v>
      </x:c>
      <x:c r="C275" s="50">
        <x:v>1</x:v>
      </x:c>
      <x:c r="D275" s="50" t="s">
        <x:v>411</x:v>
      </x:c>
      <x:c r="E275" s="50" t="s">
        <x:v>16</x:v>
      </x:c>
      <x:c r="F275" s="53" t="s">
        <x:v>416</x:v>
      </x:c>
      <x:c r="G275" s="51"/>
      <x:c r="H275" s="53"/>
      <x:c r="I275" s="51" t="s">
        <x:v>452</x:v>
      </x:c>
      <x:c r="J275" s="52" t="s">
        <x:v>451</x:v>
      </x:c>
    </x:row>
    <x:row r="276">
      <x:c r="A276" s="50" t="s">
        <x:v>369</x:v>
      </x:c>
      <x:c r="B276" s="50" t="s">
        <x:v>370</x:v>
      </x:c>
      <x:c r="C276" s="50">
        <x:v>1</x:v>
      </x:c>
      <x:c r="D276" s="50" t="s">
        <x:v>411</x:v>
      </x:c>
      <x:c r="E276" s="50" t="s">
        <x:v>59</x:v>
      </x:c>
      <x:c r="F276" s="51" t="s">
        <x:v>414</x:v>
      </x:c>
      <x:c r="G276" s="51"/>
      <x:c r="H276" s="53"/>
      <x:c r="I276" s="51" t="s">
        <x:v>452</x:v>
      </x:c>
      <x:c r="J276" s="50" t="s">
        <x:v>703</x:v>
      </x:c>
    </x:row>
    <x:row r="277">
      <x:c r="A277" s="50" t="s">
        <x:v>369</x:v>
      </x:c>
      <x:c r="B277" s="50" t="s">
        <x:v>370</x:v>
      </x:c>
      <x:c r="C277" s="50">
        <x:v>2</x:v>
      </x:c>
      <x:c r="D277" s="50" t="s">
        <x:v>411</x:v>
      </x:c>
      <x:c r="E277" s="50" t="s">
        <x:v>55</x:v>
      </x:c>
      <x:c r="F277" s="53" t="s">
        <x:v>416</x:v>
      </x:c>
      <x:c r="G277" s="51" t="s">
        <x:v>480</x:v>
      </x:c>
      <x:c r="H277" s="53"/>
      <x:c r="I277" s="51"/>
      <x:c r="J277" s="50" t="s">
        <x:v>704</x:v>
      </x:c>
    </x:row>
    <x:row r="278">
      <x:c r="A278" s="50" t="s">
        <x:v>369</x:v>
      </x:c>
      <x:c r="B278" s="50" t="s">
        <x:v>370</x:v>
      </x:c>
      <x:c r="C278" s="50">
        <x:v>3</x:v>
      </x:c>
      <x:c r="D278" s="50" t="s">
        <x:v>411</x:v>
      </x:c>
      <x:c r="E278" s="50" t="s">
        <x:v>16</x:v>
      </x:c>
      <x:c r="F278" s="51" t="s">
        <x:v>412</x:v>
      </x:c>
      <x:c r="G278" s="51"/>
      <x:c r="H278" s="53"/>
      <x:c r="I278" s="51"/>
      <x:c r="J278" s="50" t="s">
        <x:v>705</x:v>
      </x:c>
    </x:row>
    <x:row r="279">
      <x:c r="A279" s="50" t="s">
        <x:v>369</x:v>
      </x:c>
      <x:c r="B279" s="50" t="s">
        <x:v>370</x:v>
      </x:c>
      <x:c r="C279" s="50">
        <x:v>4</x:v>
      </x:c>
      <x:c r="D279" s="50" t="s">
        <x:v>411</x:v>
      </x:c>
      <x:c r="E279" s="50" t="s">
        <x:v>59</x:v>
      </x:c>
      <x:c r="F279" s="51" t="s">
        <x:v>414</x:v>
      </x:c>
      <x:c r="G279" s="51"/>
      <x:c r="H279" s="51"/>
      <x:c r="I279" s="51"/>
      <x:c r="J279" s="50" t="s">
        <x:v>706</x:v>
      </x:c>
    </x:row>
    <x:row r="280">
      <x:c r="A280" s="50" t="s">
        <x:v>369</x:v>
      </x:c>
      <x:c r="B280" s="50" t="s">
        <x:v>370</x:v>
      </x:c>
      <x:c r="C280" s="50">
        <x:v>5</x:v>
      </x:c>
      <x:c r="D280" s="50" t="s">
        <x:v>411</x:v>
      </x:c>
      <x:c r="E280" s="50" t="s">
        <x:v>59</x:v>
      </x:c>
      <x:c r="F280" s="51" t="s">
        <x:v>414</x:v>
      </x:c>
      <x:c r="G280" s="51"/>
      <x:c r="H280" s="51"/>
      <x:c r="I280" s="51"/>
      <x:c r="J280" s="50" t="s">
        <x:v>707</x:v>
      </x:c>
    </x:row>
    <x:row r="281">
      <x:c r="A281" s="32" t="s">
        <x:v>369</x:v>
      </x:c>
      <x:c r="B281" s="32" t="s">
        <x:v>370</x:v>
      </x:c>
      <x:c r="C281" s="32">
        <x:v>6</x:v>
      </x:c>
      <x:c r="D281" s="50" t="s">
        <x:v>411</x:v>
      </x:c>
      <x:c r="E281" s="50" t="s">
        <x:v>16</x:v>
      </x:c>
      <x:c r="F281" s="51" t="s">
        <x:v>412</x:v>
      </x:c>
      <x:c r="J281" s="32" t="s">
        <x:v>708</x:v>
      </x:c>
    </x:row>
    <x:row r="282">
      <x:c r="A282" s="32" t="s">
        <x:v>369</x:v>
      </x:c>
      <x:c r="B282" s="32" t="s">
        <x:v>370</x:v>
      </x:c>
      <x:c r="C282" s="32">
        <x:v>7</x:v>
      </x:c>
      <x:c r="D282" s="50" t="s">
        <x:v>411</x:v>
      </x:c>
      <x:c r="E282" s="52" t="s">
        <x:v>25</x:v>
      </x:c>
      <x:c r="F282" s="51" t="s">
        <x:v>416</x:v>
      </x:c>
      <x:c r="J282" s="57" t="s">
        <x:v>709</x:v>
      </x:c>
    </x:row>
    <x:row r="283">
      <x:c r="A283" s="32" t="s">
        <x:v>369</x:v>
      </x:c>
      <x:c r="B283" s="32" t="s">
        <x:v>370</x:v>
      </x:c>
      <x:c r="C283" s="32">
        <x:v>8</x:v>
      </x:c>
      <x:c r="D283" s="50" t="s">
        <x:v>411</x:v>
      </x:c>
      <x:c r="E283" s="50" t="s">
        <x:v>16</x:v>
      </x:c>
      <x:c r="F283" s="51" t="s">
        <x:v>412</x:v>
      </x:c>
      <x:c r="J283" s="57" t="s">
        <x:v>704</x:v>
      </x:c>
    </x:row>
    <x:row r="284">
      <x:c r="A284" s="50" t="s">
        <x:v>373</x:v>
      </x:c>
      <x:c r="B284" s="50" t="s">
        <x:v>374</x:v>
      </x:c>
      <x:c r="C284" s="50">
        <x:v>1</x:v>
      </x:c>
      <x:c r="D284" s="50" t="s">
        <x:v>411</x:v>
      </x:c>
      <x:c r="E284" s="50" t="s">
        <x:v>16</x:v>
      </x:c>
      <x:c r="F284" s="51" t="s">
        <x:v>412</x:v>
      </x:c>
      <x:c r="G284" s="51"/>
      <x:c r="H284" s="53"/>
      <x:c r="I284" s="51" t="s">
        <x:v>452</x:v>
      </x:c>
      <x:c r="J284" s="50" t="s">
        <x:v>710</x:v>
      </x:c>
    </x:row>
    <x:row r="285">
      <x:c r="A285" s="50" t="s">
        <x:v>373</x:v>
      </x:c>
      <x:c r="B285" s="50" t="s">
        <x:v>374</x:v>
      </x:c>
      <x:c r="C285" s="50">
        <x:v>2</x:v>
      </x:c>
      <x:c r="D285" s="50" t="s">
        <x:v>411</x:v>
      </x:c>
      <x:c r="E285" s="50" t="s">
        <x:v>55</x:v>
      </x:c>
      <x:c r="F285" s="53" t="s">
        <x:v>416</x:v>
      </x:c>
      <x:c r="G285" s="53" t="s">
        <x:v>480</x:v>
      </x:c>
      <x:c r="H285" s="53"/>
      <x:c r="I285" s="51"/>
      <x:c r="J285" s="50" t="s">
        <x:v>711</x:v>
      </x:c>
    </x:row>
    <x:row r="286">
      <x:c r="A286" s="50" t="s">
        <x:v>373</x:v>
      </x:c>
      <x:c r="B286" s="50" t="s">
        <x:v>374</x:v>
      </x:c>
      <x:c r="C286" s="50">
        <x:v>3</x:v>
      </x:c>
      <x:c r="D286" s="50" t="s">
        <x:v>411</x:v>
      </x:c>
      <x:c r="E286" s="50" t="s">
        <x:v>16</x:v>
      </x:c>
      <x:c r="F286" s="51" t="s">
        <x:v>412</x:v>
      </x:c>
      <x:c r="G286" s="51"/>
      <x:c r="H286" s="53"/>
      <x:c r="I286" s="51"/>
      <x:c r="J286" s="50" t="s">
        <x:v>712</x:v>
      </x:c>
    </x:row>
    <x:row r="287">
      <x:c r="A287" s="50" t="s">
        <x:v>373</x:v>
      </x:c>
      <x:c r="B287" s="50" t="s">
        <x:v>374</x:v>
      </x:c>
      <x:c r="C287" s="50">
        <x:v>4</x:v>
      </x:c>
      <x:c r="D287" s="50" t="s">
        <x:v>411</x:v>
      </x:c>
      <x:c r="E287" s="50" t="s">
        <x:v>59</x:v>
      </x:c>
      <x:c r="F287" s="51" t="s">
        <x:v>414</x:v>
      </x:c>
      <x:c r="G287" s="51"/>
      <x:c r="H287" s="51"/>
      <x:c r="I287" s="51"/>
      <x:c r="J287" s="50" t="s">
        <x:v>713</x:v>
      </x:c>
    </x:row>
    <x:row r="288">
      <x:c r="A288" s="50" t="s">
        <x:v>373</x:v>
      </x:c>
      <x:c r="B288" s="50" t="s">
        <x:v>374</x:v>
      </x:c>
      <x:c r="C288" s="50">
        <x:v>5</x:v>
      </x:c>
      <x:c r="D288" s="50" t="s">
        <x:v>411</x:v>
      </x:c>
      <x:c r="E288" s="50" t="s">
        <x:v>59</x:v>
      </x:c>
      <x:c r="F288" s="51" t="s">
        <x:v>414</x:v>
      </x:c>
      <x:c r="G288" s="51"/>
      <x:c r="H288" s="51" t="s">
        <x:v>534</x:v>
      </x:c>
      <x:c r="I288" s="51"/>
      <x:c r="J288" s="50" t="s">
        <x:v>714</x:v>
      </x:c>
    </x:row>
    <x:row r="289">
      <x:c r="A289" s="50" t="s">
        <x:v>373</x:v>
      </x:c>
      <x:c r="B289" s="50" t="s">
        <x:v>374</x:v>
      </x:c>
      <x:c r="C289" s="50">
        <x:v>6</x:v>
      </x:c>
      <x:c r="D289" s="50" t="s">
        <x:v>411</x:v>
      </x:c>
      <x:c r="E289" s="50" t="s">
        <x:v>55</x:v>
      </x:c>
      <x:c r="F289" s="53" t="s">
        <x:v>416</x:v>
      </x:c>
      <x:c r="G289" s="53" t="s">
        <x:v>480</x:v>
      </x:c>
      <x:c r="H289" s="32" t="s">
        <x:v>534</x:v>
      </x:c>
      <x:c r="J289" s="50" t="s">
        <x:v>704</x:v>
      </x:c>
    </x:row>
    <x:row r="290">
      <x:c r="A290" s="50" t="s">
        <x:v>373</x:v>
      </x:c>
      <x:c r="B290" s="50" t="s">
        <x:v>374</x:v>
      </x:c>
      <x:c r="C290" s="50">
        <x:v>7</x:v>
      </x:c>
      <x:c r="D290" s="50" t="s">
        <x:v>411</x:v>
      </x:c>
      <x:c r="E290" s="32" t="s">
        <x:v>57</x:v>
      </x:c>
      <x:c r="F290" s="51" t="s">
        <x:v>414</x:v>
      </x:c>
      <x:c r="I290" s="51" t="s">
        <x:v>452</x:v>
      </x:c>
      <x:c r="J290" s="32" t="s">
        <x:v>715</x:v>
      </x:c>
    </x:row>
    <x:row r="291">
      <x:c r="A291" s="50" t="s">
        <x:v>373</x:v>
      </x:c>
      <x:c r="B291" s="50" t="s">
        <x:v>374</x:v>
      </x:c>
      <x:c r="C291" s="50">
        <x:v>8</x:v>
      </x:c>
      <x:c r="D291" s="50" t="s">
        <x:v>411</x:v>
      </x:c>
      <x:c r="E291" s="50" t="s">
        <x:v>16</x:v>
      </x:c>
      <x:c r="F291" s="51" t="s">
        <x:v>412</x:v>
      </x:c>
      <x:c r="J291" s="32" t="s">
        <x:v>716</x:v>
      </x:c>
    </x:row>
    <x:row r="292">
      <x:c r="A292" s="50" t="s">
        <x:v>373</x:v>
      </x:c>
      <x:c r="B292" s="50" t="s">
        <x:v>374</x:v>
      </x:c>
      <x:c r="C292" s="50">
        <x:v>9</x:v>
      </x:c>
      <x:c r="D292" s="50" t="s">
        <x:v>411</x:v>
      </x:c>
      <x:c r="E292" s="32" t="s">
        <x:v>57</x:v>
      </x:c>
      <x:c r="F292" s="51" t="s">
        <x:v>414</x:v>
      </x:c>
      <x:c r="J292" s="32" t="s">
        <x:v>717</x:v>
      </x:c>
    </x:row>
    <x:row r="293">
      <x:c r="A293" s="50" t="s">
        <x:v>373</x:v>
      </x:c>
      <x:c r="B293" s="50" t="s">
        <x:v>374</x:v>
      </x:c>
      <x:c r="C293" s="50">
        <x:v>10</x:v>
      </x:c>
      <x:c r="D293" s="50" t="s">
        <x:v>411</x:v>
      </x:c>
      <x:c r="E293" s="50" t="s">
        <x:v>16</x:v>
      </x:c>
      <x:c r="F293" s="51" t="s">
        <x:v>412</x:v>
      </x:c>
      <x:c r="J293" s="32" t="s">
        <x:v>718</x:v>
      </x:c>
    </x:row>
    <x:row r="294">
      <x:c r="A294" s="50" t="s">
        <x:v>373</x:v>
      </x:c>
      <x:c r="B294" s="50" t="s">
        <x:v>374</x:v>
      </x:c>
      <x:c r="C294" s="50">
        <x:v>11</x:v>
      </x:c>
      <x:c r="D294" s="50" t="s">
        <x:v>411</x:v>
      </x:c>
      <x:c r="E294" s="32" t="s">
        <x:v>25</x:v>
      </x:c>
      <x:c r="F294" s="51" t="s">
        <x:v>416</x:v>
      </x:c>
      <x:c r="J294" s="32" t="s">
        <x:v>719</x:v>
      </x:c>
    </x:row>
    <x:row r="295">
      <x:c r="A295" s="50" t="s">
        <x:v>373</x:v>
      </x:c>
      <x:c r="B295" s="50" t="s">
        <x:v>374</x:v>
      </x:c>
      <x:c r="C295" s="50">
        <x:v>12</x:v>
      </x:c>
      <x:c r="D295" s="50" t="s">
        <x:v>411</x:v>
      </x:c>
      <x:c r="E295" s="32" t="s">
        <x:v>57</x:v>
      </x:c>
      <x:c r="F295" s="51" t="s">
        <x:v>414</x:v>
      </x:c>
      <x:c r="J295" s="10" t="s">
        <x:v>720</x:v>
      </x:c>
    </x:row>
    <x:row r="296">
      <x:c r="A296" s="50" t="s">
        <x:v>373</x:v>
      </x:c>
      <x:c r="B296" s="50" t="s">
        <x:v>374</x:v>
      </x:c>
      <x:c r="C296" s="50">
        <x:v>13</x:v>
      </x:c>
      <x:c r="D296" s="50" t="s">
        <x:v>411</x:v>
      </x:c>
      <x:c r="E296" s="32" t="s">
        <x:v>57</x:v>
      </x:c>
      <x:c r="F296" s="51" t="s">
        <x:v>414</x:v>
      </x:c>
      <x:c r="J296" s="32" t="s">
        <x:v>721</x:v>
      </x:c>
    </x:row>
    <x:row r="297">
      <x:c r="A297" s="50" t="s">
        <x:v>373</x:v>
      </x:c>
      <x:c r="B297" s="50" t="s">
        <x:v>374</x:v>
      </x:c>
      <x:c r="C297" s="50">
        <x:v>14</x:v>
      </x:c>
      <x:c r="D297" s="50" t="s">
        <x:v>411</x:v>
      </x:c>
      <x:c r="E297" s="50" t="s">
        <x:v>16</x:v>
      </x:c>
      <x:c r="F297" s="51" t="s">
        <x:v>412</x:v>
      </x:c>
      <x:c r="J297" s="32" t="s">
        <x:v>722</x:v>
      </x:c>
    </x:row>
    <x:row r="298">
      <x:c r="A298" s="50" t="s">
        <x:v>373</x:v>
      </x:c>
      <x:c r="B298" s="50" t="s">
        <x:v>374</x:v>
      </x:c>
      <x:c r="C298" s="50">
        <x:v>15</x:v>
      </x:c>
      <x:c r="D298" s="50" t="s">
        <x:v>411</x:v>
      </x:c>
      <x:c r="E298" s="32" t="s">
        <x:v>25</x:v>
      </x:c>
      <x:c r="F298" s="51" t="s">
        <x:v>416</x:v>
      </x:c>
      <x:c r="J298" s="32" t="s">
        <x:v>723</x:v>
      </x:c>
    </x:row>
    <x:row r="299">
      <x:c r="A299" s="50" t="s">
        <x:v>373</x:v>
      </x:c>
      <x:c r="B299" s="50" t="s">
        <x:v>374</x:v>
      </x:c>
      <x:c r="C299" s="50">
        <x:v>16</x:v>
      </x:c>
      <x:c r="D299" s="50" t="s">
        <x:v>411</x:v>
      </x:c>
      <x:c r="E299" s="57" t="s">
        <x:v>20</x:v>
      </x:c>
      <x:c r="F299" s="51" t="s">
        <x:v>414</x:v>
      </x:c>
      <x:c r="J299" s="57" t="s">
        <x:v>724</x:v>
      </x:c>
    </x:row>
    <x:row r="300">
      <x:c r="A300" s="50" t="s">
        <x:v>373</x:v>
      </x:c>
      <x:c r="B300" s="50" t="s">
        <x:v>374</x:v>
      </x:c>
      <x:c r="C300" s="50">
        <x:v>17</x:v>
      </x:c>
      <x:c r="D300" s="50" t="s">
        <x:v>411</x:v>
      </x:c>
      <x:c r="E300" s="50" t="s">
        <x:v>16</x:v>
      </x:c>
      <x:c r="F300" s="51" t="s">
        <x:v>412</x:v>
      </x:c>
      <x:c r="J300" s="32" t="s">
        <x:v>725</x:v>
      </x:c>
    </x:row>
    <x:row r="301">
      <x:c r="A301" s="50" t="s">
        <x:v>375</x:v>
      </x:c>
      <x:c r="B301" s="50" t="s">
        <x:v>376</x:v>
      </x:c>
      <x:c r="C301" s="50">
        <x:v>1</x:v>
      </x:c>
      <x:c r="D301" s="50" t="s">
        <x:v>411</x:v>
      </x:c>
      <x:c r="E301" s="50"/>
      <x:c r="F301" s="51" t="s">
        <x:v>412</x:v>
      </x:c>
      <x:c r="G301" s="51"/>
      <x:c r="H301" s="53"/>
      <x:c r="I301" s="51" t="s">
        <x:v>452</x:v>
      </x:c>
      <x:c r="J301" s="52" t="s">
        <x:v>451</x:v>
      </x:c>
    </x:row>
    <x:row r="302">
      <x:c r="A302" s="50" t="s">
        <x:v>377</x:v>
      </x:c>
      <x:c r="B302" s="50" t="s">
        <x:v>378</x:v>
      </x:c>
      <x:c r="C302" s="50">
        <x:v>1</x:v>
      </x:c>
      <x:c r="D302" s="50" t="s">
        <x:v>411</x:v>
      </x:c>
      <x:c r="E302" s="52" t="s">
        <x:v>16</x:v>
      </x:c>
      <x:c r="F302" s="53" t="s">
        <x:v>416</x:v>
      </x:c>
      <x:c r="G302" s="51"/>
      <x:c r="H302" s="53"/>
      <x:c r="I302" s="51" t="s">
        <x:v>452</x:v>
      </x:c>
      <x:c r="J302" s="52" t="s">
        <x:v>726</x:v>
      </x:c>
    </x:row>
    <x:row r="303">
      <x:c r="A303" s="50" t="s">
        <x:v>377</x:v>
      </x:c>
      <x:c r="B303" s="50" t="s">
        <x:v>378</x:v>
      </x:c>
      <x:c r="C303" s="50">
        <x:v>2</x:v>
      </x:c>
      <x:c r="D303" s="50" t="s">
        <x:v>411</x:v>
      </x:c>
      <x:c r="E303" s="52" t="s">
        <x:v>55</x:v>
      </x:c>
      <x:c r="F303" s="53" t="s">
        <x:v>414</x:v>
      </x:c>
      <x:c r="G303" s="53" t="s">
        <x:v>480</x:v>
      </x:c>
      <x:c r="H303" s="53"/>
      <x:c r="I303" s="51"/>
      <x:c r="J303" s="52" t="s">
        <x:v>727</x:v>
      </x:c>
    </x:row>
    <x:row r="304">
      <x:c r="A304" s="50" t="s">
        <x:v>377</x:v>
      </x:c>
      <x:c r="B304" s="50" t="s">
        <x:v>378</x:v>
      </x:c>
      <x:c r="C304" s="50">
        <x:v>3</x:v>
      </x:c>
      <x:c r="D304" s="50" t="s">
        <x:v>411</x:v>
      </x:c>
      <x:c r="E304" s="52" t="s">
        <x:v>16</x:v>
      </x:c>
      <x:c r="F304" s="53" t="s">
        <x:v>416</x:v>
      </x:c>
      <x:c r="G304" s="51"/>
      <x:c r="H304" s="53"/>
      <x:c r="I304" s="51"/>
      <x:c r="J304" s="52" t="s">
        <x:v>728</x:v>
      </x:c>
    </x:row>
    <x:row r="305">
      <x:c r="A305" s="50" t="s">
        <x:v>380</x:v>
      </x:c>
      <x:c r="B305" s="50" t="s">
        <x:v>381</x:v>
      </x:c>
      <x:c r="C305" s="50">
        <x:v>1</x:v>
      </x:c>
      <x:c r="D305" s="50" t="s">
        <x:v>411</x:v>
      </x:c>
      <x:c r="E305" s="52" t="s">
        <x:v>16</x:v>
      </x:c>
      <x:c r="F305" s="53" t="s">
        <x:v>416</x:v>
      </x:c>
      <x:c r="G305" s="51"/>
      <x:c r="H305" s="53"/>
      <x:c r="I305" s="51" t="s">
        <x:v>452</x:v>
      </x:c>
      <x:c r="J305" s="52" t="s">
        <x:v>729</x:v>
      </x:c>
    </x:row>
    <x:row r="306">
      <x:c r="A306" s="50" t="s">
        <x:v>380</x:v>
      </x:c>
      <x:c r="B306" s="50" t="s">
        <x:v>381</x:v>
      </x:c>
      <x:c r="C306" s="50">
        <x:v>2</x:v>
      </x:c>
      <x:c r="D306" s="50" t="s">
        <x:v>411</x:v>
      </x:c>
      <x:c r="E306" s="52" t="s">
        <x:v>55</x:v>
      </x:c>
      <x:c r="F306" s="53" t="s">
        <x:v>414</x:v>
      </x:c>
      <x:c r="G306" s="53" t="s">
        <x:v>480</x:v>
      </x:c>
      <x:c r="H306" s="53"/>
      <x:c r="I306" s="51"/>
      <x:c r="J306" s="52" t="s">
        <x:v>730</x:v>
      </x:c>
    </x:row>
    <x:row r="307">
      <x:c r="A307" s="50" t="s">
        <x:v>380</x:v>
      </x:c>
      <x:c r="B307" s="50" t="s">
        <x:v>381</x:v>
      </x:c>
      <x:c r="C307" s="50">
        <x:v>3</x:v>
      </x:c>
      <x:c r="D307" s="50" t="s">
        <x:v>411</x:v>
      </x:c>
      <x:c r="E307" s="52" t="s">
        <x:v>20</x:v>
      </x:c>
      <x:c r="F307" s="53" t="s">
        <x:v>412</x:v>
      </x:c>
      <x:c r="G307" s="51"/>
      <x:c r="H307" s="53"/>
      <x:c r="I307" s="51"/>
      <x:c r="J307" s="52" t="s">
        <x:v>731</x:v>
      </x:c>
    </x:row>
    <x:row r="308">
      <x:c r="A308" s="50" t="s">
        <x:v>380</x:v>
      </x:c>
      <x:c r="B308" s="50" t="s">
        <x:v>381</x:v>
      </x:c>
      <x:c r="C308" s="50">
        <x:v>4</x:v>
      </x:c>
      <x:c r="D308" s="50" t="s">
        <x:v>411</x:v>
      </x:c>
      <x:c r="E308" s="52" t="s">
        <x:v>55</x:v>
      </x:c>
      <x:c r="F308" s="53" t="s">
        <x:v>414</x:v>
      </x:c>
      <x:c r="G308" s="53" t="s">
        <x:v>480</x:v>
      </x:c>
      <x:c r="H308" s="51"/>
      <x:c r="I308" s="51"/>
      <x:c r="J308" s="52" t="s">
        <x:v>732</x:v>
      </x:c>
    </x:row>
    <x:row r="309">
      <x:c r="A309" s="50" t="s">
        <x:v>380</x:v>
      </x:c>
      <x:c r="B309" s="50" t="s">
        <x:v>381</x:v>
      </x:c>
      <x:c r="C309" s="50">
        <x:v>5</x:v>
      </x:c>
      <x:c r="D309" s="50" t="s">
        <x:v>411</x:v>
      </x:c>
      <x:c r="E309" s="52" t="s">
        <x:v>20</x:v>
      </x:c>
      <x:c r="F309" s="53" t="s">
        <x:v>412</x:v>
      </x:c>
      <x:c r="G309" s="51"/>
      <x:c r="H309" s="51"/>
      <x:c r="I309" s="51"/>
      <x:c r="J309" s="52" t="s">
        <x:v>733</x:v>
      </x:c>
    </x:row>
    <x:row r="310">
      <x:c r="A310" s="50" t="s">
        <x:v>380</x:v>
      </x:c>
      <x:c r="B310" s="50" t="s">
        <x:v>381</x:v>
      </x:c>
      <x:c r="C310" s="50">
        <x:v>6</x:v>
      </x:c>
      <x:c r="D310" s="50" t="s">
        <x:v>411</x:v>
      </x:c>
      <x:c r="E310" s="52" t="s">
        <x:v>55</x:v>
      </x:c>
      <x:c r="F310" s="53" t="s">
        <x:v>414</x:v>
      </x:c>
      <x:c r="G310" s="53" t="s">
        <x:v>480</x:v>
      </x:c>
      <x:c r="J310" s="57" t="s">
        <x:v>734</x:v>
      </x:c>
    </x:row>
    <x:row r="311">
      <x:c r="A311" s="50" t="s">
        <x:v>380</x:v>
      </x:c>
      <x:c r="B311" s="50" t="s">
        <x:v>381</x:v>
      </x:c>
      <x:c r="C311" s="50">
        <x:v>7</x:v>
      </x:c>
      <x:c r="D311" s="50" t="s">
        <x:v>411</x:v>
      </x:c>
      <x:c r="E311" s="52" t="s">
        <x:v>55</x:v>
      </x:c>
      <x:c r="F311" s="53" t="s">
        <x:v>414</x:v>
      </x:c>
      <x:c r="G311" s="53" t="s">
        <x:v>480</x:v>
      </x:c>
      <x:c r="J311" s="57" t="s">
        <x:v>735</x:v>
      </x:c>
    </x:row>
    <x:row r="312">
      <x:c r="A312" s="50" t="s">
        <x:v>380</x:v>
      </x:c>
      <x:c r="B312" s="50" t="s">
        <x:v>381</x:v>
      </x:c>
      <x:c r="C312" s="50">
        <x:v>8</x:v>
      </x:c>
      <x:c r="D312" s="50" t="s">
        <x:v>411</x:v>
      </x:c>
      <x:c r="E312" s="52" t="s">
        <x:v>20</x:v>
      </x:c>
      <x:c r="F312" s="53" t="s">
        <x:v>412</x:v>
      </x:c>
      <x:c r="J312" s="57" t="s">
        <x:v>736</x:v>
      </x:c>
    </x:row>
    <x:row r="313">
      <x:c r="A313" s="50" t="s">
        <x:v>380</x:v>
      </x:c>
      <x:c r="B313" s="50" t="s">
        <x:v>381</x:v>
      </x:c>
      <x:c r="C313" s="50">
        <x:v>9</x:v>
      </x:c>
      <x:c r="D313" s="50" t="s">
        <x:v>411</x:v>
      </x:c>
      <x:c r="E313" s="57" t="s">
        <x:v>25</x:v>
      </x:c>
      <x:c r="F313" s="53" t="s">
        <x:v>416</x:v>
      </x:c>
      <x:c r="H313" s="32" t="s">
        <x:v>534</x:v>
      </x:c>
      <x:c r="J313" s="57" t="s">
        <x:v>737</x:v>
      </x:c>
    </x:row>
    <x:row r="314">
      <x:c r="A314" s="50" t="s">
        <x:v>380</x:v>
      </x:c>
      <x:c r="B314" s="50" t="s">
        <x:v>381</x:v>
      </x:c>
      <x:c r="C314" s="50">
        <x:v>10</x:v>
      </x:c>
      <x:c r="D314" s="50" t="s">
        <x:v>411</x:v>
      </x:c>
      <x:c r="E314" s="52" t="s">
        <x:v>20</x:v>
      </x:c>
      <x:c r="F314" s="53" t="s">
        <x:v>412</x:v>
      </x:c>
      <x:c r="J314" s="57" t="s">
        <x:v>738</x:v>
      </x:c>
    </x:row>
    <x:row r="315">
      <x:c r="A315" s="50" t="s">
        <x:v>380</x:v>
      </x:c>
      <x:c r="B315" s="50" t="s">
        <x:v>381</x:v>
      </x:c>
      <x:c r="C315" s="50">
        <x:v>11</x:v>
      </x:c>
      <x:c r="D315" s="50" t="s">
        <x:v>408</x:v>
      </x:c>
      <x:c r="E315" s="52"/>
      <x:c r="F315" s="53"/>
      <x:c r="J315" s="57" t="s">
        <x:v>739</x:v>
      </x:c>
    </x:row>
    <x:row r="316">
      <x:c r="A316" s="50" t="s">
        <x:v>380</x:v>
      </x:c>
      <x:c r="B316" s="50" t="s">
        <x:v>381</x:v>
      </x:c>
      <x:c r="C316" s="50">
        <x:v>12</x:v>
      </x:c>
      <x:c r="D316" s="50" t="s">
        <x:v>411</x:v>
      </x:c>
      <x:c r="E316" s="52" t="s">
        <x:v>55</x:v>
      </x:c>
      <x:c r="F316" s="53" t="s">
        <x:v>414</x:v>
      </x:c>
      <x:c r="J316" s="57" t="s">
        <x:v>740</x:v>
      </x:c>
    </x:row>
    <x:row r="317">
      <x:c r="A317" s="50" t="s">
        <x:v>380</x:v>
      </x:c>
      <x:c r="B317" s="50" t="s">
        <x:v>381</x:v>
      </x:c>
      <x:c r="C317" s="50">
        <x:v>13</x:v>
      </x:c>
      <x:c r="D317" s="50" t="s">
        <x:v>408</x:v>
      </x:c>
      <x:c r="F317" s="51"/>
      <x:c r="I317" s="51" t="s">
        <x:v>452</x:v>
      </x:c>
      <x:c r="J317" s="57" t="s">
        <x:v>741</x:v>
      </x:c>
    </x:row>
    <x:row r="318">
      <x:c r="A318" s="50" t="s">
        <x:v>380</x:v>
      </x:c>
      <x:c r="B318" s="50" t="s">
        <x:v>381</x:v>
      </x:c>
      <x:c r="C318" s="50">
        <x:v>14</x:v>
      </x:c>
      <x:c r="D318" s="50" t="s">
        <x:v>411</x:v>
      </x:c>
      <x:c r="E318" s="57" t="s">
        <x:v>59</x:v>
      </x:c>
      <x:c r="F318" s="53" t="s">
        <x:v>414</x:v>
      </x:c>
      <x:c r="J318" s="57" t="s">
        <x:v>742</x:v>
      </x:c>
    </x:row>
    <x:row r="319">
      <x:c r="A319" s="50" t="s">
        <x:v>380</x:v>
      </x:c>
      <x:c r="B319" s="50" t="s">
        <x:v>381</x:v>
      </x:c>
      <x:c r="C319" s="50">
        <x:v>15</x:v>
      </x:c>
      <x:c r="D319" s="50" t="s">
        <x:v>411</x:v>
      </x:c>
      <x:c r="E319" s="52" t="s">
        <x:v>16</x:v>
      </x:c>
      <x:c r="F319" s="53" t="s">
        <x:v>416</x:v>
      </x:c>
      <x:c r="J319" s="57" t="s">
        <x:v>743</x:v>
      </x:c>
    </x:row>
    <x:row r="320">
      <x:c r="A320" s="50" t="s">
        <x:v>380</x:v>
      </x:c>
      <x:c r="B320" s="50" t="s">
        <x:v>381</x:v>
      </x:c>
      <x:c r="C320" s="50">
        <x:v>16</x:v>
      </x:c>
      <x:c r="D320" s="50" t="s">
        <x:v>411</x:v>
      </x:c>
      <x:c r="E320" s="57" t="s">
        <x:v>59</x:v>
      </x:c>
      <x:c r="F320" s="53" t="s">
        <x:v>414</x:v>
      </x:c>
      <x:c r="J320" s="57" t="s">
        <x:v>744</x:v>
      </x:c>
    </x:row>
    <x:row r="321">
      <x:c r="A321" s="50" t="s">
        <x:v>380</x:v>
      </x:c>
      <x:c r="B321" s="50" t="s">
        <x:v>381</x:v>
      </x:c>
      <x:c r="C321" s="50">
        <x:v>17</x:v>
      </x:c>
      <x:c r="D321" s="50" t="s">
        <x:v>411</x:v>
      </x:c>
      <x:c r="E321" s="52" t="s">
        <x:v>16</x:v>
      </x:c>
      <x:c r="F321" s="53" t="s">
        <x:v>416</x:v>
      </x:c>
      <x:c r="J321" s="57" t="s">
        <x:v>745</x:v>
      </x:c>
    </x:row>
    <x:row r="322">
      <x:c r="A322" s="50" t="s">
        <x:v>380</x:v>
      </x:c>
      <x:c r="B322" s="50" t="s">
        <x:v>381</x:v>
      </x:c>
      <x:c r="C322" s="50">
        <x:v>18</x:v>
      </x:c>
      <x:c r="D322" s="50" t="s">
        <x:v>411</x:v>
      </x:c>
      <x:c r="E322" s="57" t="s">
        <x:v>59</x:v>
      </x:c>
      <x:c r="F322" s="53" t="s">
        <x:v>414</x:v>
      </x:c>
      <x:c r="J322" s="57" t="s">
        <x:v>746</x:v>
      </x:c>
    </x:row>
    <x:row r="323">
      <x:c r="A323" s="50" t="s">
        <x:v>382</x:v>
      </x:c>
      <x:c r="B323" s="50" t="s">
        <x:v>383</x:v>
      </x:c>
      <x:c r="C323" s="50">
        <x:v>1</x:v>
      </x:c>
      <x:c r="D323" s="50" t="s">
        <x:v>411</x:v>
      </x:c>
      <x:c r="E323" s="52" t="s">
        <x:v>16</x:v>
      </x:c>
      <x:c r="F323" s="53" t="s">
        <x:v>416</x:v>
      </x:c>
      <x:c r="G323" s="51"/>
      <x:c r="H323" s="53"/>
      <x:c r="I323" s="51" t="s">
        <x:v>452</x:v>
      </x:c>
      <x:c r="J323" s="50" t="s">
        <x:v>451</x:v>
      </x:c>
    </x:row>
    <x:row r="324" ht="34.5" customHeight="1">
      <x:c r="A324" s="50" t="s">
        <x:v>384</x:v>
      </x:c>
      <x:c r="B324" s="50" t="s">
        <x:v>385</x:v>
      </x:c>
      <x:c r="C324" s="50">
        <x:v>1</x:v>
      </x:c>
      <x:c r="D324" s="50" t="s">
        <x:v>411</x:v>
      </x:c>
      <x:c r="E324" s="50" t="s">
        <x:v>51</x:v>
      </x:c>
      <x:c r="F324" s="51" t="s">
        <x:v>414</x:v>
      </x:c>
      <x:c r="G324" s="51" t="s">
        <x:v>480</x:v>
      </x:c>
      <x:c r="H324" s="53"/>
      <x:c r="I324" s="51" t="s">
        <x:v>452</x:v>
      </x:c>
      <x:c r="J324" s="54" t="s">
        <x:v>747</x:v>
      </x:c>
    </x:row>
    <x:row r="325">
      <x:c r="A325" s="50" t="s">
        <x:v>384</x:v>
      </x:c>
      <x:c r="B325" s="50" t="s">
        <x:v>385</x:v>
      </x:c>
      <x:c r="C325" s="50">
        <x:v>2</x:v>
      </x:c>
      <x:c r="D325" s="50" t="s">
        <x:v>411</x:v>
      </x:c>
      <x:c r="E325" s="50" t="s">
        <x:v>16</x:v>
      </x:c>
      <x:c r="F325" s="53" t="s">
        <x:v>416</x:v>
      </x:c>
      <x:c r="G325" s="51"/>
      <x:c r="H325" s="53"/>
      <x:c r="I325" s="51"/>
      <x:c r="J325" s="54" t="s">
        <x:v>748</x:v>
      </x:c>
    </x:row>
    <x:row r="326">
      <x:c r="A326" s="50" t="s">
        <x:v>384</x:v>
      </x:c>
      <x:c r="B326" s="50" t="s">
        <x:v>385</x:v>
      </x:c>
      <x:c r="C326" s="50">
        <x:v>3</x:v>
      </x:c>
      <x:c r="D326" s="50" t="s">
        <x:v>411</x:v>
      </x:c>
      <x:c r="E326" s="50" t="s">
        <x:v>51</x:v>
      </x:c>
      <x:c r="F326" s="51" t="s">
        <x:v>414</x:v>
      </x:c>
      <x:c r="G326" s="51" t="s">
        <x:v>480</x:v>
      </x:c>
      <x:c r="H326" s="53"/>
      <x:c r="I326" s="51"/>
      <x:c r="J326" s="50" t="s">
        <x:v>749</x:v>
      </x:c>
    </x:row>
    <x:row r="327">
      <x:c r="A327" s="50" t="s">
        <x:v>388</x:v>
      </x:c>
      <x:c r="B327" s="50" t="s">
        <x:v>389</x:v>
      </x:c>
      <x:c r="C327" s="50">
        <x:v>1</x:v>
      </x:c>
      <x:c r="D327" s="50" t="s">
        <x:v>411</x:v>
      </x:c>
      <x:c r="E327" s="50" t="s">
        <x:v>16</x:v>
      </x:c>
      <x:c r="F327" s="53" t="s">
        <x:v>416</x:v>
      </x:c>
      <x:c r="G327" s="51"/>
      <x:c r="H327" s="53"/>
      <x:c r="I327" s="51" t="s">
        <x:v>452</x:v>
      </x:c>
      <x:c r="J327" s="54" t="s">
        <x:v>750</x:v>
      </x:c>
    </x:row>
    <x:row r="328">
      <x:c r="A328" s="50" t="s">
        <x:v>388</x:v>
      </x:c>
      <x:c r="B328" s="50" t="s">
        <x:v>389</x:v>
      </x:c>
      <x:c r="C328" s="50">
        <x:v>2</x:v>
      </x:c>
      <x:c r="D328" s="50" t="s">
        <x:v>411</x:v>
      </x:c>
      <x:c r="E328" s="50" t="s">
        <x:v>51</x:v>
      </x:c>
      <x:c r="F328" s="51" t="s">
        <x:v>414</x:v>
      </x:c>
      <x:c r="G328" s="51" t="s">
        <x:v>483</x:v>
      </x:c>
      <x:c r="H328" s="53"/>
      <x:c r="I328" s="51"/>
      <x:c r="J328" s="50" t="s">
        <x:v>751</x:v>
      </x:c>
    </x:row>
    <x:row r="329">
      <x:c r="A329" s="50" t="s">
        <x:v>388</x:v>
      </x:c>
      <x:c r="B329" s="50" t="s">
        <x:v>389</x:v>
      </x:c>
      <x:c r="C329" s="50">
        <x:v>3</x:v>
      </x:c>
      <x:c r="D329" s="50" t="s">
        <x:v>411</x:v>
      </x:c>
      <x:c r="E329" s="50" t="s">
        <x:v>16</x:v>
      </x:c>
      <x:c r="F329" s="53" t="s">
        <x:v>416</x:v>
      </x:c>
      <x:c r="G329" s="51"/>
      <x:c r="H329" s="53"/>
      <x:c r="I329" s="51"/>
      <x:c r="J329" s="50" t="s">
        <x:v>704</x:v>
      </x:c>
    </x:row>
    <x:row r="330">
      <x:c r="A330" s="50" t="s">
        <x:v>388</x:v>
      </x:c>
      <x:c r="B330" s="50" t="s">
        <x:v>389</x:v>
      </x:c>
      <x:c r="C330" s="50">
        <x:v>4</x:v>
      </x:c>
      <x:c r="D330" s="50" t="s">
        <x:v>411</x:v>
      </x:c>
      <x:c r="E330" s="50" t="s">
        <x:v>51</x:v>
      </x:c>
      <x:c r="F330" s="51" t="s">
        <x:v>414</x:v>
      </x:c>
      <x:c r="G330" s="51" t="s">
        <x:v>483</x:v>
      </x:c>
      <x:c r="H330" s="51"/>
      <x:c r="I330" s="51"/>
      <x:c r="J330" s="50" t="s">
        <x:v>752</x:v>
      </x:c>
    </x:row>
    <x:row r="331">
      <x:c r="A331" s="50" t="s">
        <x:v>388</x:v>
      </x:c>
      <x:c r="B331" s="50" t="s">
        <x:v>389</x:v>
      </x:c>
      <x:c r="C331" s="50">
        <x:v>5</x:v>
      </x:c>
      <x:c r="D331" s="50" t="s">
        <x:v>411</x:v>
      </x:c>
      <x:c r="E331" s="50" t="s">
        <x:v>16</x:v>
      </x:c>
      <x:c r="F331" s="53" t="s">
        <x:v>416</x:v>
      </x:c>
      <x:c r="G331" s="51"/>
      <x:c r="H331" s="51"/>
      <x:c r="I331" s="51"/>
      <x:c r="J331" s="50" t="s">
        <x:v>753</x:v>
      </x:c>
    </x:row>
    <x:row r="332">
      <x:c r="A332" s="50" t="s">
        <x:v>388</x:v>
      </x:c>
      <x:c r="B332" s="50" t="s">
        <x:v>389</x:v>
      </x:c>
      <x:c r="C332" s="50">
        <x:v>6</x:v>
      </x:c>
      <x:c r="D332" s="50" t="s">
        <x:v>411</x:v>
      </x:c>
      <x:c r="E332" s="50" t="s">
        <x:v>51</x:v>
      </x:c>
      <x:c r="F332" s="51" t="s">
        <x:v>414</x:v>
      </x:c>
      <x:c r="G332" s="51" t="s">
        <x:v>483</x:v>
      </x:c>
      <x:c r="H332" s="32" t="s">
        <x:v>534</x:v>
      </x:c>
      <x:c r="J332" s="70" t="s">
        <x:v>754</x:v>
      </x:c>
    </x:row>
    <x:row r="333">
      <x:c r="A333" s="50" t="s">
        <x:v>388</x:v>
      </x:c>
      <x:c r="B333" s="50" t="s">
        <x:v>389</x:v>
      </x:c>
      <x:c r="C333" s="50">
        <x:v>7</x:v>
      </x:c>
      <x:c r="D333" s="50" t="s">
        <x:v>411</x:v>
      </x:c>
      <x:c r="E333" s="32" t="s">
        <x:v>25</x:v>
      </x:c>
      <x:c r="F333" s="53" t="s">
        <x:v>412</x:v>
      </x:c>
      <x:c r="J333" s="32" t="s">
        <x:v>755</x:v>
      </x:c>
    </x:row>
    <x:row r="334">
      <x:c r="A334" s="50" t="s">
        <x:v>388</x:v>
      </x:c>
      <x:c r="B334" s="50" t="s">
        <x:v>389</x:v>
      </x:c>
      <x:c r="C334" s="50">
        <x:v>8</x:v>
      </x:c>
      <x:c r="D334" s="50" t="s">
        <x:v>411</x:v>
      </x:c>
      <x:c r="E334" s="50" t="s">
        <x:v>16</x:v>
      </x:c>
      <x:c r="F334" s="53" t="s">
        <x:v>416</x:v>
      </x:c>
      <x:c r="J334" s="32" t="s">
        <x:v>704</x:v>
      </x:c>
    </x:row>
    <x:row r="335">
      <x:c r="A335" s="50" t="s">
        <x:v>388</x:v>
      </x:c>
      <x:c r="B335" s="50" t="s">
        <x:v>389</x:v>
      </x:c>
      <x:c r="C335" s="50">
        <x:v>9</x:v>
      </x:c>
      <x:c r="D335" s="50" t="s">
        <x:v>411</x:v>
      </x:c>
      <x:c r="E335" s="32" t="s">
        <x:v>23</x:v>
      </x:c>
      <x:c r="F335" s="51" t="s">
        <x:v>414</x:v>
      </x:c>
      <x:c r="J335" s="32" t="s">
        <x:v>756</x:v>
      </x:c>
    </x:row>
    <x:row r="336">
      <x:c r="A336" s="50" t="s">
        <x:v>388</x:v>
      </x:c>
      <x:c r="B336" s="50" t="s">
        <x:v>389</x:v>
      </x:c>
      <x:c r="C336" s="50">
        <x:v>10</x:v>
      </x:c>
      <x:c r="D336" s="50" t="s">
        <x:v>411</x:v>
      </x:c>
      <x:c r="E336" s="32" t="s">
        <x:v>25</x:v>
      </x:c>
      <x:c r="F336" s="53" t="s">
        <x:v>412</x:v>
      </x:c>
      <x:c r="J336" s="32" t="s">
        <x:v>757</x:v>
      </x:c>
    </x:row>
    <x:row r="337">
      <x:c r="A337" s="50" t="s">
        <x:v>388</x:v>
      </x:c>
      <x:c r="B337" s="50" t="s">
        <x:v>389</x:v>
      </x:c>
      <x:c r="C337" s="50">
        <x:v>11</x:v>
      </x:c>
      <x:c r="D337" s="50" t="s">
        <x:v>411</x:v>
      </x:c>
      <x:c r="E337" s="32" t="s">
        <x:v>23</x:v>
      </x:c>
      <x:c r="F337" s="51" t="s">
        <x:v>414</x:v>
      </x:c>
      <x:c r="J337" s="32" t="s">
        <x:v>659</x:v>
      </x:c>
    </x:row>
    <x:row r="338">
      <x:c r="A338" s="50" t="s">
        <x:v>390</x:v>
      </x:c>
      <x:c r="B338" s="50" t="s">
        <x:v>391</x:v>
      </x:c>
      <x:c r="C338" s="50">
        <x:v>1</x:v>
      </x:c>
      <x:c r="D338" s="50" t="s">
        <x:v>411</x:v>
      </x:c>
      <x:c r="E338" s="50" t="s">
        <x:v>16</x:v>
      </x:c>
      <x:c r="F338" s="53" t="s">
        <x:v>416</x:v>
      </x:c>
      <x:c r="G338" s="51"/>
      <x:c r="H338" s="53"/>
      <x:c r="I338" s="51" t="s">
        <x:v>452</x:v>
      </x:c>
      <x:c r="J338" s="50" t="s">
        <x:v>758</x:v>
      </x:c>
    </x:row>
    <x:row r="339">
      <x:c r="A339" s="50" t="s">
        <x:v>392</x:v>
      </x:c>
      <x:c r="B339" s="50" t="s">
        <x:v>393</x:v>
      </x:c>
      <x:c r="C339" s="50">
        <x:v>1</x:v>
      </x:c>
      <x:c r="D339" s="50" t="s">
        <x:v>411</x:v>
      </x:c>
      <x:c r="E339" s="52" t="s">
        <x:v>25</x:v>
      </x:c>
      <x:c r="F339" s="53" t="s">
        <x:v>412</x:v>
      </x:c>
      <x:c r="G339" s="51"/>
      <x:c r="H339" s="53"/>
      <x:c r="I339" s="51" t="s">
        <x:v>452</x:v>
      </x:c>
      <x:c r="J339" s="52" t="s">
        <x:v>759</x:v>
      </x:c>
    </x:row>
    <x:row r="340">
      <x:c r="A340" s="50" t="s">
        <x:v>392</x:v>
      </x:c>
      <x:c r="B340" s="50" t="s">
        <x:v>393</x:v>
      </x:c>
      <x:c r="C340" s="50">
        <x:v>2</x:v>
      </x:c>
      <x:c r="D340" s="50" t="s">
        <x:v>411</x:v>
      </x:c>
      <x:c r="E340" s="52" t="s">
        <x:v>16</x:v>
      </x:c>
      <x:c r="F340" s="53" t="s">
        <x:v>416</x:v>
      </x:c>
      <x:c r="G340" s="51"/>
      <x:c r="H340" s="53"/>
      <x:c r="I340" s="51"/>
      <x:c r="J340" s="52" t="s">
        <x:v>760</x:v>
      </x:c>
    </x:row>
    <x:row r="341">
      <x:c r="A341" s="50" t="s">
        <x:v>392</x:v>
      </x:c>
      <x:c r="B341" s="50" t="s">
        <x:v>393</x:v>
      </x:c>
      <x:c r="C341" s="50">
        <x:v>3</x:v>
      </x:c>
      <x:c r="D341" s="50" t="s">
        <x:v>411</x:v>
      </x:c>
      <x:c r="E341" s="52" t="s">
        <x:v>20</x:v>
      </x:c>
      <x:c r="F341" s="53" t="s">
        <x:v>412</x:v>
      </x:c>
      <x:c r="G341" s="51" t="s">
        <x:v>480</x:v>
      </x:c>
      <x:c r="H341" s="53"/>
      <x:c r="I341" s="51" t="s">
        <x:v>761</x:v>
      </x:c>
      <x:c r="J341" s="52" t="s">
        <x:v>575</x:v>
      </x:c>
    </x:row>
    <x:row r="342">
      <x:c r="A342" s="50" t="s">
        <x:v>392</x:v>
      </x:c>
      <x:c r="B342" s="50" t="s">
        <x:v>393</x:v>
      </x:c>
      <x:c r="C342" s="50">
        <x:v>4</x:v>
      </x:c>
      <x:c r="D342" s="50" t="s">
        <x:v>411</x:v>
      </x:c>
      <x:c r="E342" s="52" t="s">
        <x:v>20</x:v>
      </x:c>
      <x:c r="F342" s="53" t="s">
        <x:v>412</x:v>
      </x:c>
      <x:c r="G342" s="51" t="s">
        <x:v>480</x:v>
      </x:c>
      <x:c r="H342" s="53"/>
      <x:c r="I342" s="51"/>
      <x:c r="J342" s="52" t="s">
        <x:v>762</x:v>
      </x:c>
    </x:row>
    <x:row r="343">
      <x:c r="A343" s="50" t="s">
        <x:v>392</x:v>
      </x:c>
      <x:c r="B343" s="50" t="s">
        <x:v>393</x:v>
      </x:c>
      <x:c r="C343" s="50">
        <x:v>5</x:v>
      </x:c>
      <x:c r="D343" s="50" t="s">
        <x:v>411</x:v>
      </x:c>
      <x:c r="E343" s="52" t="s">
        <x:v>16</x:v>
      </x:c>
      <x:c r="F343" s="53" t="s">
        <x:v>416</x:v>
      </x:c>
      <x:c r="G343" s="51"/>
      <x:c r="H343" s="51"/>
      <x:c r="I343" s="51"/>
      <x:c r="J343" s="52" t="s">
        <x:v>763</x:v>
      </x:c>
    </x:row>
    <x:row r="344">
      <x:c r="A344" s="50" t="s">
        <x:v>396</x:v>
      </x:c>
      <x:c r="B344" s="50" t="s">
        <x:v>397</x:v>
      </x:c>
      <x:c r="C344" s="50">
        <x:v>1</x:v>
      </x:c>
      <x:c r="D344" s="50" t="s">
        <x:v>411</x:v>
      </x:c>
      <x:c r="E344" s="50" t="s">
        <x:v>25</x:v>
      </x:c>
      <x:c r="F344" s="53" t="s">
        <x:v>414</x:v>
      </x:c>
      <x:c r="G344" s="51"/>
      <x:c r="H344" s="53"/>
      <x:c r="I344" s="51" t="s">
        <x:v>761</x:v>
      </x:c>
      <x:c r="J344" s="54" t="s">
        <x:v>764</x:v>
      </x:c>
    </x:row>
    <x:row r="345">
      <x:c r="A345" s="50" t="s">
        <x:v>396</x:v>
      </x:c>
      <x:c r="B345" s="50" t="s">
        <x:v>397</x:v>
      </x:c>
      <x:c r="C345" s="50">
        <x:v>2</x:v>
      </x:c>
      <x:c r="D345" s="50" t="s">
        <x:v>411</x:v>
      </x:c>
      <x:c r="E345" s="50" t="s">
        <x:v>16</x:v>
      </x:c>
      <x:c r="F345" s="51" t="s">
        <x:v>416</x:v>
      </x:c>
      <x:c r="G345" s="51"/>
      <x:c r="H345" s="53"/>
      <x:c r="I345" s="51"/>
      <x:c r="J345" s="50" t="s">
        <x:v>765</x:v>
      </x:c>
    </x:row>
    <x:row r="346">
      <x:c r="A346" s="50" t="s">
        <x:v>396</x:v>
      </x:c>
      <x:c r="B346" s="50" t="s">
        <x:v>397</x:v>
      </x:c>
      <x:c r="C346" s="50">
        <x:v>3</x:v>
      </x:c>
      <x:c r="D346" s="50" t="s">
        <x:v>411</x:v>
      </x:c>
      <x:c r="E346" s="50" t="s">
        <x:v>20</x:v>
      </x:c>
      <x:c r="F346" s="53" t="s">
        <x:v>412</x:v>
      </x:c>
      <x:c r="G346" s="51"/>
      <x:c r="H346" s="53"/>
      <x:c r="I346" s="51"/>
      <x:c r="J346" s="50" t="s">
        <x:v>766</x:v>
      </x:c>
    </x:row>
    <x:row r="347">
      <x:c r="A347" s="50" t="s">
        <x:v>396</x:v>
      </x:c>
      <x:c r="B347" s="50" t="s">
        <x:v>397</x:v>
      </x:c>
      <x:c r="C347" s="50">
        <x:v>4</x:v>
      </x:c>
      <x:c r="D347" s="50" t="s">
        <x:v>411</x:v>
      </x:c>
      <x:c r="E347" s="50" t="s">
        <x:v>16</x:v>
      </x:c>
      <x:c r="F347" s="51" t="s">
        <x:v>416</x:v>
      </x:c>
      <x:c r="G347" s="51"/>
      <x:c r="H347" s="51"/>
      <x:c r="I347" s="51"/>
      <x:c r="J347" s="54" t="s">
        <x:v>767</x:v>
      </x:c>
    </x:row>
    <x:row r="348">
      <x:c r="A348" s="50" t="s">
        <x:v>396</x:v>
      </x:c>
      <x:c r="B348" s="50" t="s">
        <x:v>397</x:v>
      </x:c>
      <x:c r="C348" s="50">
        <x:v>5</x:v>
      </x:c>
      <x:c r="D348" s="50" t="s">
        <x:v>411</x:v>
      </x:c>
      <x:c r="E348" s="50" t="s">
        <x:v>25</x:v>
      </x:c>
      <x:c r="F348" s="53" t="s">
        <x:v>414</x:v>
      </x:c>
      <x:c r="G348" s="51"/>
      <x:c r="H348" s="51"/>
      <x:c r="I348" s="51"/>
      <x:c r="J348" s="50" t="s">
        <x:v>768</x:v>
      </x:c>
    </x:row>
    <x:row r="349">
      <x:c r="A349" s="50" t="s">
        <x:v>398</x:v>
      </x:c>
      <x:c r="B349" s="50" t="s">
        <x:v>399</x:v>
      </x:c>
      <x:c r="C349" s="50">
        <x:v>1</x:v>
      </x:c>
      <x:c r="D349" s="50" t="s">
        <x:v>411</x:v>
      </x:c>
      <x:c r="E349" s="50" t="s">
        <x:v>16</x:v>
      </x:c>
      <x:c r="F349" s="53" t="s">
        <x:v>416</x:v>
      </x:c>
      <x:c r="G349" s="51"/>
      <x:c r="H349" s="53"/>
      <x:c r="I349" s="51" t="s">
        <x:v>761</x:v>
      </x:c>
      <x:c r="J349" s="50" t="s">
        <x:v>769</x:v>
      </x:c>
    </x:row>
  </x:sheetData>
  <x:pageMargins left="0.7" right="0.7" top="0.75" bottom="0.75" header="0.3" footer="0.3"/>
</x:worksheet>
</file>

<file path=xl/worksheets/sheet4.xml><?xml version="1.0" encoding="utf-8"?>
<x:worksheet xmlns:x="http://schemas.openxmlformats.org/spreadsheetml/2006/main">
  <x:sheetFormatPr defaultRowHeight="18.75"/>
  <x:cols>
    <x:col min="1" max="1" width="37" style="3" customWidth="1"/>
    <x:col min="2" max="2" width="19.25" style="3" customWidth="1"/>
    <x:col min="3" max="3" width="29.5" style="7" customWidth="1"/>
    <x:col min="4" max="4" width="29.875" style="3" customWidth="1"/>
    <x:col min="5" max="5" width="31.25" style="3" customWidth="1"/>
    <x:col min="6" max="6" width="20.75" style="3" customWidth="1"/>
  </x:cols>
  <x:sheetData>
    <x:row r="1" ht="15" customHeight="1">
      <x:c r="A1" s="1" t="s">
        <x:v>770</x:v>
      </x:c>
      <x:c r="B1" s="1" t="s">
        <x:v>771</x:v>
      </x:c>
      <x:c r="C1" s="1" t="s">
        <x:v>772</x:v>
      </x:c>
      <x:c r="D1" s="2" t="s">
        <x:v>773</x:v>
      </x:c>
      <x:c r="E1" s="2" t="s">
        <x:v>774</x:v>
      </x:c>
      <x:c r="F1" s="2" t="s">
        <x:v>775</x:v>
      </x:c>
    </x:row>
    <x:row r="2">
      <x:c r="A2" s="10" t="s">
        <x:v>776</x:v>
      </x:c>
      <x:c r="B2" s="10" t="s">
        <x:v>777</x:v>
      </x:c>
      <x:c r="C2" s="25" t="s">
        <x:v>778</x:v>
      </x:c>
      <x:c r="D2" s="10" t="s">
        <x:v>779</x:v>
      </x:c>
      <x:c r="E2" s="10" t="s">
        <x:v>780</x:v>
      </x:c>
      <x:c r="F2" s="10" t="s">
        <x:v>781</x:v>
      </x:c>
    </x:row>
    <x:row r="3">
      <x:c r="A3" s="10" t="s">
        <x:v>782</x:v>
      </x:c>
      <x:c r="B3" s="10" t="s">
        <x:v>783</x:v>
      </x:c>
      <x:c r="C3" s="25" t="s">
        <x:v>778</x:v>
      </x:c>
      <x:c r="D3" s="10" t="s">
        <x:v>784</x:v>
      </x:c>
      <x:c r="E3" s="10" t="s">
        <x:v>780</x:v>
      </x:c>
      <x:c r="F3" s="10" t="s">
        <x:v>785</x:v>
      </x:c>
    </x:row>
    <x:row r="4">
      <x:c r="A4" s="10" t="s">
        <x:v>786</x:v>
      </x:c>
      <x:c r="B4" s="10" t="s">
        <x:v>787</x:v>
      </x:c>
      <x:c r="C4" s="25" t="s">
        <x:v>778</x:v>
      </x:c>
      <x:c r="D4" s="10" t="s">
        <x:v>788</x:v>
      </x:c>
      <x:c r="E4" s="10" t="s">
        <x:v>780</x:v>
      </x:c>
      <x:c r="F4" s="10" t="s">
        <x:v>789</x:v>
      </x:c>
    </x:row>
    <x:row r="5">
      <x:c r="A5" s="10" t="s">
        <x:v>790</x:v>
      </x:c>
      <x:c r="B5" s="10" t="s">
        <x:v>363</x:v>
      </x:c>
      <x:c r="C5" s="25" t="s">
        <x:v>778</x:v>
      </x:c>
      <x:c r="D5" s="10" t="s">
        <x:v>791</x:v>
      </x:c>
      <x:c r="E5" s="10" t="s">
        <x:v>780</x:v>
      </x:c>
      <x:c r="F5" s="10" t="s">
        <x:v>792</x:v>
      </x:c>
    </x:row>
    <x:row r="6">
      <x:c r="A6" s="10" t="s">
        <x:v>793</x:v>
      </x:c>
      <x:c r="B6" s="10" t="s">
        <x:v>794</x:v>
      </x:c>
      <x:c r="C6" s="25" t="s">
        <x:v>778</x:v>
      </x:c>
      <x:c r="D6" s="7" t="s">
        <x:v>795</x:v>
      </x:c>
      <x:c r="E6" s="10" t="s">
        <x:v>780</x:v>
      </x:c>
      <x:c r="F6" s="10" t="s">
        <x:v>796</x:v>
      </x:c>
    </x:row>
    <x:row r="7">
      <x:c r="A7" s="10" t="s">
        <x:v>797</x:v>
      </x:c>
      <x:c r="B7" s="10" t="s">
        <x:v>798</x:v>
      </x:c>
      <x:c r="C7" s="25" t="s">
        <x:v>799</x:v>
      </x:c>
      <x:c r="D7" s="10" t="s">
        <x:v>800</x:v>
      </x:c>
      <x:c r="E7" s="10" t="s">
        <x:v>780</x:v>
      </x:c>
      <x:c r="F7" s="10" t="s">
        <x:v>801</x:v>
      </x:c>
    </x:row>
    <x:row r="8">
      <x:c r="A8" s="10" t="s">
        <x:v>802</x:v>
      </x:c>
      <x:c r="B8" s="10" t="s">
        <x:v>803</x:v>
      </x:c>
      <x:c r="C8" s="25" t="s">
        <x:v>804</x:v>
      </x:c>
      <x:c r="D8" s="10" t="s">
        <x:v>805</x:v>
      </x:c>
      <x:c r="E8" s="10" t="s">
        <x:v>780</x:v>
      </x:c>
      <x:c r="F8" s="10" t="s">
        <x:v>806</x:v>
      </x:c>
    </x:row>
    <x:row r="9">
      <x:c r="A9" s="10" t="s">
        <x:v>807</x:v>
      </x:c>
      <x:c r="B9" s="10" t="s">
        <x:v>808</x:v>
      </x:c>
      <x:c r="C9" s="25" t="s">
        <x:v>804</x:v>
      </x:c>
      <x:c r="D9" s="10" t="s">
        <x:v>809</x:v>
      </x:c>
      <x:c r="E9" s="10" t="s">
        <x:v>780</x:v>
      </x:c>
      <x:c r="F9" s="10" t="s">
        <x:v>810</x:v>
      </x:c>
    </x:row>
    <x:row r="10">
      <x:c r="A10" s="10" t="s">
        <x:v>811</x:v>
      </x:c>
      <x:c r="B10" s="10" t="s">
        <x:v>812</x:v>
      </x:c>
      <x:c r="C10" s="25" t="s">
        <x:v>804</x:v>
      </x:c>
      <x:c r="D10" s="10" t="s">
        <x:v>813</x:v>
      </x:c>
      <x:c r="E10" s="10" t="s">
        <x:v>780</x:v>
      </x:c>
      <x:c r="F10" s="10" t="s">
        <x:v>814</x:v>
      </x:c>
    </x:row>
    <x:row r="11">
      <x:c r="A11" s="10" t="s">
        <x:v>815</x:v>
      </x:c>
      <x:c r="B11" s="10" t="s">
        <x:v>816</x:v>
      </x:c>
      <x:c r="C11" s="25" t="s">
        <x:v>804</x:v>
      </x:c>
      <x:c r="D11" s="10" t="s">
        <x:v>817</x:v>
      </x:c>
      <x:c r="E11" s="10" t="s">
        <x:v>780</x:v>
      </x:c>
      <x:c r="F11" s="10" t="s">
        <x:v>818</x:v>
      </x:c>
    </x:row>
    <x:row r="12">
      <x:c r="A12" s="10" t="s">
        <x:v>819</x:v>
      </x:c>
      <x:c r="B12" s="10" t="s">
        <x:v>820</x:v>
      </x:c>
      <x:c r="C12" s="25" t="s">
        <x:v>778</x:v>
      </x:c>
      <x:c r="D12" s="10" t="s">
        <x:v>821</x:v>
      </x:c>
      <x:c r="E12" s="10" t="s">
        <x:v>780</x:v>
      </x:c>
      <x:c r="F12" s="10" t="s">
        <x:v>822</x:v>
      </x:c>
    </x:row>
    <x:row r="13">
      <x:c r="A13" s="10" t="s">
        <x:v>823</x:v>
      </x:c>
      <x:c r="B13" s="10" t="s">
        <x:v>371</x:v>
      </x:c>
      <x:c r="C13" s="25" t="s">
        <x:v>824</x:v>
      </x:c>
      <x:c r="D13" s="10" t="s">
        <x:v>825</x:v>
      </x:c>
      <x:c r="E13" s="10" t="s">
        <x:v>780</x:v>
      </x:c>
      <x:c r="F13" s="10" t="s">
        <x:v>826</x:v>
      </x:c>
    </x:row>
    <x:row r="14">
      <x:c r="A14" s="10" t="s">
        <x:v>827</x:v>
      </x:c>
      <x:c r="B14" s="10" t="s">
        <x:v>828</x:v>
      </x:c>
      <x:c r="C14" s="25" t="s">
        <x:v>829</x:v>
      </x:c>
      <x:c r="D14" s="10" t="s">
        <x:v>830</x:v>
      </x:c>
      <x:c r="E14" s="10" t="s">
        <x:v>780</x:v>
      </x:c>
      <x:c r="F14" s="10" t="s">
        <x:v>831</x:v>
      </x:c>
    </x:row>
    <x:row r="15">
      <x:c r="A15" s="10" t="s">
        <x:v>832</x:v>
      </x:c>
      <x:c r="B15" s="10" t="s">
        <x:v>379</x:v>
      </x:c>
      <x:c r="C15" s="25" t="s">
        <x:v>833</x:v>
      </x:c>
      <x:c r="D15" s="10" t="s">
        <x:v>834</x:v>
      </x:c>
      <x:c r="E15" s="10" t="s">
        <x:v>780</x:v>
      </x:c>
      <x:c r="F15" s="10" t="s">
        <x:v>835</x:v>
      </x:c>
    </x:row>
    <x:row r="16">
      <x:c r="A16" s="10" t="s">
        <x:v>836</x:v>
      </x:c>
      <x:c r="B16" s="10" t="s">
        <x:v>837</x:v>
      </x:c>
      <x:c r="C16" s="25" t="s">
        <x:v>838</x:v>
      </x:c>
      <x:c r="D16" s="10" t="s">
        <x:v>839</x:v>
      </x:c>
      <x:c r="E16" s="10" t="s">
        <x:v>780</x:v>
      </x:c>
      <x:c r="F16" s="10" t="s">
        <x:v>840</x:v>
      </x:c>
    </x:row>
    <x:row r="17">
      <x:c r="A17" s="10" t="s">
        <x:v>841</x:v>
      </x:c>
      <x:c r="B17" s="10" t="s">
        <x:v>842</x:v>
      </x:c>
      <x:c r="C17" s="25" t="s">
        <x:v>843</x:v>
      </x:c>
      <x:c r="D17" s="47" t="s">
        <x:v>844</x:v>
      </x:c>
      <x:c r="E17" s="10" t="s">
        <x:v>780</x:v>
      </x:c>
      <x:c r="F17" s="10" t="s">
        <x:v>845</x:v>
      </x:c>
    </x:row>
    <x:row r="18">
      <x:c r="A18" s="10" t="s">
        <x:v>846</x:v>
      </x:c>
      <x:c r="B18" s="10" t="s">
        <x:v>847</x:v>
      </x:c>
      <x:c r="C18" s="25" t="s">
        <x:v>829</x:v>
      </x:c>
      <x:c r="D18" s="47" t="s">
        <x:v>848</x:v>
      </x:c>
      <x:c r="E18" s="10" t="s">
        <x:v>780</x:v>
      </x:c>
      <x:c r="F18" s="10" t="s">
        <x:v>849</x:v>
      </x:c>
    </x:row>
    <x:row r="19">
      <x:c r="A19" s="10" t="s">
        <x:v>850</x:v>
      </x:c>
      <x:c r="B19" s="10" t="s">
        <x:v>851</x:v>
      </x:c>
      <x:c r="C19" s="25" t="s">
        <x:v>852</x:v>
      </x:c>
      <x:c r="D19" s="10" t="s">
        <x:v>853</x:v>
      </x:c>
      <x:c r="E19" s="10" t="s">
        <x:v>780</x:v>
      </x:c>
      <x:c r="F19" s="10" t="s">
        <x:v>854</x:v>
      </x:c>
    </x:row>
    <x:row r="20">
      <x:c r="A20" s="10" t="s">
        <x:v>855</x:v>
      </x:c>
      <x:c r="B20" s="10" t="s">
        <x:v>856</x:v>
      </x:c>
      <x:c r="C20" s="25" t="s">
        <x:v>852</x:v>
      </x:c>
      <x:c r="D20" s="10" t="s">
        <x:v>857</x:v>
      </x:c>
      <x:c r="E20" s="10" t="s">
        <x:v>780</x:v>
      </x:c>
      <x:c r="F20" s="10" t="s">
        <x:v>858</x:v>
      </x:c>
    </x:row>
    <x:row r="21">
      <x:c r="A21" s="10" t="s">
        <x:v>859</x:v>
      </x:c>
      <x:c r="B21" s="10" t="s">
        <x:v>860</x:v>
      </x:c>
      <x:c r="C21" s="25" t="s">
        <x:v>861</x:v>
      </x:c>
      <x:c r="D21" s="10" t="s">
        <x:v>862</x:v>
      </x:c>
      <x:c r="E21" s="10" t="s">
        <x:v>780</x:v>
      </x:c>
      <x:c r="F21" s="10" t="s">
        <x:v>863</x:v>
      </x:c>
    </x:row>
    <x:row r="22">
      <x:c r="A22" s="10" t="s">
        <x:v>864</x:v>
      </x:c>
      <x:c r="B22" s="10" t="s">
        <x:v>297</x:v>
      </x:c>
      <x:c r="C22" s="25" t="s">
        <x:v>852</x:v>
      </x:c>
      <x:c r="D22" s="10" t="s">
        <x:v>865</x:v>
      </x:c>
      <x:c r="E22" s="10" t="s">
        <x:v>780</x:v>
      </x:c>
      <x:c r="F22" s="10" t="s">
        <x:v>866</x:v>
      </x:c>
    </x:row>
    <x:row r="23">
      <x:c r="A23" s="10" t="s">
        <x:v>867</x:v>
      </x:c>
      <x:c r="B23" s="10" t="s">
        <x:v>868</x:v>
      </x:c>
      <x:c r="C23" s="25" t="s">
        <x:v>869</x:v>
      </x:c>
      <x:c r="D23" s="10" t="s">
        <x:v>870</x:v>
      </x:c>
      <x:c r="E23" s="10" t="s">
        <x:v>780</x:v>
      </x:c>
      <x:c r="F23" s="10" t="s">
        <x:v>871</x:v>
      </x:c>
    </x:row>
    <x:row r="24">
      <x:c r="A24" s="10" t="s">
        <x:v>872</x:v>
      </x:c>
      <x:c r="B24" s="10" t="s">
        <x:v>873</x:v>
      </x:c>
      <x:c r="C24" s="25" t="s">
        <x:v>874</x:v>
      </x:c>
      <x:c r="D24" s="10" t="s">
        <x:v>875</x:v>
      </x:c>
      <x:c r="E24" s="10" t="s">
        <x:v>780</x:v>
      </x:c>
      <x:c r="F24" s="10" t="s">
        <x:v>876</x:v>
      </x:c>
    </x:row>
    <x:row r="25">
      <x:c r="A25" s="10" t="s">
        <x:v>877</x:v>
      </x:c>
      <x:c r="B25" s="10" t="s">
        <x:v>878</x:v>
      </x:c>
      <x:c r="C25" s="25" t="s">
        <x:v>879</x:v>
      </x:c>
      <x:c r="D25" s="10" t="s">
        <x:v>880</x:v>
      </x:c>
      <x:c r="E25" s="10" t="s">
        <x:v>780</x:v>
      </x:c>
      <x:c r="F25" s="10" t="s">
        <x:v>881</x:v>
      </x:c>
    </x:row>
    <x:row r="26">
      <x:c r="A26" s="10" t="s">
        <x:v>882</x:v>
      </x:c>
      <x:c r="B26" s="10" t="s">
        <x:v>883</x:v>
      </x:c>
      <x:c r="C26" s="25" t="s">
        <x:v>884</x:v>
      </x:c>
      <x:c r="D26" s="10" t="s">
        <x:v>885</x:v>
      </x:c>
      <x:c r="E26" s="10" t="s">
        <x:v>780</x:v>
      </x:c>
      <x:c r="F26" s="10" t="s">
        <x:v>886</x:v>
      </x:c>
    </x:row>
    <x:row r="27">
      <x:c r="A27" s="10" t="s">
        <x:v>887</x:v>
      </x:c>
      <x:c r="B27" s="10" t="s">
        <x:v>888</x:v>
      </x:c>
      <x:c r="C27" s="25" t="s">
        <x:v>874</x:v>
      </x:c>
      <x:c r="D27" s="10" t="s">
        <x:v>889</x:v>
      </x:c>
      <x:c r="E27" s="10" t="s">
        <x:v>780</x:v>
      </x:c>
      <x:c r="F27" s="10" t="s">
        <x:v>890</x:v>
      </x:c>
    </x:row>
    <x:row r="28">
      <x:c r="A28" s="47" t="s">
        <x:v>891</x:v>
      </x:c>
      <x:c r="B28" s="47" t="s">
        <x:v>892</x:v>
      </x:c>
      <x:c r="C28" s="25" t="s">
        <x:v>893</x:v>
      </x:c>
      <x:c r="D28" s="47" t="s">
        <x:v>894</x:v>
      </x:c>
      <x:c r="E28" s="10" t="s">
        <x:v>780</x:v>
      </x:c>
      <x:c r="F28" s="10" t="s">
        <x:v>895</x:v>
      </x:c>
    </x:row>
    <x:row r="29">
      <x:c r="A29" s="10" t="s">
        <x:v>896</x:v>
      </x:c>
      <x:c r="B29" s="10" t="s">
        <x:v>897</x:v>
      </x:c>
      <x:c r="C29" s="25" t="s">
        <x:v>879</x:v>
      </x:c>
      <x:c r="D29" s="10" t="s">
        <x:v>898</x:v>
      </x:c>
      <x:c r="E29" s="10" t="s">
        <x:v>780</x:v>
      </x:c>
      <x:c r="F29" s="10" t="s">
        <x:v>899</x:v>
      </x:c>
    </x:row>
    <x:row r="30">
      <x:c r="A30" s="10" t="s">
        <x:v>900</x:v>
      </x:c>
      <x:c r="B30" s="10" t="s">
        <x:v>284</x:v>
      </x:c>
      <x:c r="C30" s="25" t="s">
        <x:v>874</x:v>
      </x:c>
      <x:c r="D30" s="10" t="s">
        <x:v>901</x:v>
      </x:c>
      <x:c r="E30" s="10" t="s">
        <x:v>780</x:v>
      </x:c>
      <x:c r="F30" s="10" t="s">
        <x:v>902</x:v>
      </x:c>
    </x:row>
    <x:row r="31">
      <x:c r="A31" s="10" t="s">
        <x:v>903</x:v>
      </x:c>
      <x:c r="B31" s="10" t="s">
        <x:v>317</x:v>
      </x:c>
      <x:c r="C31" s="25" t="s">
        <x:v>879</x:v>
      </x:c>
      <x:c r="D31" s="10" t="s">
        <x:v>904</x:v>
      </x:c>
      <x:c r="E31" s="10" t="s">
        <x:v>780</x:v>
      </x:c>
      <x:c r="F31" s="10" t="s">
        <x:v>905</x:v>
      </x:c>
    </x:row>
    <x:row r="32">
      <x:c r="A32" s="10" t="s">
        <x:v>906</x:v>
      </x:c>
      <x:c r="B32" s="10" t="s">
        <x:v>335</x:v>
      </x:c>
      <x:c r="C32" s="25" t="s">
        <x:v>907</x:v>
      </x:c>
      <x:c r="D32" s="10" t="s">
        <x:v>908</x:v>
      </x:c>
      <x:c r="E32" s="10" t="s">
        <x:v>780</x:v>
      </x:c>
      <x:c r="F32" s="10" t="s">
        <x:v>909</x:v>
      </x:c>
    </x:row>
    <x:row r="33">
      <x:c r="A33" s="10" t="s">
        <x:v>910</x:v>
      </x:c>
      <x:c r="B33" s="10" t="s">
        <x:v>911</x:v>
      </x:c>
      <x:c r="C33" s="25" t="s">
        <x:v>912</x:v>
      </x:c>
      <x:c r="D33" s="10" t="s">
        <x:v>913</x:v>
      </x:c>
      <x:c r="E33" s="10" t="s">
        <x:v>780</x:v>
      </x:c>
      <x:c r="F33" s="10" t="s">
        <x:v>914</x:v>
      </x:c>
    </x:row>
    <x:row r="34">
      <x:c r="A34" s="10" t="s">
        <x:v>915</x:v>
      </x:c>
      <x:c r="B34" s="10" t="s">
        <x:v>916</x:v>
      </x:c>
      <x:c r="C34" s="25" t="s">
        <x:v>917</x:v>
      </x:c>
      <x:c r="D34" s="10" t="s">
        <x:v>918</x:v>
      </x:c>
      <x:c r="E34" s="10" t="s">
        <x:v>780</x:v>
      </x:c>
      <x:c r="F34" s="10" t="s">
        <x:v>919</x:v>
      </x:c>
    </x:row>
    <x:row r="35">
      <x:c r="A35" s="10" t="s">
        <x:v>920</x:v>
      </x:c>
      <x:c r="B35" s="10" t="s">
        <x:v>921</x:v>
      </x:c>
      <x:c r="C35" s="25" t="s">
        <x:v>922</x:v>
      </x:c>
      <x:c r="D35" s="10" t="s">
        <x:v>923</x:v>
      </x:c>
      <x:c r="E35" s="10" t="s">
        <x:v>780</x:v>
      </x:c>
      <x:c r="F35" s="10" t="s">
        <x:v>924</x:v>
      </x:c>
    </x:row>
    <x:row r="36">
      <x:c r="A36" s="10" t="s">
        <x:v>925</x:v>
      </x:c>
      <x:c r="B36" s="10" t="s">
        <x:v>926</x:v>
      </x:c>
      <x:c r="C36" s="25" t="s">
        <x:v>912</x:v>
      </x:c>
      <x:c r="D36" s="10" t="s">
        <x:v>927</x:v>
      </x:c>
      <x:c r="E36" s="10" t="s">
        <x:v>780</x:v>
      </x:c>
      <x:c r="F36" s="10" t="s">
        <x:v>928</x:v>
      </x:c>
    </x:row>
    <x:row r="37">
      <x:c r="A37" s="47" t="s">
        <x:v>929</x:v>
      </x:c>
      <x:c r="B37" s="47" t="s">
        <x:v>930</x:v>
      </x:c>
      <x:c r="C37" s="25" t="s">
        <x:v>931</x:v>
      </x:c>
      <x:c r="D37" s="10" t="s">
        <x:v>932</x:v>
      </x:c>
      <x:c r="E37" s="10" t="s">
        <x:v>780</x:v>
      </x:c>
      <x:c r="F37" s="10" t="s">
        <x:v>933</x:v>
      </x:c>
    </x:row>
    <x:row r="38">
      <x:c r="A38" s="10" t="s">
        <x:v>934</x:v>
      </x:c>
      <x:c r="B38" s="10" t="s">
        <x:v>935</x:v>
      </x:c>
      <x:c r="C38" s="25" t="s">
        <x:v>912</x:v>
      </x:c>
      <x:c r="D38" s="10" t="s">
        <x:v>936</x:v>
      </x:c>
      <x:c r="E38" s="10" t="s">
        <x:v>780</x:v>
      </x:c>
      <x:c r="F38" s="10" t="s">
        <x:v>937</x:v>
      </x:c>
    </x:row>
    <x:row r="39">
      <x:c r="A39" s="10" t="s">
        <x:v>938</x:v>
      </x:c>
      <x:c r="B39" s="10" t="s">
        <x:v>309</x:v>
      </x:c>
      <x:c r="C39" s="25" t="s">
        <x:v>912</x:v>
      </x:c>
      <x:c r="D39" s="10" t="s">
        <x:v>939</x:v>
      </x:c>
      <x:c r="E39" s="10" t="s">
        <x:v>780</x:v>
      </x:c>
      <x:c r="F39" s="10" t="s">
        <x:v>940</x:v>
      </x:c>
    </x:row>
    <x:row r="40">
      <x:c r="A40" s="10" t="s">
        <x:v>941</x:v>
      </x:c>
      <x:c r="B40" s="10" t="s">
        <x:v>942</x:v>
      </x:c>
      <x:c r="C40" s="25" t="s">
        <x:v>943</x:v>
      </x:c>
      <x:c r="D40" s="10" t="s">
        <x:v>944</x:v>
      </x:c>
      <x:c r="E40" s="10" t="s">
        <x:v>780</x:v>
      </x:c>
      <x:c r="F40" s="10" t="s">
        <x:v>945</x:v>
      </x:c>
    </x:row>
    <x:row r="41">
      <x:c r="A41" s="10" t="s">
        <x:v>946</x:v>
      </x:c>
      <x:c r="B41" s="10" t="s">
        <x:v>947</x:v>
      </x:c>
      <x:c r="C41" s="25" t="s">
        <x:v>948</x:v>
      </x:c>
      <x:c r="D41" s="10" t="s">
        <x:v>949</x:v>
      </x:c>
      <x:c r="E41" s="10" t="s">
        <x:v>780</x:v>
      </x:c>
      <x:c r="F41" s="10" t="s">
        <x:v>950</x:v>
      </x:c>
    </x:row>
    <x:row r="42">
      <x:c r="A42" s="10" t="s">
        <x:v>951</x:v>
      </x:c>
      <x:c r="B42" s="10" t="s">
        <x:v>952</x:v>
      </x:c>
      <x:c r="C42" s="25" t="s">
        <x:v>953</x:v>
      </x:c>
      <x:c r="D42" s="10" t="s">
        <x:v>954</x:v>
      </x:c>
      <x:c r="E42" s="10" t="s">
        <x:v>780</x:v>
      </x:c>
      <x:c r="F42" s="10" t="s">
        <x:v>955</x:v>
      </x:c>
    </x:row>
    <x:row r="43">
      <x:c r="A43" s="10" t="s">
        <x:v>956</x:v>
      </x:c>
      <x:c r="B43" s="10" t="s">
        <x:v>957</x:v>
      </x:c>
      <x:c r="C43" s="25" t="s">
        <x:v>958</x:v>
      </x:c>
      <x:c r="D43" s="10" t="s">
        <x:v>959</x:v>
      </x:c>
      <x:c r="E43" s="10" t="s">
        <x:v>780</x:v>
      </x:c>
      <x:c r="F43" s="10" t="s">
        <x:v>960</x:v>
      </x:c>
    </x:row>
    <x:row r="44">
      <x:c r="A44" s="10" t="s">
        <x:v>961</x:v>
      </x:c>
      <x:c r="B44" s="10" t="s">
        <x:v>962</x:v>
      </x:c>
      <x:c r="C44" s="25" t="s">
        <x:v>963</x:v>
      </x:c>
      <x:c r="D44" s="10" t="s">
        <x:v>964</x:v>
      </x:c>
      <x:c r="E44" s="10" t="s">
        <x:v>780</x:v>
      </x:c>
      <x:c r="F44" s="10" t="s">
        <x:v>965</x:v>
      </x:c>
    </x:row>
    <x:row r="45">
      <x:c r="A45" s="10" t="s">
        <x:v>966</x:v>
      </x:c>
      <x:c r="B45" s="10" t="s">
        <x:v>386</x:v>
      </x:c>
      <x:c r="C45" s="25" t="s">
        <x:v>953</x:v>
      </x:c>
      <x:c r="D45" s="10" t="s">
        <x:v>967</x:v>
      </x:c>
      <x:c r="E45" s="10" t="s">
        <x:v>780</x:v>
      </x:c>
      <x:c r="F45" s="10" t="s">
        <x:v>968</x:v>
      </x:c>
    </x:row>
    <x:row r="46">
      <x:c r="A46" s="10" t="s">
        <x:v>969</x:v>
      </x:c>
      <x:c r="B46" s="10" t="s">
        <x:v>347</x:v>
      </x:c>
      <x:c r="C46" s="25" t="s">
        <x:v>958</x:v>
      </x:c>
      <x:c r="D46" s="10" t="s">
        <x:v>970</x:v>
      </x:c>
      <x:c r="E46" s="10" t="s">
        <x:v>780</x:v>
      </x:c>
      <x:c r="F46" s="10" t="s">
        <x:v>971</x:v>
      </x:c>
    </x:row>
    <x:row r="47">
      <x:c r="A47" s="47" t="s">
        <x:v>972</x:v>
      </x:c>
      <x:c r="B47" s="47" t="s">
        <x:v>394</x:v>
      </x:c>
      <x:c r="C47" s="25" t="s">
        <x:v>973</x:v>
      </x:c>
      <x:c r="D47" s="10" t="s">
        <x:v>974</x:v>
      </x:c>
      <x:c r="E47" s="10" t="s">
        <x:v>780</x:v>
      </x:c>
      <x:c r="F47" s="10" t="s">
        <x:v>975</x:v>
      </x:c>
    </x:row>
    <x:row r="48">
      <x:c r="A48" s="10" t="s">
        <x:v>976</x:v>
      </x:c>
      <x:c r="B48" s="10" t="s">
        <x:v>977</x:v>
      </x:c>
      <x:c r="C48" s="25" t="s">
        <x:v>978</x:v>
      </x:c>
      <x:c r="D48" s="10" t="s">
        <x:v>979</x:v>
      </x:c>
      <x:c r="E48" s="10" t="s">
        <x:v>780</x:v>
      </x:c>
      <x:c r="F48" s="10" t="s">
        <x:v>980</x:v>
      </x:c>
    </x:row>
    <x:row r="49">
      <x:c r="A49" s="10" t="s">
        <x:v>981</x:v>
      </x:c>
      <x:c r="B49" s="10" t="s">
        <x:v>982</x:v>
      </x:c>
      <x:c r="C49" s="25" t="s">
        <x:v>983</x:v>
      </x:c>
      <x:c r="D49" s="10" t="s">
        <x:v>984</x:v>
      </x:c>
      <x:c r="E49" s="10" t="s">
        <x:v>780</x:v>
      </x:c>
      <x:c r="F49" s="10" t="s">
        <x:v>985</x:v>
      </x:c>
    </x:row>
    <x:row r="50" ht="15" customHeight="1">
      <x:c r="C50" s="25"/>
    </x:row>
    <x:row r="51" ht="15" customHeight="1">
      <x:c r="C51" s="25"/>
    </x:row>
    <x:row r="53" ht="15" customHeight="1">
      <x:c r="C53" s="25"/>
    </x:row>
    <x:row r="54" ht="15" customHeight="1">
      <x:c r="C54" s="25"/>
    </x:row>
    <x:row r="55" ht="15" customHeight="1">
      <x:c r="C55" s="25"/>
    </x:row>
    <x:row r="56" ht="15" customHeight="1">
      <x:c r="C56" s="25"/>
    </x:row>
    <x:row r="57" ht="15" customHeight="1">
      <x:c r="C57" s="25"/>
    </x:row>
    <x:row r="58" ht="15" customHeight="1">
      <x:c r="C58" s="25"/>
    </x:row>
    <x:row r="59" ht="15" customHeight="1">
      <x:c r="C59" s="25"/>
    </x:row>
    <x:row r="60" ht="15" customHeight="1">
      <x:c r="C60" s="25"/>
    </x:row>
    <x:row r="61" ht="15" customHeight="1">
      <x:c r="C61" s="25"/>
    </x:row>
    <x:row r="62" ht="15" customHeight="1">
      <x:c r="C62" s="25"/>
    </x:row>
    <x:row r="63" ht="15" customHeight="1">
      <x:c r="C63" s="25"/>
    </x:row>
    <x:row r="64" ht="15" customHeight="1">
      <x:c r="C64" s="25"/>
    </x:row>
    <x:row r="65" ht="15" customHeight="1">
      <x:c r="C65" s="25"/>
    </x:row>
    <x:row r="66" ht="15" customHeight="1">
      <x:c r="C66" s="25"/>
    </x:row>
    <x:row r="67" ht="15" customHeight="1">
      <x:c r="C67" s="25"/>
    </x:row>
    <x:row r="68" ht="15" customHeight="1">
      <x:c r="C68" s="25"/>
    </x:row>
    <x:row r="69" ht="15" customHeight="1">
      <x:c r="C69" s="25"/>
    </x:row>
    <x:row r="70" ht="15" customHeight="1">
      <x:c r="C70" s="25"/>
    </x:row>
    <x:row r="71" ht="15" customHeight="1">
      <x:c r="C71" s="25"/>
    </x:row>
    <x:row r="72" ht="15" customHeight="1">
      <x:c r="C72" s="25"/>
    </x:row>
    <x:row r="73" ht="15" customHeight="1">
      <x:c r="C73" s="25"/>
    </x:row>
    <x:row r="74" ht="15" customHeight="1">
      <x:c r="C74" s="25"/>
    </x:row>
    <x:row r="75" ht="15" customHeight="1">
      <x:c r="C75" s="25"/>
    </x:row>
    <x:row r="76" ht="15" customHeight="1">
      <x:c r="C76" s="25"/>
    </x:row>
    <x:row r="77" ht="15" customHeight="1">
      <x:c r="C77" s="25"/>
    </x:row>
    <x:row r="78" ht="15" customHeight="1">
      <x:c r="C78" s="25"/>
    </x:row>
    <x:row r="79" ht="15" customHeight="1">
      <x:c r="C79" s="25"/>
    </x:row>
    <x:row r="80" ht="15" customHeight="1">
      <x:c r="C80" s="25"/>
    </x:row>
    <x:row r="81" ht="15" customHeight="1">
      <x:c r="C81" s="25"/>
    </x:row>
    <x:row r="82" ht="15" customHeight="1">
      <x:c r="C82" s="25"/>
    </x:row>
    <x:row r="83" ht="15" customHeight="1">
      <x:c r="C83" s="25"/>
    </x:row>
    <x:row r="84" ht="15" customHeight="1">
      <x:c r="C84" s="25"/>
    </x:row>
    <x:row r="85" ht="15" customHeight="1">
      <x:c r="C85" s="25"/>
    </x:row>
    <x:row r="86" ht="15" customHeight="1">
      <x:c r="C86" s="25"/>
    </x:row>
    <x:row r="88" ht="15" customHeight="1">
      <x:c r="C88" s="25"/>
    </x:row>
    <x:row r="89" ht="15" customHeight="1">
      <x:c r="C89" s="25"/>
    </x:row>
    <x:row r="90" ht="15" customHeight="1">
      <x:c r="C90" s="25"/>
    </x:row>
    <x:row r="91" ht="15" customHeight="1">
      <x:c r="C91" s="25"/>
    </x:row>
    <x:row r="92" ht="15" customHeight="1">
      <x:c r="C92" s="25"/>
    </x:row>
    <x:row r="93" ht="15" customHeight="1">
      <x:c r="C93" s="25"/>
    </x:row>
    <x:row r="94" ht="15" customHeight="1">
      <x:c r="C94" s="25"/>
    </x:row>
    <x:row r="95" ht="15" customHeight="1">
      <x:c r="C95" s="25"/>
    </x:row>
    <x:row r="96" ht="15" customHeight="1">
      <x:c r="C96" s="25"/>
    </x:row>
    <x:row r="97" ht="15" customHeight="1">
      <x:c r="C97" s="25"/>
    </x:row>
    <x:row r="98" ht="15" customHeight="1">
      <x:c r="C98" s="25"/>
    </x:row>
    <x:row r="99" ht="15" customHeight="1">
      <x:c r="C99" s="25"/>
    </x:row>
    <x:row r="100" ht="15" customHeight="1">
      <x:c r="C100" s="25"/>
    </x:row>
    <x:row r="101" ht="15" customHeight="1">
      <x:c r="C101" s="25"/>
    </x:row>
    <x:row r="102" ht="15" customHeight="1">
      <x:c r="C102" s="25"/>
    </x:row>
    <x:row r="103" ht="15" customHeight="1">
      <x:c r="C103" s="25"/>
    </x:row>
    <x:row r="105" ht="15" customHeight="1">
      <x:c r="C105" s="25"/>
    </x:row>
    <x:row r="106" ht="15" customHeight="1">
      <x:c r="C106" s="25"/>
    </x:row>
    <x:row r="107" ht="15" customHeight="1">
      <x:c r="C107" s="25"/>
    </x:row>
    <x:row r="108" ht="15" customHeight="1">
      <x:c r="C108" s="25"/>
    </x:row>
    <x:row r="109" ht="15" customHeight="1">
      <x:c r="C109" s="25"/>
    </x:row>
    <x:row r="110" ht="15" customHeight="1">
      <x:c r="C110" s="25"/>
    </x:row>
    <x:row r="111" ht="15" customHeight="1">
      <x:c r="C111" s="25"/>
    </x:row>
    <x:row r="112" ht="15" customHeight="1">
      <x:c r="C112" s="25"/>
    </x:row>
    <x:row r="114" ht="15" customHeight="1">
      <x:c r="C114" s="24"/>
    </x:row>
  </x:sheetData>
  <x:pageMargins left="0.7" right="0.7" top="0.75" bottom="0.75" header="0.3" footer="0.3"/>
</x:worksheet>
</file>

<file path=xl/worksheets/sheet5.xml><?xml version="1.0" encoding="utf-8"?>
<x:worksheet xmlns:x="http://schemas.openxmlformats.org/spreadsheetml/2006/main">
  <x:sheetFormatPr defaultColWidth="9" defaultRowHeight="18.75"/>
  <x:cols>
    <x:col min="1" max="1" width="19" style="4" customWidth="1"/>
    <x:col min="2" max="2" width="4.5" style="32" customWidth="1"/>
    <x:col min="3" max="3" width="3.875" style="32" customWidth="1"/>
    <x:col min="4" max="5" width="4.5" style="32" customWidth="1"/>
    <x:col min="6" max="9" width="4.5" style="27" customWidth="1"/>
    <x:col min="10" max="11" width="4.5" style="33" customWidth="1"/>
    <x:col min="12" max="12" width="4.25" style="33" customWidth="1"/>
    <x:col min="13" max="13" width="3.875" style="33" customWidth="1"/>
    <x:col min="14" max="14" width="4" style="34" customWidth="1"/>
    <x:col min="15" max="15" width="3.875" style="34" customWidth="1"/>
    <x:col min="16" max="16" width="4.25" style="34" customWidth="1"/>
    <x:col min="17" max="17" width="4" style="34" customWidth="1"/>
    <x:col min="18" max="18" width="4.5" style="32" customWidth="1"/>
    <x:col min="19" max="19" width="3.875" style="32" customWidth="1"/>
    <x:col min="20" max="21" width="4.5" style="32" customWidth="1"/>
    <x:col min="22" max="22" width="5.125" style="35" customWidth="1"/>
    <x:col min="23" max="23" width="5" style="35" customWidth="1"/>
    <x:col min="24" max="24" width="4.875" style="35" customWidth="1"/>
    <x:col min="25" max="25" width="5.125" style="35" customWidth="1"/>
    <x:col min="26" max="26" width="5.25" style="35" customWidth="1"/>
    <x:col min="27" max="27" width="5.125" style="35" customWidth="1"/>
    <x:col min="28" max="28" width="5" style="35" customWidth="1"/>
    <x:col min="29" max="29" width="5.25" style="35" customWidth="1"/>
    <x:col min="30" max="116" width="9" style="9" customWidth="1"/>
    <x:col min="117" max="16384" width="9" style="9" customWidth="0"/>
  </x:cols>
  <x:sheetData>
    <x:row r="1" ht="15.399999618530273" customHeight="1">
      <x:c r="A1" s="8" t="s">
        <x:v>771</x:v>
      </x:c>
      <x:c r="B1" s="28" t="s">
        <x:v>986</x:v>
      </x:c>
      <x:c r="C1" s="28" t="s">
        <x:v>987</x:v>
      </x:c>
      <x:c r="D1" s="28" t="s">
        <x:v>988</x:v>
      </x:c>
      <x:c r="E1" s="28" t="s">
        <x:v>989</x:v>
      </x:c>
      <x:c r="F1" s="26" t="s">
        <x:v>990</x:v>
      </x:c>
      <x:c r="G1" s="26" t="s">
        <x:v>991</x:v>
      </x:c>
      <x:c r="H1" s="26" t="s">
        <x:v>992</x:v>
      </x:c>
      <x:c r="I1" s="26" t="s">
        <x:v>993</x:v>
      </x:c>
      <x:c r="J1" s="29" t="s">
        <x:v>994</x:v>
      </x:c>
      <x:c r="K1" s="29" t="s">
        <x:v>995</x:v>
      </x:c>
      <x:c r="L1" s="29" t="s">
        <x:v>996</x:v>
      </x:c>
      <x:c r="M1" s="29" t="s">
        <x:v>997</x:v>
      </x:c>
      <x:c r="N1" s="30" t="s">
        <x:v>998</x:v>
      </x:c>
      <x:c r="O1" s="30" t="s">
        <x:v>999</x:v>
      </x:c>
      <x:c r="P1" s="30" t="s">
        <x:v>1000</x:v>
      </x:c>
      <x:c r="Q1" s="30" t="s">
        <x:v>1001</x:v>
      </x:c>
      <x:c r="R1" s="28" t="s">
        <x:v>1002</x:v>
      </x:c>
      <x:c r="S1" s="28" t="s">
        <x:v>1003</x:v>
      </x:c>
      <x:c r="T1" s="28" t="s">
        <x:v>1004</x:v>
      </x:c>
      <x:c r="U1" s="28" t="s">
        <x:v>1005</x:v>
      </x:c>
      <x:c r="V1" s="31" t="s">
        <x:v>1006</x:v>
      </x:c>
      <x:c r="W1" s="31" t="s">
        <x:v>1007</x:v>
      </x:c>
      <x:c r="X1" s="31" t="s">
        <x:v>1008</x:v>
      </x:c>
      <x:c r="Y1" s="31" t="s">
        <x:v>1009</x:v>
      </x:c>
      <x:c r="Z1" s="31" t="s">
        <x:v>1010</x:v>
      </x:c>
      <x:c r="AA1" s="31" t="s">
        <x:v>1011</x:v>
      </x:c>
      <x:c r="AB1" s="31" t="s">
        <x:v>1012</x:v>
      </x:c>
      <x:c r="AC1" s="31" t="s">
        <x:v>1013</x:v>
      </x:c>
    </x:row>
    <x:row r="2" ht="18" customHeight="1">
      <x:c r="A2" s="10" t="s">
        <x:v>777</x:v>
      </x:c>
      <x:c r="B2" s="32">
        <x:v>1.5</x:v>
      </x:c>
      <x:c r="D2" s="32">
        <x:v>0.5</x:v>
      </x:c>
    </x:row>
    <x:row r="3" ht="18" customHeight="1">
      <x:c r="A3" s="10" t="s">
        <x:v>783</x:v>
      </x:c>
      <x:c r="B3" s="32">
        <x:v>0.5</x:v>
      </x:c>
      <x:c r="D3" s="32">
        <x:v>0.5</x:v>
      </x:c>
    </x:row>
    <x:row r="4" ht="18" customHeight="1">
      <x:c r="A4" s="10" t="s">
        <x:v>787</x:v>
      </x:c>
      <x:c r="D4" s="32">
        <x:v>1.5</x:v>
      </x:c>
    </x:row>
    <x:row r="5" ht="18" customHeight="1">
      <x:c r="A5" s="10" t="s">
        <x:v>363</x:v>
      </x:c>
      <x:c r="D5" s="32">
        <x:v>1.5</x:v>
      </x:c>
      <x:c r="E5" s="32">
        <x:v>0.5</x:v>
      </x:c>
    </x:row>
    <x:row r="6" ht="18" customHeight="1">
      <x:c r="A6" s="10" t="s">
        <x:v>794</x:v>
      </x:c>
      <x:c r="D6" s="32">
        <x:v>0.5</x:v>
      </x:c>
      <x:c r="E6" s="32">
        <x:v>0.5</x:v>
      </x:c>
    </x:row>
    <x:row r="7" ht="18" customHeight="1">
      <x:c r="A7" s="10" t="s">
        <x:v>798</x:v>
      </x:c>
      <x:c r="B7" s="32">
        <x:v>0.5</x:v>
      </x:c>
    </x:row>
    <x:row r="8" ht="18" customHeight="1">
      <x:c r="A8" s="10" t="s">
        <x:v>803</x:v>
      </x:c>
      <x:c r="B8" s="32">
        <x:v>1.3</x:v>
      </x:c>
      <x:c r="D8" s="32">
        <x:v>0.5</x:v>
      </x:c>
      <x:c r="E8" s="32">
        <x:v>1.3</x:v>
      </x:c>
    </x:row>
    <x:row r="9" ht="18" customHeight="1">
      <x:c r="A9" s="10" t="s">
        <x:v>808</x:v>
      </x:c>
      <x:c r="B9" s="32">
        <x:v>1.3</x:v>
      </x:c>
      <x:c r="D9" s="32">
        <x:v>1.5</x:v>
      </x:c>
      <x:c r="E9" s="32">
        <x:v>1.3</x:v>
      </x:c>
    </x:row>
    <x:row r="10" ht="18" customHeight="1">
      <x:c r="A10" s="10" t="s">
        <x:v>812</x:v>
      </x:c>
      <x:c r="B10" s="32">
        <x:v>1.3</x:v>
      </x:c>
      <x:c r="D10" s="32">
        <x:v>0.7</x:v>
      </x:c>
      <x:c r="E10" s="32">
        <x:v>1.5</x:v>
      </x:c>
    </x:row>
    <x:row r="11" ht="18" customHeight="1">
      <x:c r="A11" s="10" t="s">
        <x:v>816</x:v>
      </x:c>
      <x:c r="B11" s="32">
        <x:v>1.5</x:v>
      </x:c>
      <x:c r="D11" s="32">
        <x:v>0.7</x:v>
      </x:c>
      <x:c r="E11" s="32">
        <x:v>1.3</x:v>
      </x:c>
    </x:row>
    <x:row r="12" ht="18" customHeight="1">
      <x:c r="A12" s="10" t="s">
        <x:v>820</x:v>
      </x:c>
      <x:c r="T12" s="32">
        <x:v>1.5</x:v>
      </x:c>
    </x:row>
    <x:row r="13" ht="18" customHeight="1">
      <x:c r="A13" s="10" t="s">
        <x:v>371</x:v>
      </x:c>
      <x:c r="R13" s="32">
        <x:v>0.5</x:v>
      </x:c>
    </x:row>
    <x:row r="14" ht="18" customHeight="1">
      <x:c r="A14" s="10" t="s">
        <x:v>828</x:v>
      </x:c>
      <x:c r="U14" s="32">
        <x:v>1.5</x:v>
      </x:c>
    </x:row>
    <x:row r="15" ht="18" customHeight="1">
      <x:c r="A15" s="10" t="s">
        <x:v>379</x:v>
      </x:c>
      <x:c r="T15" s="32">
        <x:v>1.5</x:v>
      </x:c>
      <x:c r="U15" s="32">
        <x:v>0.5</x:v>
      </x:c>
    </x:row>
    <x:row r="16" ht="18" customHeight="1">
      <x:c r="A16" s="10" t="s">
        <x:v>837</x:v>
      </x:c>
      <x:c r="T16" s="32">
        <x:v>1.5</x:v>
      </x:c>
      <x:c r="U16" s="32">
        <x:v>1.5</x:v>
      </x:c>
    </x:row>
    <x:row r="17" ht="18" customHeight="1">
      <x:c r="A17" s="10" t="s">
        <x:v>842</x:v>
      </x:c>
      <x:c r="D17" s="32">
        <x:v>0.5</x:v>
      </x:c>
      <x:c r="T17" s="32">
        <x:v>1.5</x:v>
      </x:c>
    </x:row>
    <x:row r="18" ht="18" customHeight="1">
      <x:c r="A18" s="10" t="s">
        <x:v>847</x:v>
      </x:c>
      <x:c r="D18" s="32">
        <x:v>0.5</x:v>
      </x:c>
      <x:c r="U18" s="32">
        <x:v>1.5</x:v>
      </x:c>
    </x:row>
    <x:row r="19" ht="18" customHeight="1">
      <x:c r="A19" s="10" t="s">
        <x:v>851</x:v>
      </x:c>
      <x:c r="N19" s="34">
        <x:v>0.5</x:v>
      </x:c>
    </x:row>
    <x:row r="20" ht="18" customHeight="1">
      <x:c r="A20" s="10" t="s">
        <x:v>856</x:v>
      </x:c>
      <x:c r="Q20" s="34">
        <x:v>1.5</x:v>
      </x:c>
    </x:row>
    <x:row r="21" ht="18" customHeight="1">
      <x:c r="A21" s="10" t="s">
        <x:v>860</x:v>
      </x:c>
      <x:c r="N21" s="34">
        <x:v>0.5</x:v>
      </x:c>
      <x:c r="P21" s="34">
        <x:v>0.5</x:v>
      </x:c>
      <x:c r="Q21" s="34">
        <x:v>1.5</x:v>
      </x:c>
    </x:row>
    <x:row r="22" ht="18" customHeight="1">
      <x:c r="A22" s="10" t="s">
        <x:v>297</x:v>
      </x:c>
      <x:c r="N22" s="34">
        <x:v>0.5</x:v>
      </x:c>
      <x:c r="Q22" s="34">
        <x:v>1.5</x:v>
      </x:c>
    </x:row>
    <x:row r="23">
      <x:c r="A23" s="10" t="s">
        <x:v>868</x:v>
      </x:c>
      <x:c r="D23" s="32">
        <x:v>0.5</x:v>
      </x:c>
      <x:c r="Q23" s="34">
        <x:v>1.5</x:v>
      </x:c>
    </x:row>
    <x:row r="24" ht="18" customHeight="1">
      <x:c r="A24" s="10" t="s">
        <x:v>873</x:v>
      </x:c>
      <x:c r="H24" s="27">
        <x:v>0.5</x:v>
      </x:c>
    </x:row>
    <x:row r="25" ht="18" customHeight="1">
      <x:c r="A25" s="10" t="s">
        <x:v>878</x:v>
      </x:c>
      <x:c r="H25" s="27">
        <x:v>1.5</x:v>
      </x:c>
    </x:row>
    <x:row r="26" ht="18" customHeight="1">
      <x:c r="A26" s="10" t="s">
        <x:v>883</x:v>
      </x:c>
      <x:c r="I26" s="27">
        <x:v>1.5</x:v>
      </x:c>
    </x:row>
    <x:row r="27" ht="18" customHeight="1">
      <x:c r="A27" s="10" t="s">
        <x:v>888</x:v>
      </x:c>
      <x:c r="F27" s="27">
        <x:v>0.5</x:v>
      </x:c>
    </x:row>
    <x:row r="28" ht="18" customHeight="1">
      <x:c r="A28" s="10" t="s">
        <x:v>892</x:v>
      </x:c>
      <x:c r="G28" s="27">
        <x:v>1.5</x:v>
      </x:c>
    </x:row>
    <x:row r="29" ht="18" customHeight="1">
      <x:c r="A29" s="10" t="s">
        <x:v>897</x:v>
      </x:c>
      <x:c r="G29" s="27">
        <x:v>0.5</x:v>
      </x:c>
      <x:c r="H29" s="27">
        <x:v>1.5</x:v>
      </x:c>
      <x:c r="I29" s="27">
        <x:v>0.5</x:v>
      </x:c>
    </x:row>
    <x:row r="30" ht="18" customHeight="1">
      <x:c r="A30" s="10" t="s">
        <x:v>284</x:v>
      </x:c>
      <x:c r="F30" s="27">
        <x:v>0.5</x:v>
      </x:c>
      <x:c r="H30" s="27">
        <x:v>0.5</x:v>
      </x:c>
    </x:row>
    <x:row r="31" ht="18" customHeight="1">
      <x:c r="A31" s="10" t="s">
        <x:v>317</x:v>
      </x:c>
      <x:c r="H31" s="27">
        <x:v>1.5</x:v>
      </x:c>
      <x:c r="I31" s="27">
        <x:v>1.5</x:v>
      </x:c>
    </x:row>
    <x:row r="32" ht="18" customHeight="1">
      <x:c r="A32" s="10" t="s">
        <x:v>335</x:v>
      </x:c>
      <x:c r="G32" s="27">
        <x:v>0.5</x:v>
      </x:c>
      <x:c r="N32" s="34">
        <x:v>0.5</x:v>
      </x:c>
    </x:row>
    <x:row r="33" ht="18" customHeight="1">
      <x:c r="A33" s="10" t="s">
        <x:v>911</x:v>
      </x:c>
      <x:c r="L33" s="33">
        <x:v>1.5</x:v>
      </x:c>
    </x:row>
    <x:row r="34" ht="18" customHeight="1">
      <x:c r="A34" s="10" t="s">
        <x:v>916</x:v>
      </x:c>
      <x:c r="L34" s="33">
        <x:v>0.7</x:v>
      </x:c>
    </x:row>
    <x:row r="35" ht="18" customHeight="1">
      <x:c r="A35" s="10" t="s">
        <x:v>921</x:v>
      </x:c>
      <x:c r="J35" s="33">
        <x:v>1.5</x:v>
      </x:c>
    </x:row>
    <x:row r="36" ht="18" customHeight="1">
      <x:c r="A36" s="10" t="s">
        <x:v>926</x:v>
      </x:c>
      <x:c r="K36" s="33">
        <x:v>0.5</x:v>
      </x:c>
    </x:row>
    <x:row r="37" ht="18" customHeight="1">
      <x:c r="A37" s="10" t="s">
        <x:v>930</x:v>
      </x:c>
      <x:c r="K37" s="33">
        <x:v>1.5</x:v>
      </x:c>
    </x:row>
    <x:row r="38" ht="18" customHeight="1">
      <x:c r="A38" s="10" t="s">
        <x:v>935</x:v>
      </x:c>
      <x:c r="K38" s="33">
        <x:v>0.5</x:v>
      </x:c>
      <x:c r="L38" s="33">
        <x:v>1.5</x:v>
      </x:c>
      <x:c r="M38" s="33">
        <x:v>0.5</x:v>
      </x:c>
    </x:row>
    <x:row r="39" ht="18" customHeight="1">
      <x:c r="A39" s="10" t="s">
        <x:v>309</x:v>
      </x:c>
      <x:c r="J39" s="33">
        <x:v>1.5</x:v>
      </x:c>
      <x:c r="L39" s="33">
        <x:v>1.5</x:v>
      </x:c>
    </x:row>
    <x:row r="40" ht="18" customHeight="1">
      <x:c r="A40" s="10" t="s">
        <x:v>942</x:v>
      </x:c>
      <x:c r="J40" s="33">
        <x:v>1.5</x:v>
      </x:c>
      <x:c r="N40" s="34">
        <x:v>0.5</x:v>
      </x:c>
    </x:row>
    <x:row r="41">
      <x:c r="A41" s="10" t="s">
        <x:v>947</x:v>
      </x:c>
      <x:c r="R41" s="32">
        <x:v>0.5</x:v>
      </x:c>
      <x:c r="Z41" s="35">
        <x:v>0.5</x:v>
      </x:c>
    </x:row>
    <x:row r="42" ht="18" customHeight="1">
      <x:c r="A42" s="10" t="s">
        <x:v>952</x:v>
      </x:c>
      <x:c r="W42" s="35">
        <x:v>0.5</x:v>
      </x:c>
      <x:c r="Y42" s="35">
        <x:v>0.5</x:v>
      </x:c>
      <x:c r="AB42" s="35">
        <x:v>1.5</x:v>
      </x:c>
    </x:row>
    <x:row r="43" ht="18" customHeight="1">
      <x:c r="A43" s="10" t="s">
        <x:v>957</x:v>
      </x:c>
      <x:c r="Y43" s="35">
        <x:v>1.5</x:v>
      </x:c>
      <x:c r="Z43" s="35">
        <x:v>0.5</x:v>
      </x:c>
      <x:c r="AB43" s="35">
        <x:v>0.5</x:v>
      </x:c>
    </x:row>
    <x:row r="44" ht="18" customHeight="1">
      <x:c r="A44" s="10" t="s">
        <x:v>962</x:v>
      </x:c>
      <x:c r="Q44" s="34">
        <x:v>1.5</x:v>
      </x:c>
      <x:c r="Y44" s="35">
        <x:v>1.5</x:v>
      </x:c>
      <x:c r="Z44" s="35">
        <x:v>0.5</x:v>
      </x:c>
      <x:c r="AB44" s="35">
        <x:v>0.5</x:v>
      </x:c>
    </x:row>
    <x:row r="45" ht="18" customHeight="1">
      <x:c r="A45" s="10" t="s">
        <x:v>386</x:v>
      </x:c>
      <x:c r="W45" s="35">
        <x:v>0.5</x:v>
      </x:c>
      <x:c r="Z45" s="35">
        <x:v>0.5</x:v>
      </x:c>
    </x:row>
    <x:row r="46" ht="18" customHeight="1">
      <x:c r="A46" s="10" t="s">
        <x:v>347</x:v>
      </x:c>
      <x:c r="Y46" s="35">
        <x:v>1.5</x:v>
      </x:c>
      <x:c r="Z46" s="35">
        <x:v>0.5</x:v>
      </x:c>
    </x:row>
    <x:row r="47" ht="18" customHeight="1">
      <x:c r="A47" s="10" t="s">
        <x:v>394</x:v>
      </x:c>
      <x:c r="Q47" s="34">
        <x:v>1.5</x:v>
      </x:c>
      <x:c r="W47" s="35">
        <x:v>1.5</x:v>
      </x:c>
      <x:c r="Z47" s="35">
        <x:v>1.5</x:v>
      </x:c>
    </x:row>
    <x:row r="48" ht="18" customHeight="1">
      <x:c r="A48" s="10" t="s">
        <x:v>977</x:v>
      </x:c>
      <x:c r="H48" s="27">
        <x:v>1.5</x:v>
      </x:c>
      <x:c r="W48" s="35">
        <x:v>0.5</x:v>
      </x:c>
      <x:c r="Y48" s="35">
        <x:v>0.5</x:v>
      </x:c>
      <x:c r="AB48" s="35">
        <x:v>1.5</x:v>
      </x:c>
    </x:row>
    <x:row r="49" ht="18" customHeight="1">
      <x:c r="A49" s="10" t="s">
        <x:v>982</x:v>
      </x:c>
      <x:c r="B49" s="32">
        <x:v>1.3</x:v>
      </x:c>
      <x:c r="D49" s="32">
        <x:v>1.3</x:v>
      </x:c>
      <x:c r="E49" s="32">
        <x:v>0.7</x:v>
      </x:c>
      <x:c r="F49" s="27">
        <x:v>1.3</x:v>
      </x:c>
      <x:c r="H49" s="27">
        <x:v>1.3</x:v>
      </x:c>
      <x:c r="I49" s="27">
        <x:v>0.7</x:v>
      </x:c>
      <x:c r="N49" s="34">
        <x:v>1.5</x:v>
      </x:c>
      <x:c r="P49" s="34">
        <x:v>1.5</x:v>
      </x:c>
      <x:c r="Q49" s="34">
        <x:v>0.5</x:v>
      </x:c>
      <x:c r="R49" s="32">
        <x:v>1.5</x:v>
      </x:c>
      <x:c r="T49" s="32">
        <x:v>1.5</x:v>
      </x:c>
      <x:c r="U49" s="32">
        <x:v>0.5</x:v>
      </x:c>
    </x:row>
    <x:row r="50">
      <x:c r="A50" s="10"/>
    </x:row>
  </x:sheetData>
  <x:pageMargins left="0.7" right="0.7" top="0.75" bottom="0.75" header="0.3" footer="0.3"/>
</x:worksheet>
</file>

<file path=xl/worksheets/sheet6.xml><?xml version="1.0" encoding="utf-8"?>
<x:worksheet xmlns:x="http://schemas.openxmlformats.org/spreadsheetml/2006/main">
  <x:sheetFormatPr defaultRowHeight="18.75"/>
  <x:cols>
    <x:col min="1" max="1" width="25.5" style="3" customWidth="1"/>
    <x:col min="2" max="2" width="15.125" style="3" customWidth="1"/>
    <x:col min="3" max="3" width="21.375" style="3" customWidth="1"/>
    <x:col min="4" max="4" width="49.125" style="3" customWidth="1"/>
    <x:col min="5" max="5" width="13" style="3" customWidth="1"/>
    <x:col min="6" max="6" width="16" hidden="0" customWidth="1"/>
    <x:col min="7" max="7" width="18" hidden="0" customWidth="1"/>
    <x:col min="8" max="8" width="12" hidden="0" customWidth="1"/>
    <x:col min="9" max="9" width="14" hidden="0" customWidth="1"/>
  </x:cols>
  <x:sheetData>
    <x:row r="1" ht="15" customHeight="1">
      <x:c r="A1" s="1" t="s">
        <x:v>1014</x:v>
      </x:c>
      <x:c r="B1" s="1" t="s">
        <x:v>1015</x:v>
      </x:c>
      <x:c r="C1" s="2" t="s">
        <x:v>1016</x:v>
      </x:c>
      <x:c r="D1" s="2" t="s">
        <x:v>774</x:v>
      </x:c>
      <x:c r="E1" s="2" t="s">
        <x:v>775</x:v>
      </x:c>
      <x:c r="F1" s="84" t="str">
        <x:v>IngredientCost</x:v>
      </x:c>
      <x:c r="G1" s="84" t="str">
        <x:v>FormulaSellPrice</x:v>
      </x:c>
      <x:c r="H1" s="85" t="str">
        <x:v>Profit</x:v>
      </x:c>
      <x:c r="I1" s="85" t="str">
        <x:v>ProfitMargin</x:v>
      </x:c>
    </x:row>
    <x:row r="2" ht="18" customHeight="1">
      <x:c r="A2" s="7" t="s">
        <x:v>1017</x:v>
      </x:c>
      <x:c r="B2" s="7" t="s">
        <x:v>779</x:v>
      </x:c>
      <x:c r="C2" s="7" t="s">
        <x:v>777</x:v>
      </x:c>
      <x:c r="D2" s="7" t="s">
        <x:v>1018</x:v>
      </x:c>
      <x:c r="E2" s="7" t="s">
        <x:v>1019</x:v>
      </x:c>
      <x:c r="F2" s="82" t="n">
        <x:f>ROUND(SUMIF('FormulaIngredient'!$A$2:$A$356,B2,'FormulaIngredient'!$I$2:$I$356),0)</x:f>
        <x:v>30</x:v>
      </x:c>
      <x:c r="G2" s="82" t="n">
        <x:f>ROUND(SUMIF('FormulaIngredient'!$A$2:$A$356,B2,'FormulaIngredient'!$J$2:$J$356),0)</x:f>
        <x:v>51</x:v>
      </x:c>
      <x:c r="H2" s="82" t="n">
        <x:f>G2-F2</x:f>
        <x:v>21</x:v>
      </x:c>
      <x:c r="I2" s="83" t="n">
        <x:f>IF(G2=0,0,H2/G2)</x:f>
        <x:v>0.4117647058823529</x:v>
      </x:c>
    </x:row>
    <x:row r="3" ht="18" customHeight="1">
      <x:c r="A3" s="7" t="s">
        <x:v>1020</x:v>
      </x:c>
      <x:c r="B3" s="7" t="s">
        <x:v>784</x:v>
      </x:c>
      <x:c r="C3" s="7" t="s">
        <x:v>783</x:v>
      </x:c>
      <x:c r="D3" s="7" t="s">
        <x:v>1018</x:v>
      </x:c>
      <x:c r="E3" s="7" t="s">
        <x:v>1021</x:v>
      </x:c>
      <x:c r="F3" s="82" t="n">
        <x:f>ROUND(SUMIF('FormulaIngredient'!$A$2:$A$356,B3,'FormulaIngredient'!$I$2:$I$356),0)</x:f>
        <x:v>38</x:v>
      </x:c>
      <x:c r="G3" s="82" t="n">
        <x:f>ROUND(SUMIF('FormulaIngredient'!$A$2:$A$356,B3,'FormulaIngredient'!$J$2:$J$356),0)</x:f>
        <x:v>64</x:v>
      </x:c>
      <x:c r="H3" s="82" t="n">
        <x:f>G3-F3</x:f>
        <x:v>26</x:v>
      </x:c>
      <x:c r="I3" s="83" t="n">
        <x:f>IF(G3=0,0,H3/G3)</x:f>
        <x:v>0.40625</x:v>
      </x:c>
    </x:row>
    <x:row r="4" ht="18" customHeight="1">
      <x:c r="A4" s="7" t="s">
        <x:v>1022</x:v>
      </x:c>
      <x:c r="B4" s="7" t="s">
        <x:v>788</x:v>
      </x:c>
      <x:c r="C4" s="7" t="s">
        <x:v>787</x:v>
      </x:c>
      <x:c r="D4" s="7" t="s">
        <x:v>1023</x:v>
      </x:c>
      <x:c r="E4" s="7" t="s">
        <x:v>1024</x:v>
      </x:c>
      <x:c r="F4" s="82" t="n">
        <x:f>ROUND(SUMIF('FormulaIngredient'!$A$2:$A$356,B4,'FormulaIngredient'!$I$2:$I$356),0)</x:f>
        <x:v>264</x:v>
      </x:c>
      <x:c r="G4" s="82" t="n">
        <x:f>ROUND(SUMIF('FormulaIngredient'!$A$2:$A$356,B4,'FormulaIngredient'!$J$2:$J$356),0)</x:f>
        <x:v>482</x:v>
      </x:c>
      <x:c r="H4" s="82" t="n">
        <x:f>G4-F4</x:f>
        <x:v>218</x:v>
      </x:c>
      <x:c r="I4" s="83" t="n">
        <x:f>IF(G4=0,0,H4/G4)</x:f>
        <x:v>0.45228215767634855</x:v>
      </x:c>
    </x:row>
    <x:row r="5" ht="18" customHeight="1">
      <x:c r="A5" s="7" t="s">
        <x:v>1025</x:v>
      </x:c>
      <x:c r="B5" s="7" t="s">
        <x:v>791</x:v>
      </x:c>
      <x:c r="C5" s="7" t="s">
        <x:v>363</x:v>
      </x:c>
      <x:c r="D5" s="7" t="s">
        <x:v>1023</x:v>
      </x:c>
      <x:c r="E5" s="7" t="s">
        <x:v>1026</x:v>
      </x:c>
      <x:c r="F5" s="82" t="n">
        <x:f>ROUND(SUMIF('FormulaIngredient'!$A$2:$A$356,B5,'FormulaIngredient'!$I$2:$I$356),0)</x:f>
        <x:v>38</x:v>
      </x:c>
      <x:c r="G5" s="82" t="n">
        <x:f>ROUND(SUMIF('FormulaIngredient'!$A$2:$A$356,B5,'FormulaIngredient'!$J$2:$J$356),0)</x:f>
        <x:v>67</x:v>
      </x:c>
      <x:c r="H5" s="82" t="n">
        <x:f>G5-F5</x:f>
        <x:v>29</x:v>
      </x:c>
      <x:c r="I5" s="83" t="n">
        <x:f>IF(G5=0,0,H5/G5)</x:f>
        <x:v>0.43283582089552236</x:v>
      </x:c>
    </x:row>
    <x:row r="6" ht="18" customHeight="1">
      <x:c r="A6" s="7" t="s">
        <x:v>1027</x:v>
      </x:c>
      <x:c r="B6" s="7" t="s">
        <x:v>795</x:v>
      </x:c>
      <x:c r="C6" s="7" t="s">
        <x:v>794</x:v>
      </x:c>
      <x:c r="D6" s="7" t="s">
        <x:v>1023</x:v>
      </x:c>
      <x:c r="E6" s="7" t="s">
        <x:v>1028</x:v>
      </x:c>
      <x:c r="F6" s="82" t="n">
        <x:f>ROUND(SUMIF('FormulaIngredient'!$A$2:$A$356,B6,'FormulaIngredient'!$I$2:$I$356),0)</x:f>
        <x:v>88</x:v>
      </x:c>
      <x:c r="G6" s="82" t="n">
        <x:f>ROUND(SUMIF('FormulaIngredient'!$A$2:$A$356,B6,'FormulaIngredient'!$J$2:$J$356),0)</x:f>
        <x:v>156</x:v>
      </x:c>
      <x:c r="H6" s="82" t="n">
        <x:f>G6-F6</x:f>
        <x:v>68</x:v>
      </x:c>
      <x:c r="I6" s="83" t="n">
        <x:f>IF(G6=0,0,H6/G6)</x:f>
        <x:v>0.4358974358974359</x:v>
      </x:c>
    </x:row>
    <x:row r="7" ht="18" customHeight="1">
      <x:c r="A7" s="7" t="s">
        <x:v>1029</x:v>
      </x:c>
      <x:c r="B7" s="7" t="s">
        <x:v>800</x:v>
      </x:c>
      <x:c r="C7" s="7" t="s">
        <x:v>798</x:v>
      </x:c>
      <x:c r="D7" s="7" t="s">
        <x:v>1030</x:v>
      </x:c>
      <x:c r="E7" s="7" t="s">
        <x:v>1031</x:v>
      </x:c>
      <x:c r="F7" s="82" t="n">
        <x:f>ROUND(SUMIF('FormulaIngredient'!$A$2:$A$356,B7,'FormulaIngredient'!$I$2:$I$356),0)</x:f>
        <x:v>155</x:v>
      </x:c>
      <x:c r="G7" s="82" t="n">
        <x:f>ROUND(SUMIF('FormulaIngredient'!$A$2:$A$356,B7,'FormulaIngredient'!$J$2:$J$356),0)</x:f>
        <x:v>255</x:v>
      </x:c>
      <x:c r="H7" s="82" t="n">
        <x:f>G7-F7</x:f>
        <x:v>100</x:v>
      </x:c>
      <x:c r="I7" s="83" t="n">
        <x:f>IF(G7=0,0,H7/G7)</x:f>
        <x:v>0.39215686274509803</x:v>
      </x:c>
    </x:row>
    <x:row r="8" ht="18" customHeight="1">
      <x:c r="A8" s="7" t="s">
        <x:v>1032</x:v>
      </x:c>
      <x:c r="B8" s="7" t="s">
        <x:v>805</x:v>
      </x:c>
      <x:c r="C8" s="7" t="s">
        <x:v>803</x:v>
      </x:c>
      <x:c r="D8" s="7" t="s">
        <x:v>1033</x:v>
      </x:c>
      <x:c r="E8" s="7" t="s">
        <x:v>1034</x:v>
      </x:c>
      <x:c r="F8" s="82" t="n">
        <x:f>ROUND(SUMIF('FormulaIngredient'!$A$2:$A$356,B8,'FormulaIngredient'!$I$2:$I$356),0)</x:f>
        <x:v>548</x:v>
      </x:c>
      <x:c r="G8" s="82" t="n">
        <x:f>ROUND(SUMIF('FormulaIngredient'!$A$2:$A$356,B8,'FormulaIngredient'!$J$2:$J$356),0)</x:f>
        <x:v>1236</x:v>
      </x:c>
      <x:c r="H8" s="82" t="n">
        <x:f>G8-F8</x:f>
        <x:v>688</x:v>
      </x:c>
      <x:c r="I8" s="83" t="n">
        <x:f>IF(G8=0,0,H8/G8)</x:f>
        <x:v>0.5566343042071198</x:v>
      </x:c>
    </x:row>
    <x:row r="9" ht="18" customHeight="1">
      <x:c r="A9" s="7" t="s">
        <x:v>1035</x:v>
      </x:c>
      <x:c r="B9" s="7" t="s">
        <x:v>809</x:v>
      </x:c>
      <x:c r="C9" s="7" t="s">
        <x:v>808</x:v>
      </x:c>
      <x:c r="D9" s="7" t="s">
        <x:v>1033</x:v>
      </x:c>
      <x:c r="E9" s="7" t="s">
        <x:v>1036</x:v>
      </x:c>
      <x:c r="F9" s="82" t="n">
        <x:f>ROUND(SUMIF('FormulaIngredient'!$A$2:$A$356,B9,'FormulaIngredient'!$I$2:$I$356),0)</x:f>
        <x:v>73</x:v>
      </x:c>
      <x:c r="G9" s="82" t="n">
        <x:f>ROUND(SUMIF('FormulaIngredient'!$A$2:$A$356,B9,'FormulaIngredient'!$J$2:$J$356),0)</x:f>
        <x:v>134</x:v>
      </x:c>
      <x:c r="H9" s="82" t="n">
        <x:f>G9-F9</x:f>
        <x:v>61</x:v>
      </x:c>
      <x:c r="I9" s="83" t="n">
        <x:f>IF(G9=0,0,H9/G9)</x:f>
        <x:v>0.4552238805970149</x:v>
      </x:c>
    </x:row>
    <x:row r="10" ht="18" customHeight="1">
      <x:c r="A10" s="7" t="s">
        <x:v>1037</x:v>
      </x:c>
      <x:c r="B10" s="7" t="s">
        <x:v>813</x:v>
      </x:c>
      <x:c r="C10" s="7" t="s">
        <x:v>812</x:v>
      </x:c>
      <x:c r="D10" s="7" t="s">
        <x:v>1038</x:v>
      </x:c>
      <x:c r="E10" s="7" t="s">
        <x:v>1039</x:v>
      </x:c>
      <x:c r="F10" s="82" t="n">
        <x:f>ROUND(SUMIF('FormulaIngredient'!$A$2:$A$356,B10,'FormulaIngredient'!$I$2:$I$356),0)</x:f>
        <x:v>122</x:v>
      </x:c>
      <x:c r="G10" s="82" t="n">
        <x:f>ROUND(SUMIF('FormulaIngredient'!$A$2:$A$356,B10,'FormulaIngredient'!$J$2:$J$356),0)</x:f>
        <x:v>209</x:v>
      </x:c>
      <x:c r="H10" s="82" t="n">
        <x:f>G10-F10</x:f>
        <x:v>87</x:v>
      </x:c>
      <x:c r="I10" s="83" t="n">
        <x:f>IF(G10=0,0,H10/G10)</x:f>
        <x:v>0.41626794258373206</x:v>
      </x:c>
    </x:row>
    <x:row r="11" ht="18" customHeight="1">
      <x:c r="A11" s="7" t="s">
        <x:v>1040</x:v>
      </x:c>
      <x:c r="B11" s="7" t="s">
        <x:v>817</x:v>
      </x:c>
      <x:c r="C11" s="7" t="s">
        <x:v>816</x:v>
      </x:c>
      <x:c r="D11" s="7" t="s">
        <x:v>1041</x:v>
      </x:c>
      <x:c r="E11" s="7" t="s">
        <x:v>1042</x:v>
      </x:c>
      <x:c r="F11" s="82" t="n">
        <x:f>ROUND(SUMIF('FormulaIngredient'!$A$2:$A$356,B11,'FormulaIngredient'!$I$2:$I$356),0)</x:f>
        <x:v>105</x:v>
      </x:c>
      <x:c r="G11" s="82" t="n">
        <x:f>ROUND(SUMIF('FormulaIngredient'!$A$2:$A$356,B11,'FormulaIngredient'!$J$2:$J$356),0)</x:f>
        <x:v>179</x:v>
      </x:c>
      <x:c r="H11" s="82" t="n">
        <x:f>G11-F11</x:f>
        <x:v>74</x:v>
      </x:c>
      <x:c r="I11" s="83" t="n">
        <x:f>IF(G11=0,0,H11/G11)</x:f>
        <x:v>0.4134078212290503</x:v>
      </x:c>
    </x:row>
    <x:row r="12" ht="18" customHeight="1">
      <x:c r="A12" s="7" t="s">
        <x:v>1043</x:v>
      </x:c>
      <x:c r="B12" s="7" t="s">
        <x:v>821</x:v>
      </x:c>
      <x:c r="C12" s="7" t="s">
        <x:v>820</x:v>
      </x:c>
      <x:c r="D12" s="7" t="s">
        <x:v>1018</x:v>
      </x:c>
      <x:c r="E12" s="7" t="s">
        <x:v>1044</x:v>
      </x:c>
      <x:c r="F12" s="82" t="n">
        <x:f>ROUND(SUMIF('FormulaIngredient'!$A$2:$A$356,B12,'FormulaIngredient'!$I$2:$I$356),0)</x:f>
        <x:v>36</x:v>
      </x:c>
      <x:c r="G12" s="82" t="n">
        <x:f>ROUND(SUMIF('FormulaIngredient'!$A$2:$A$356,B12,'FormulaIngredient'!$J$2:$J$356),0)</x:f>
        <x:v>66</x:v>
      </x:c>
      <x:c r="H12" s="82" t="n">
        <x:f>G12-F12</x:f>
        <x:v>30</x:v>
      </x:c>
      <x:c r="I12" s="83" t="n">
        <x:f>IF(G12=0,0,H12/G12)</x:f>
        <x:v>0.45454545454545453</x:v>
      </x:c>
    </x:row>
    <x:row r="13" ht="18" customHeight="1">
      <x:c r="A13" s="7" t="s">
        <x:v>1045</x:v>
      </x:c>
      <x:c r="B13" s="7" t="s">
        <x:v>825</x:v>
      </x:c>
      <x:c r="C13" s="7" t="s">
        <x:v>371</x:v>
      </x:c>
      <x:c r="D13" s="7" t="s">
        <x:v>1046</x:v>
      </x:c>
      <x:c r="E13" s="7" t="s">
        <x:v>1047</x:v>
      </x:c>
      <x:c r="F13" s="82" t="n">
        <x:f>ROUND(SUMIF('FormulaIngredient'!$A$2:$A$356,B13,'FormulaIngredient'!$I$2:$I$356),0)</x:f>
        <x:v>314</x:v>
      </x:c>
      <x:c r="G13" s="82" t="n">
        <x:f>ROUND(SUMIF('FormulaIngredient'!$A$2:$A$356,B13,'FormulaIngredient'!$J$2:$J$356),0)</x:f>
        <x:v>447</x:v>
      </x:c>
      <x:c r="H13" s="82" t="n">
        <x:f>G13-F13</x:f>
        <x:v>133</x:v>
      </x:c>
      <x:c r="I13" s="83" t="n">
        <x:f>IF(G13=0,0,H13/G13)</x:f>
        <x:v>0.2975391498881432</x:v>
      </x:c>
    </x:row>
    <x:row r="14" ht="18" customHeight="1">
      <x:c r="A14" s="7" t="s">
        <x:v>1048</x:v>
      </x:c>
      <x:c r="B14" s="7" t="s">
        <x:v>830</x:v>
      </x:c>
      <x:c r="C14" s="7" t="s">
        <x:v>828</x:v>
      </x:c>
      <x:c r="D14" s="7" t="s">
        <x:v>1041</x:v>
      </x:c>
      <x:c r="E14" s="7" t="s">
        <x:v>1049</x:v>
      </x:c>
      <x:c r="F14" s="82" t="n">
        <x:f>ROUND(SUMIF('FormulaIngredient'!$A$2:$A$356,B14,'FormulaIngredient'!$I$2:$I$356),0)</x:f>
        <x:v>58</x:v>
      </x:c>
      <x:c r="G14" s="82" t="n">
        <x:f>ROUND(SUMIF('FormulaIngredient'!$A$2:$A$356,B14,'FormulaIngredient'!$J$2:$J$356),0)</x:f>
        <x:v>100</x:v>
      </x:c>
      <x:c r="H14" s="82" t="n">
        <x:f>G14-F14</x:f>
        <x:v>42</x:v>
      </x:c>
      <x:c r="I14" s="83" t="n">
        <x:f>IF(G14=0,0,H14/G14)</x:f>
        <x:v>0.42</x:v>
      </x:c>
    </x:row>
    <x:row r="15" ht="18" customHeight="1">
      <x:c r="A15" s="7" t="s">
        <x:v>1050</x:v>
      </x:c>
      <x:c r="B15" s="7" t="s">
        <x:v>834</x:v>
      </x:c>
      <x:c r="C15" s="7" t="s">
        <x:v>379</x:v>
      </x:c>
      <x:c r="D15" s="7" t="s">
        <x:v>1023</x:v>
      </x:c>
      <x:c r="E15" s="7" t="s">
        <x:v>1051</x:v>
      </x:c>
      <x:c r="F15" s="82" t="n">
        <x:f>ROUND(SUMIF('FormulaIngredient'!$A$2:$A$356,B15,'FormulaIngredient'!$I$2:$I$356),0)</x:f>
        <x:v>79</x:v>
      </x:c>
      <x:c r="G15" s="82" t="n">
        <x:f>ROUND(SUMIF('FormulaIngredient'!$A$2:$A$356,B15,'FormulaIngredient'!$J$2:$J$356),0)</x:f>
        <x:v>139</x:v>
      </x:c>
      <x:c r="H15" s="82" t="n">
        <x:f>G15-F15</x:f>
        <x:v>60</x:v>
      </x:c>
      <x:c r="I15" s="83" t="n">
        <x:f>IF(G15=0,0,H15/G15)</x:f>
        <x:v>0.4316546762589928</x:v>
      </x:c>
    </x:row>
    <x:row r="16" ht="18" customHeight="1">
      <x:c r="A16" s="7" t="s">
        <x:v>1052</x:v>
      </x:c>
      <x:c r="B16" s="7" t="s">
        <x:v>839</x:v>
      </x:c>
      <x:c r="C16" s="7" t="s">
        <x:v>837</x:v>
      </x:c>
      <x:c r="D16" s="7" t="s">
        <x:v>1053</x:v>
      </x:c>
      <x:c r="E16" s="7" t="s">
        <x:v>1054</x:v>
      </x:c>
      <x:c r="F16" s="82" t="n">
        <x:f>ROUND(SUMIF('FormulaIngredient'!$A$2:$A$356,B16,'FormulaIngredient'!$I$2:$I$356),0)</x:f>
        <x:v>525</x:v>
      </x:c>
      <x:c r="G16" s="82" t="n">
        <x:f>ROUND(SUMIF('FormulaIngredient'!$A$2:$A$356,B16,'FormulaIngredient'!$J$2:$J$356),0)</x:f>
        <x:v>925</x:v>
      </x:c>
      <x:c r="H16" s="82" t="n">
        <x:f>G16-F16</x:f>
        <x:v>400</x:v>
      </x:c>
      <x:c r="I16" s="83" t="n">
        <x:f>IF(G16=0,0,H16/G16)</x:f>
        <x:v>0.43243243243243246</x:v>
      </x:c>
    </x:row>
    <x:row r="17" ht="18" customHeight="1">
      <x:c r="A17" s="7" t="s">
        <x:v>1055</x:v>
      </x:c>
      <x:c r="B17" s="7" t="s">
        <x:v>844</x:v>
      </x:c>
      <x:c r="C17" s="7" t="s">
        <x:v>842</x:v>
      </x:c>
      <x:c r="D17" s="7" t="s">
        <x:v>1018</x:v>
      </x:c>
      <x:c r="E17" s="7" t="s">
        <x:v>1056</x:v>
      </x:c>
      <x:c r="F17" s="82" t="n">
        <x:f>ROUND(SUMIF('FormulaIngredient'!$A$2:$A$356,B17,'FormulaIngredient'!$I$2:$I$356),0)</x:f>
        <x:v>67</x:v>
      </x:c>
      <x:c r="G17" s="82" t="n">
        <x:f>ROUND(SUMIF('FormulaIngredient'!$A$2:$A$356,B17,'FormulaIngredient'!$J$2:$J$356),0)</x:f>
        <x:v>121</x:v>
      </x:c>
      <x:c r="H17" s="82" t="n">
        <x:f>G17-F17</x:f>
        <x:v>54</x:v>
      </x:c>
      <x:c r="I17" s="83" t="n">
        <x:f>IF(G17=0,0,H17/G17)</x:f>
        <x:v>0.4462809917355372</x:v>
      </x:c>
    </x:row>
    <x:row r="18" ht="18" customHeight="1">
      <x:c r="A18" s="7" t="s">
        <x:v>1057</x:v>
      </x:c>
      <x:c r="B18" s="7" t="s">
        <x:v>848</x:v>
      </x:c>
      <x:c r="C18" s="7" t="s">
        <x:v>847</x:v>
      </x:c>
      <x:c r="D18" s="7" t="s">
        <x:v>1018</x:v>
      </x:c>
      <x:c r="E18" s="7" t="s">
        <x:v>1058</x:v>
      </x:c>
      <x:c r="F18" s="82" t="n">
        <x:f>ROUND(SUMIF('FormulaIngredient'!$A$2:$A$356,B18,'FormulaIngredient'!$I$2:$I$356),0)</x:f>
        <x:v>96</x:v>
      </x:c>
      <x:c r="G18" s="82" t="n">
        <x:f>ROUND(SUMIF('FormulaIngredient'!$A$2:$A$356,B18,'FormulaIngredient'!$J$2:$J$356),0)</x:f>
        <x:v>164</x:v>
      </x:c>
      <x:c r="H18" s="82" t="n">
        <x:f>G18-F18</x:f>
        <x:v>68</x:v>
      </x:c>
      <x:c r="I18" s="83" t="n">
        <x:f>IF(G18=0,0,H18/G18)</x:f>
        <x:v>0.4146341463414634</x:v>
      </x:c>
    </x:row>
    <x:row r="19" ht="18" customHeight="1">
      <x:c r="A19" s="7" t="s">
        <x:v>1059</x:v>
      </x:c>
      <x:c r="B19" s="7" t="s">
        <x:v>853</x:v>
      </x:c>
      <x:c r="C19" s="7" t="s">
        <x:v>851</x:v>
      </x:c>
      <x:c r="D19" s="7" t="s">
        <x:v>1041</x:v>
      </x:c>
      <x:c r="E19" s="7" t="s">
        <x:v>1060</x:v>
      </x:c>
      <x:c r="F19" s="82" t="n">
        <x:f>ROUND(SUMIF('FormulaIngredient'!$A$2:$A$356,B19,'FormulaIngredient'!$I$2:$I$356),0)</x:f>
        <x:v>277</x:v>
      </x:c>
      <x:c r="G19" s="82" t="n">
        <x:f>ROUND(SUMIF('FormulaIngredient'!$A$2:$A$356,B19,'FormulaIngredient'!$J$2:$J$356),0)</x:f>
        <x:v>370</x:v>
      </x:c>
      <x:c r="H19" s="82" t="n">
        <x:f>G19-F19</x:f>
        <x:v>93</x:v>
      </x:c>
      <x:c r="I19" s="83" t="n">
        <x:f>IF(G19=0,0,H19/G19)</x:f>
        <x:v>0.25135135135135134</x:v>
      </x:c>
    </x:row>
    <x:row r="20" ht="18" customHeight="1">
      <x:c r="A20" s="7" t="s">
        <x:v>1061</x:v>
      </x:c>
      <x:c r="B20" s="11" t="s">
        <x:v>857</x:v>
      </x:c>
      <x:c r="C20" s="7" t="s">
        <x:v>856</x:v>
      </x:c>
      <x:c r="D20" s="7" t="s">
        <x:v>1041</x:v>
      </x:c>
      <x:c r="E20" s="7" t="s">
        <x:v>1062</x:v>
      </x:c>
      <x:c r="F20" s="82" t="n">
        <x:f>ROUND(SUMIF('FormulaIngredient'!$A$2:$A$356,B20,'FormulaIngredient'!$I$2:$I$356),0)</x:f>
        <x:v>37</x:v>
      </x:c>
      <x:c r="G20" s="82" t="n">
        <x:f>ROUND(SUMIF('FormulaIngredient'!$A$2:$A$356,B20,'FormulaIngredient'!$J$2:$J$356),0)</x:f>
        <x:v>65</x:v>
      </x:c>
      <x:c r="H20" s="82" t="n">
        <x:f>G20-F20</x:f>
        <x:v>28</x:v>
      </x:c>
      <x:c r="I20" s="83" t="n">
        <x:f>IF(G20=0,0,H20/G20)</x:f>
        <x:v>0.4307692307692308</x:v>
      </x:c>
    </x:row>
    <x:row r="21" ht="18" customHeight="1">
      <x:c r="A21" s="7" t="s">
        <x:v>1063</x:v>
      </x:c>
      <x:c r="B21" s="7" t="s">
        <x:v>862</x:v>
      </x:c>
      <x:c r="C21" s="7" t="s">
        <x:v>860</x:v>
      </x:c>
      <x:c r="D21" s="7" t="s">
        <x:v>1018</x:v>
      </x:c>
      <x:c r="E21" s="7" t="s">
        <x:v>1064</x:v>
      </x:c>
      <x:c r="F21" s="82" t="n">
        <x:f>ROUND(SUMIF('FormulaIngredient'!$A$2:$A$356,B21,'FormulaIngredient'!$I$2:$I$356),0)</x:f>
        <x:v>355</x:v>
      </x:c>
      <x:c r="G21" s="82" t="n">
        <x:f>ROUND(SUMIF('FormulaIngredient'!$A$2:$A$356,B21,'FormulaIngredient'!$J$2:$J$356),0)</x:f>
        <x:v>485</x:v>
      </x:c>
      <x:c r="H21" s="82" t="n">
        <x:f>G21-F21</x:f>
        <x:v>130</x:v>
      </x:c>
      <x:c r="I21" s="83" t="n">
        <x:f>IF(G21=0,0,H21/G21)</x:f>
        <x:v>0.26804123711340205</x:v>
      </x:c>
    </x:row>
    <x:row r="22" ht="18" customHeight="1">
      <x:c r="A22" s="7" t="s">
        <x:v>1065</x:v>
      </x:c>
      <x:c r="B22" s="7" t="s">
        <x:v>865</x:v>
      </x:c>
      <x:c r="C22" s="7" t="s">
        <x:v>297</x:v>
      </x:c>
      <x:c r="D22" s="7" t="s">
        <x:v>1041</x:v>
      </x:c>
      <x:c r="E22" s="7" t="s">
        <x:v>1066</x:v>
      </x:c>
      <x:c r="F22" s="82" t="n">
        <x:f>ROUND(SUMIF('FormulaIngredient'!$A$2:$A$356,B22,'FormulaIngredient'!$I$2:$I$356),0)</x:f>
        <x:v>442</x:v>
      </x:c>
      <x:c r="G22" s="82" t="n">
        <x:f>ROUND(SUMIF('FormulaIngredient'!$A$2:$A$356,B22,'FormulaIngredient'!$J$2:$J$356),0)</x:f>
        <x:v>633</x:v>
      </x:c>
      <x:c r="H22" s="82" t="n">
        <x:f>G22-F22</x:f>
        <x:v>191</x:v>
      </x:c>
      <x:c r="I22" s="83" t="n">
        <x:f>IF(G22=0,0,H22/G22)</x:f>
        <x:v>0.30173775671406006</x:v>
      </x:c>
    </x:row>
    <x:row r="23" ht="18" customHeight="1">
      <x:c r="A23" s="7" t="s">
        <x:v>1067</x:v>
      </x:c>
      <x:c r="B23" s="7" t="s">
        <x:v>870</x:v>
      </x:c>
      <x:c r="C23" s="7" t="s">
        <x:v>868</x:v>
      </x:c>
      <x:c r="D23" s="7" t="s">
        <x:v>1041</x:v>
      </x:c>
      <x:c r="E23" s="7" t="s">
        <x:v>1068</x:v>
      </x:c>
      <x:c r="F23" s="82" t="n">
        <x:f>ROUND(SUMIF('FormulaIngredient'!$A$2:$A$356,B23,'FormulaIngredient'!$I$2:$I$356),0)</x:f>
        <x:v>208</x:v>
      </x:c>
      <x:c r="G23" s="82" t="n">
        <x:f>ROUND(SUMIF('FormulaIngredient'!$A$2:$A$356,B23,'FormulaIngredient'!$J$2:$J$356),0)</x:f>
        <x:v>369</x:v>
      </x:c>
      <x:c r="H23" s="82" t="n">
        <x:f>G23-F23</x:f>
        <x:v>161</x:v>
      </x:c>
      <x:c r="I23" s="83" t="n">
        <x:f>IF(G23=0,0,H23/G23)</x:f>
        <x:v>0.4363143631436314</x:v>
      </x:c>
    </x:row>
    <x:row r="24" ht="18" customHeight="1">
      <x:c r="A24" s="7" t="s">
        <x:v>1069</x:v>
      </x:c>
      <x:c r="B24" s="7" t="s">
        <x:v>875</x:v>
      </x:c>
      <x:c r="C24" s="7" t="s">
        <x:v>873</x:v>
      </x:c>
      <x:c r="D24" s="7" t="s">
        <x:v>1018</x:v>
      </x:c>
      <x:c r="E24" s="7" t="s">
        <x:v>1070</x:v>
      </x:c>
      <x:c r="F24" s="82" t="n">
        <x:f>ROUND(SUMIF('FormulaIngredient'!$A$2:$A$356,B24,'FormulaIngredient'!$I$2:$I$356),0)</x:f>
        <x:v>87</x:v>
      </x:c>
      <x:c r="G24" s="82" t="n">
        <x:f>ROUND(SUMIF('FormulaIngredient'!$A$2:$A$356,B24,'FormulaIngredient'!$J$2:$J$356),0)</x:f>
        <x:v>142</x:v>
      </x:c>
      <x:c r="H24" s="82" t="n">
        <x:f>G24-F24</x:f>
        <x:v>55</x:v>
      </x:c>
      <x:c r="I24" s="83" t="n">
        <x:f>IF(G24=0,0,H24/G24)</x:f>
        <x:v>0.3873239436619718</x:v>
      </x:c>
    </x:row>
    <x:row r="25" ht="18" customHeight="1">
      <x:c r="A25" s="7" t="s">
        <x:v>1071</x:v>
      </x:c>
      <x:c r="B25" s="7" t="s">
        <x:v>880</x:v>
      </x:c>
      <x:c r="C25" s="7" t="s">
        <x:v>878</x:v>
      </x:c>
      <x:c r="D25" s="7" t="s">
        <x:v>1072</x:v>
      </x:c>
      <x:c r="E25" s="7" t="s">
        <x:v>1073</x:v>
      </x:c>
      <x:c r="F25" s="82" t="n">
        <x:f>ROUND(SUMIF('FormulaIngredient'!$A$2:$A$356,B25,'FormulaIngredient'!$I$2:$I$356),0)</x:f>
        <x:v>36</x:v>
      </x:c>
      <x:c r="G25" s="82" t="n">
        <x:f>ROUND(SUMIF('FormulaIngredient'!$A$2:$A$356,B25,'FormulaIngredient'!$J$2:$J$356),0)</x:f>
        <x:v>64</x:v>
      </x:c>
      <x:c r="H25" s="82" t="n">
        <x:f>G25-F25</x:f>
        <x:v>28</x:v>
      </x:c>
      <x:c r="I25" s="83" t="n">
        <x:f>IF(G25=0,0,H25/G25)</x:f>
        <x:v>0.4375</x:v>
      </x:c>
    </x:row>
    <x:row r="26" ht="18" customHeight="1">
      <x:c r="A26" s="7" t="s">
        <x:v>1074</x:v>
      </x:c>
      <x:c r="B26" s="7" t="s">
        <x:v>885</x:v>
      </x:c>
      <x:c r="C26" s="7" t="s">
        <x:v>883</x:v>
      </x:c>
      <x:c r="D26" s="7" t="s">
        <x:v>1038</x:v>
      </x:c>
      <x:c r="E26" s="7" t="s">
        <x:v>1075</x:v>
      </x:c>
      <x:c r="F26" s="82" t="n">
        <x:f>ROUND(SUMIF('FormulaIngredient'!$A$2:$A$356,B26,'FormulaIngredient'!$I$2:$I$356),0)</x:f>
        <x:v>133</x:v>
      </x:c>
      <x:c r="G26" s="82" t="n">
        <x:f>ROUND(SUMIF('FormulaIngredient'!$A$2:$A$356,B26,'FormulaIngredient'!$J$2:$J$356),0)</x:f>
        <x:v>205</x:v>
      </x:c>
      <x:c r="H26" s="82" t="n">
        <x:f>G26-F26</x:f>
        <x:v>72</x:v>
      </x:c>
      <x:c r="I26" s="83" t="n">
        <x:f>IF(G26=0,0,H26/G26)</x:f>
        <x:v>0.35121951219512193</x:v>
      </x:c>
    </x:row>
    <x:row r="27" ht="18" customHeight="1">
      <x:c r="A27" s="7" t="s">
        <x:v>1076</x:v>
      </x:c>
      <x:c r="B27" s="7" t="s">
        <x:v>889</x:v>
      </x:c>
      <x:c r="C27" s="7" t="s">
        <x:v>888</x:v>
      </x:c>
      <x:c r="D27" s="7" t="s">
        <x:v>1077</x:v>
      </x:c>
      <x:c r="E27" s="7" t="s">
        <x:v>1078</x:v>
      </x:c>
      <x:c r="F27" s="82" t="n">
        <x:f>ROUND(SUMIF('FormulaIngredient'!$A$2:$A$356,B27,'FormulaIngredient'!$I$2:$I$356),0)</x:f>
        <x:v>559</x:v>
      </x:c>
      <x:c r="G27" s="82" t="n">
        <x:f>ROUND(SUMIF('FormulaIngredient'!$A$2:$A$356,B27,'FormulaIngredient'!$J$2:$J$356),0)</x:f>
        <x:v>840</x:v>
      </x:c>
      <x:c r="H27" s="82" t="n">
        <x:f>G27-F27</x:f>
        <x:v>281</x:v>
      </x:c>
      <x:c r="I27" s="83" t="n">
        <x:f>IF(G27=0,0,H27/G27)</x:f>
        <x:v>0.3345238095238095</x:v>
      </x:c>
    </x:row>
    <x:row r="28" ht="18" customHeight="1">
      <x:c r="A28" s="11" t="s">
        <x:v>1079</x:v>
      </x:c>
      <x:c r="B28" s="7" t="s">
        <x:v>894</x:v>
      </x:c>
      <x:c r="C28" s="7" t="s">
        <x:v>892</x:v>
      </x:c>
      <x:c r="D28" s="11" t="s">
        <x:v>1080</x:v>
      </x:c>
      <x:c r="E28" s="7" t="s">
        <x:v>1081</x:v>
      </x:c>
      <x:c r="F28" s="82" t="n">
        <x:f>ROUND(SUMIF('FormulaIngredient'!$A$2:$A$356,B28,'FormulaIngredient'!$I$2:$I$356),0)</x:f>
        <x:v>170</x:v>
      </x:c>
      <x:c r="G28" s="82" t="n">
        <x:f>ROUND(SUMIF('FormulaIngredient'!$A$2:$A$356,B28,'FormulaIngredient'!$J$2:$J$356),0)</x:f>
        <x:v>289</x:v>
      </x:c>
      <x:c r="H28" s="82" t="n">
        <x:f>G28-F28</x:f>
        <x:v>119</x:v>
      </x:c>
      <x:c r="I28" s="83" t="n">
        <x:f>IF(G28=0,0,H28/G28)</x:f>
        <x:v>0.4117647058823529</x:v>
      </x:c>
    </x:row>
    <x:row r="29" ht="18" customHeight="1">
      <x:c r="A29" s="7" t="s">
        <x:v>1082</x:v>
      </x:c>
      <x:c r="B29" s="7" t="s">
        <x:v>898</x:v>
      </x:c>
      <x:c r="C29" s="7" t="s">
        <x:v>897</x:v>
      </x:c>
      <x:c r="D29" s="7" t="s">
        <x:v>1033</x:v>
      </x:c>
      <x:c r="E29" s="7" t="s">
        <x:v>1083</x:v>
      </x:c>
      <x:c r="F29" s="82" t="n">
        <x:f>ROUND(SUMIF('FormulaIngredient'!$A$2:$A$356,B29,'FormulaIngredient'!$I$2:$I$356),0)</x:f>
        <x:v>1370</x:v>
      </x:c>
      <x:c r="G29" s="82" t="n">
        <x:f>ROUND(SUMIF('FormulaIngredient'!$A$2:$A$356,B29,'FormulaIngredient'!$J$2:$J$356),0)</x:f>
        <x:v>2110</x:v>
      </x:c>
      <x:c r="H29" s="82" t="n">
        <x:f>G29-F29</x:f>
        <x:v>740</x:v>
      </x:c>
      <x:c r="I29" s="83" t="n">
        <x:f>IF(G29=0,0,H29/G29)</x:f>
        <x:v>0.35071090047393366</x:v>
      </x:c>
    </x:row>
    <x:row r="30" ht="18" customHeight="1">
      <x:c r="A30" s="7" t="s">
        <x:v>1084</x:v>
      </x:c>
      <x:c r="B30" s="7" t="s">
        <x:v>901</x:v>
      </x:c>
      <x:c r="C30" s="7" t="s">
        <x:v>284</x:v>
      </x:c>
      <x:c r="D30" s="7" t="s">
        <x:v>1018</x:v>
      </x:c>
      <x:c r="E30" s="7" t="s">
        <x:v>1085</x:v>
      </x:c>
      <x:c r="F30" s="82" t="n">
        <x:f>ROUND(SUMIF('FormulaIngredient'!$A$2:$A$356,B30,'FormulaIngredient'!$I$2:$I$356),0)</x:f>
        <x:v>20</x:v>
      </x:c>
      <x:c r="G30" s="82" t="n">
        <x:f>ROUND(SUMIF('FormulaIngredient'!$A$2:$A$356,B30,'FormulaIngredient'!$J$2:$J$356),0)</x:f>
        <x:v>32</x:v>
      </x:c>
      <x:c r="H30" s="82" t="n">
        <x:f>G30-F30</x:f>
        <x:v>12</x:v>
      </x:c>
      <x:c r="I30" s="83" t="n">
        <x:f>IF(G30=0,0,H30/G30)</x:f>
        <x:v>0.375</x:v>
      </x:c>
    </x:row>
    <x:row r="31" ht="18" customHeight="1">
      <x:c r="A31" s="7" t="s">
        <x:v>1086</x:v>
      </x:c>
      <x:c r="B31" s="7" t="s">
        <x:v>904</x:v>
      </x:c>
      <x:c r="C31" s="7" t="s">
        <x:v>317</x:v>
      </x:c>
      <x:c r="D31" s="7" t="s">
        <x:v>1046</x:v>
      </x:c>
      <x:c r="E31" s="7" t="s">
        <x:v>1087</x:v>
      </x:c>
      <x:c r="F31" s="82" t="n">
        <x:f>ROUND(SUMIF('FormulaIngredient'!$A$2:$A$356,B31,'FormulaIngredient'!$I$2:$I$356),0)</x:f>
        <x:v>135</x:v>
      </x:c>
      <x:c r="G31" s="82" t="n">
        <x:f>ROUND(SUMIF('FormulaIngredient'!$A$2:$A$356,B31,'FormulaIngredient'!$J$2:$J$356),0)</x:f>
        <x:v>233</x:v>
      </x:c>
      <x:c r="H31" s="82" t="n">
        <x:f>G31-F31</x:f>
        <x:v>98</x:v>
      </x:c>
      <x:c r="I31" s="83" t="n">
        <x:f>IF(G31=0,0,H31/G31)</x:f>
        <x:v>0.4206008583690987</x:v>
      </x:c>
    </x:row>
    <x:row r="32" ht="18" customHeight="1">
      <x:c r="A32" s="7" t="s">
        <x:v>1088</x:v>
      </x:c>
      <x:c r="B32" s="7" t="s">
        <x:v>908</x:v>
      </x:c>
      <x:c r="C32" s="7" t="s">
        <x:v>335</x:v>
      </x:c>
      <x:c r="D32" s="7" t="s">
        <x:v>1089</x:v>
      </x:c>
      <x:c r="E32" s="7" t="s">
        <x:v>1090</x:v>
      </x:c>
      <x:c r="F32" s="82" t="n">
        <x:f>ROUND(SUMIF('FormulaIngredient'!$A$2:$A$356,B32,'FormulaIngredient'!$I$2:$I$356),0)</x:f>
        <x:v>643</x:v>
      </x:c>
      <x:c r="G32" s="82" t="n">
        <x:f>ROUND(SUMIF('FormulaIngredient'!$A$2:$A$356,B32,'FormulaIngredient'!$J$2:$J$356),0)</x:f>
        <x:v>939</x:v>
      </x:c>
      <x:c r="H32" s="82" t="n">
        <x:f>G32-F32</x:f>
        <x:v>296</x:v>
      </x:c>
      <x:c r="I32" s="83" t="n">
        <x:f>IF(G32=0,0,H32/G32)</x:f>
        <x:v>0.3152289669861555</x:v>
      </x:c>
    </x:row>
    <x:row r="33" ht="18" customHeight="1">
      <x:c r="A33" s="7" t="s">
        <x:v>1091</x:v>
      </x:c>
      <x:c r="B33" s="7" t="s">
        <x:v>913</x:v>
      </x:c>
      <x:c r="C33" s="7" t="s">
        <x:v>911</x:v>
      </x:c>
      <x:c r="D33" s="7" t="s">
        <x:v>1092</x:v>
      </x:c>
      <x:c r="E33" s="7" t="s">
        <x:v>1093</x:v>
      </x:c>
      <x:c r="F33" s="82" t="n">
        <x:f>ROUND(SUMIF('FormulaIngredient'!$A$2:$A$356,B33,'FormulaIngredient'!$I$2:$I$356),0)</x:f>
        <x:v>193</x:v>
      </x:c>
      <x:c r="G33" s="82" t="n">
        <x:f>ROUND(SUMIF('FormulaIngredient'!$A$2:$A$356,B33,'FormulaIngredient'!$J$2:$J$356),0)</x:f>
        <x:v>333</x:v>
      </x:c>
      <x:c r="H33" s="82" t="n">
        <x:f>G33-F33</x:f>
        <x:v>140</x:v>
      </x:c>
      <x:c r="I33" s="83" t="n">
        <x:f>IF(G33=0,0,H33/G33)</x:f>
        <x:v>0.42042042042042044</x:v>
      </x:c>
    </x:row>
    <x:row r="34" ht="18" customHeight="1">
      <x:c r="A34" s="7" t="s">
        <x:v>1094</x:v>
      </x:c>
      <x:c r="B34" s="7" t="s">
        <x:v>918</x:v>
      </x:c>
      <x:c r="C34" s="7" t="s">
        <x:v>916</x:v>
      </x:c>
      <x:c r="D34" s="7" t="s">
        <x:v>1095</x:v>
      </x:c>
      <x:c r="E34" s="7" t="s">
        <x:v>1096</x:v>
      </x:c>
      <x:c r="F34" s="82" t="n">
        <x:f>ROUND(SUMIF('FormulaIngredient'!$A$2:$A$356,B34,'FormulaIngredient'!$I$2:$I$356),0)</x:f>
        <x:v>123</x:v>
      </x:c>
      <x:c r="G34" s="82" t="n">
        <x:f>ROUND(SUMIF('FormulaIngredient'!$A$2:$A$356,B34,'FormulaIngredient'!$J$2:$J$356),0)</x:f>
        <x:v>195</x:v>
      </x:c>
      <x:c r="H34" s="82" t="n">
        <x:f>G34-F34</x:f>
        <x:v>72</x:v>
      </x:c>
      <x:c r="I34" s="83" t="n">
        <x:f>IF(G34=0,0,H34/G34)</x:f>
        <x:v>0.36923076923076925</x:v>
      </x:c>
    </x:row>
    <x:row r="35" ht="18" customHeight="1">
      <x:c r="A35" s="7" t="s">
        <x:v>1097</x:v>
      </x:c>
      <x:c r="B35" s="7" t="s">
        <x:v>923</x:v>
      </x:c>
      <x:c r="C35" s="7" t="s">
        <x:v>921</x:v>
      </x:c>
      <x:c r="D35" s="7" t="s">
        <x:v>1095</x:v>
      </x:c>
      <x:c r="E35" s="7" t="s">
        <x:v>1098</x:v>
      </x:c>
      <x:c r="F35" s="82" t="n">
        <x:f>ROUND(SUMIF('FormulaIngredient'!$A$2:$A$356,B35,'FormulaIngredient'!$I$2:$I$356),0)</x:f>
        <x:v>52</x:v>
      </x:c>
      <x:c r="G35" s="82" t="n">
        <x:f>ROUND(SUMIF('FormulaIngredient'!$A$2:$A$356,B35,'FormulaIngredient'!$J$2:$J$356),0)</x:f>
        <x:v>90</x:v>
      </x:c>
      <x:c r="H35" s="82" t="n">
        <x:f>G35-F35</x:f>
        <x:v>38</x:v>
      </x:c>
      <x:c r="I35" s="83" t="n">
        <x:f>IF(G35=0,0,H35/G35)</x:f>
        <x:v>0.4222222222222222</x:v>
      </x:c>
    </x:row>
    <x:row r="36" ht="18" customHeight="1">
      <x:c r="A36" s="7" t="s">
        <x:v>1099</x:v>
      </x:c>
      <x:c r="B36" s="7" t="s">
        <x:v>927</x:v>
      </x:c>
      <x:c r="C36" s="7" t="s">
        <x:v>926</x:v>
      </x:c>
      <x:c r="D36" s="7" t="s">
        <x:v>1041</x:v>
      </x:c>
      <x:c r="E36" s="7" t="s">
        <x:v>1100</x:v>
      </x:c>
      <x:c r="F36" s="82" t="n">
        <x:f>ROUND(SUMIF('FormulaIngredient'!$A$2:$A$356,B36,'FormulaIngredient'!$I$2:$I$356),0)</x:f>
        <x:v>93</x:v>
      </x:c>
      <x:c r="G36" s="82" t="n">
        <x:f>ROUND(SUMIF('FormulaIngredient'!$A$2:$A$356,B36,'FormulaIngredient'!$J$2:$J$356),0)</x:f>
        <x:v>142</x:v>
      </x:c>
      <x:c r="H36" s="82" t="n">
        <x:f>G36-F36</x:f>
        <x:v>49</x:v>
      </x:c>
      <x:c r="I36" s="83" t="n">
        <x:f>IF(G36=0,0,H36/G36)</x:f>
        <x:v>0.34507042253521125</x:v>
      </x:c>
    </x:row>
    <x:row r="37" ht="18" customHeight="1">
      <x:c r="A37" s="11" t="s">
        <x:v>1101</x:v>
      </x:c>
      <x:c r="B37" s="7" t="s">
        <x:v>932</x:v>
      </x:c>
      <x:c r="C37" s="7" t="s">
        <x:v>930</x:v>
      </x:c>
      <x:c r="D37" s="11" t="s">
        <x:v>1080</x:v>
      </x:c>
      <x:c r="E37" s="7" t="s">
        <x:v>1102</x:v>
      </x:c>
      <x:c r="F37" s="82" t="n">
        <x:f>ROUND(SUMIF('FormulaIngredient'!$A$2:$A$356,B37,'FormulaIngredient'!$I$2:$I$356),0)</x:f>
        <x:v>164</x:v>
      </x:c>
      <x:c r="G37" s="82" t="n">
        <x:f>ROUND(SUMIF('FormulaIngredient'!$A$2:$A$356,B37,'FormulaIngredient'!$J$2:$J$356),0)</x:f>
        <x:v>278</x:v>
      </x:c>
      <x:c r="H37" s="82" t="n">
        <x:f>G37-F37</x:f>
        <x:v>114</x:v>
      </x:c>
      <x:c r="I37" s="83" t="n">
        <x:f>IF(G37=0,0,H37/G37)</x:f>
        <x:v>0.41007194244604317</x:v>
      </x:c>
    </x:row>
    <x:row r="38" ht="18" customHeight="1">
      <x:c r="A38" s="7" t="s">
        <x:v>1103</x:v>
      </x:c>
      <x:c r="B38" s="7" t="s">
        <x:v>936</x:v>
      </x:c>
      <x:c r="C38" s="7" t="s">
        <x:v>935</x:v>
      </x:c>
      <x:c r="D38" s="7" t="s">
        <x:v>1104</x:v>
      </x:c>
      <x:c r="E38" s="7" t="s">
        <x:v>1105</x:v>
      </x:c>
      <x:c r="F38" s="82" t="n">
        <x:f>ROUND(SUMIF('FormulaIngredient'!$A$2:$A$356,B38,'FormulaIngredient'!$I$2:$I$356),0)</x:f>
        <x:v>208</x:v>
      </x:c>
      <x:c r="G38" s="82" t="n">
        <x:f>ROUND(SUMIF('FormulaIngredient'!$A$2:$A$356,B38,'FormulaIngredient'!$J$2:$J$356),0)</x:f>
        <x:v>340</x:v>
      </x:c>
      <x:c r="H38" s="82" t="n">
        <x:f>G38-F38</x:f>
        <x:v>132</x:v>
      </x:c>
      <x:c r="I38" s="83" t="n">
        <x:f>IF(G38=0,0,H38/G38)</x:f>
        <x:v>0.38823529411764707</x:v>
      </x:c>
    </x:row>
    <x:row r="39" ht="18" customHeight="1">
      <x:c r="A39" s="7" t="s">
        <x:v>1106</x:v>
      </x:c>
      <x:c r="B39" s="7" t="s">
        <x:v>939</x:v>
      </x:c>
      <x:c r="C39" s="7" t="s">
        <x:v>309</x:v>
      </x:c>
      <x:c r="D39" s="7" t="s">
        <x:v>1107</x:v>
      </x:c>
      <x:c r="E39" s="7" t="s">
        <x:v>1108</x:v>
      </x:c>
      <x:c r="F39" s="82" t="n">
        <x:f>ROUND(SUMIF('FormulaIngredient'!$A$2:$A$356,B39,'FormulaIngredient'!$I$2:$I$356),0)</x:f>
        <x:v>293</x:v>
      </x:c>
      <x:c r="G39" s="82" t="n">
        <x:f>ROUND(SUMIF('FormulaIngredient'!$A$2:$A$356,B39,'FormulaIngredient'!$J$2:$J$356),0)</x:f>
        <x:v>430</x:v>
      </x:c>
      <x:c r="H39" s="82" t="n">
        <x:f>G39-F39</x:f>
        <x:v>137</x:v>
      </x:c>
      <x:c r="I39" s="83" t="n">
        <x:f>IF(G39=0,0,H39/G39)</x:f>
        <x:v>0.3186046511627907</x:v>
      </x:c>
    </x:row>
    <x:row r="40" ht="18" customHeight="1">
      <x:c r="A40" s="7" t="s">
        <x:v>1109</x:v>
      </x:c>
      <x:c r="B40" s="7" t="s">
        <x:v>944</x:v>
      </x:c>
      <x:c r="C40" s="7" t="s">
        <x:v>942</x:v>
      </x:c>
      <x:c r="D40" s="7" t="s">
        <x:v>1041</x:v>
      </x:c>
      <x:c r="E40" s="7" t="s">
        <x:v>1110</x:v>
      </x:c>
      <x:c r="F40" s="82" t="n">
        <x:f>ROUND(SUMIF('FormulaIngredient'!$A$2:$A$356,B40,'FormulaIngredient'!$I$2:$I$356),0)</x:f>
        <x:v>96</x:v>
      </x:c>
      <x:c r="G40" s="82" t="n">
        <x:f>ROUND(SUMIF('FormulaIngredient'!$A$2:$A$356,B40,'FormulaIngredient'!$J$2:$J$356),0)</x:f>
        <x:v>159</x:v>
      </x:c>
      <x:c r="H40" s="82" t="n">
        <x:f>G40-F40</x:f>
        <x:v>63</x:v>
      </x:c>
      <x:c r="I40" s="83" t="n">
        <x:f>IF(G40=0,0,H40/G40)</x:f>
        <x:v>0.39622641509433965</x:v>
      </x:c>
    </x:row>
    <x:row r="41" ht="18" customHeight="1">
      <x:c r="A41" s="7" t="s">
        <x:v>1111</x:v>
      </x:c>
      <x:c r="B41" s="7" t="s">
        <x:v>949</x:v>
      </x:c>
      <x:c r="C41" s="7" t="s">
        <x:v>947</x:v>
      </x:c>
      <x:c r="D41" s="7" t="s">
        <x:v>1112</x:v>
      </x:c>
      <x:c r="E41" s="7" t="s">
        <x:v>1113</x:v>
      </x:c>
      <x:c r="F41" s="82" t="n">
        <x:f>ROUND(SUMIF('FormulaIngredient'!$A$2:$A$356,B41,'FormulaIngredient'!$I$2:$I$356),0)</x:f>
        <x:v>488</x:v>
      </x:c>
      <x:c r="G41" s="82" t="n">
        <x:f>ROUND(SUMIF('FormulaIngredient'!$A$2:$A$356,B41,'FormulaIngredient'!$J$2:$J$356),0)</x:f>
        <x:v>709</x:v>
      </x:c>
      <x:c r="H41" s="82" t="n">
        <x:f>G41-F41</x:f>
        <x:v>221</x:v>
      </x:c>
      <x:c r="I41" s="83" t="n">
        <x:f>IF(G41=0,0,H41/G41)</x:f>
        <x:v>0.31170662905500707</x:v>
      </x:c>
    </x:row>
    <x:row r="42" ht="18" customHeight="1">
      <x:c r="A42" s="7" t="s">
        <x:v>1114</x:v>
      </x:c>
      <x:c r="B42" s="7" t="s">
        <x:v>954</x:v>
      </x:c>
      <x:c r="C42" s="7" t="s">
        <x:v>952</x:v>
      </x:c>
      <x:c r="D42" s="7" t="s">
        <x:v>1072</x:v>
      </x:c>
      <x:c r="E42" s="7" t="s">
        <x:v>1115</x:v>
      </x:c>
      <x:c r="F42" s="82" t="n">
        <x:f>ROUND(SUMIF('FormulaIngredient'!$A$2:$A$356,B42,'FormulaIngredient'!$I$2:$I$356),0)</x:f>
        <x:v>187</x:v>
      </x:c>
      <x:c r="G42" s="82" t="n">
        <x:f>ROUND(SUMIF('FormulaIngredient'!$A$2:$A$356,B42,'FormulaIngredient'!$J$2:$J$356),0)</x:f>
        <x:v>296</x:v>
      </x:c>
      <x:c r="H42" s="82" t="n">
        <x:f>G42-F42</x:f>
        <x:v>109</x:v>
      </x:c>
      <x:c r="I42" s="83" t="n">
        <x:f>IF(G42=0,0,H42/G42)</x:f>
        <x:v>0.36824324324324326</x:v>
      </x:c>
    </x:row>
    <x:row r="43" ht="18" customHeight="1">
      <x:c r="A43" s="7" t="s">
        <x:v>1116</x:v>
      </x:c>
      <x:c r="B43" s="7" t="s">
        <x:v>959</x:v>
      </x:c>
      <x:c r="C43" s="7" t="s">
        <x:v>957</x:v>
      </x:c>
      <x:c r="D43" s="7" t="s">
        <x:v>1033</x:v>
      </x:c>
      <x:c r="E43" s="7" t="s">
        <x:v>1117</x:v>
      </x:c>
      <x:c r="F43" s="82" t="n">
        <x:f>ROUND(SUMIF('FormulaIngredient'!$A$2:$A$356,B43,'FormulaIngredient'!$I$2:$I$356),0)</x:f>
        <x:v>165</x:v>
      </x:c>
      <x:c r="G43" s="82" t="n">
        <x:f>ROUND(SUMIF('FormulaIngredient'!$A$2:$A$356,B43,'FormulaIngredient'!$J$2:$J$356),0)</x:f>
        <x:v>270</x:v>
      </x:c>
      <x:c r="H43" s="82" t="n">
        <x:f>G43-F43</x:f>
        <x:v>105</x:v>
      </x:c>
      <x:c r="I43" s="83" t="n">
        <x:f>IF(G43=0,0,H43/G43)</x:f>
        <x:v>0.3888888888888889</x:v>
      </x:c>
    </x:row>
    <x:row r="44" ht="18" customHeight="1">
      <x:c r="A44" s="7" t="s">
        <x:v>1118</x:v>
      </x:c>
      <x:c r="B44" s="7" t="s">
        <x:v>964</x:v>
      </x:c>
      <x:c r="C44" s="10" t="s">
        <x:v>962</x:v>
      </x:c>
      <x:c r="D44" s="7" t="s">
        <x:v>1018</x:v>
      </x:c>
      <x:c r="E44" s="7" t="s">
        <x:v>1119</x:v>
      </x:c>
      <x:c r="F44" s="82" t="n">
        <x:f>ROUND(SUMIF('FormulaIngredient'!$A$2:$A$356,B44,'FormulaIngredient'!$I$2:$I$356),0)</x:f>
        <x:v>98</x:v>
      </x:c>
      <x:c r="G44" s="82" t="n">
        <x:f>ROUND(SUMIF('FormulaIngredient'!$A$2:$A$356,B44,'FormulaIngredient'!$J$2:$J$356),0)</x:f>
        <x:v>163</x:v>
      </x:c>
      <x:c r="H44" s="82" t="n">
        <x:f>G44-F44</x:f>
        <x:v>65</x:v>
      </x:c>
      <x:c r="I44" s="83" t="n">
        <x:f>IF(G44=0,0,H44/G44)</x:f>
        <x:v>0.3987730061349693</x:v>
      </x:c>
    </x:row>
    <x:row r="45" ht="18" customHeight="1">
      <x:c r="A45" s="7" t="s">
        <x:v>1120</x:v>
      </x:c>
      <x:c r="B45" s="7" t="s">
        <x:v>967</x:v>
      </x:c>
      <x:c r="C45" s="10" t="s">
        <x:v>386</x:v>
      </x:c>
      <x:c r="D45" s="7" t="s">
        <x:v>1095</x:v>
      </x:c>
      <x:c r="E45" s="7" t="s">
        <x:v>1121</x:v>
      </x:c>
      <x:c r="F45" s="82" t="n">
        <x:f>ROUND(SUMIF('FormulaIngredient'!$A$2:$A$356,B45,'FormulaIngredient'!$I$2:$I$356),0)</x:f>
        <x:v>737</x:v>
      </x:c>
      <x:c r="G45" s="82" t="n">
        <x:f>ROUND(SUMIF('FormulaIngredient'!$A$2:$A$356,B45,'FormulaIngredient'!$J$2:$J$356),0)</x:f>
        <x:v>1108</x:v>
      </x:c>
      <x:c r="H45" s="82" t="n">
        <x:f>G45-F45</x:f>
        <x:v>371</x:v>
      </x:c>
      <x:c r="I45" s="83" t="n">
        <x:f>IF(G45=0,0,H45/G45)</x:f>
        <x:v>0.3348375451263538</x:v>
      </x:c>
    </x:row>
    <x:row r="46" ht="18" customHeight="1">
      <x:c r="A46" s="7" t="s">
        <x:v>1122</x:v>
      </x:c>
      <x:c r="B46" s="7" t="s">
        <x:v>970</x:v>
      </x:c>
      <x:c r="C46" s="7" t="s">
        <x:v>347</x:v>
      </x:c>
      <x:c r="D46" s="7" t="s">
        <x:v>1123</x:v>
      </x:c>
      <x:c r="E46" s="7" t="s">
        <x:v>1124</x:v>
      </x:c>
      <x:c r="F46" s="82" t="n">
        <x:f>ROUND(SUMIF('FormulaIngredient'!$A$2:$A$356,B46,'FormulaIngredient'!$I$2:$I$356),0)</x:f>
        <x:v>311</x:v>
      </x:c>
      <x:c r="G46" s="82" t="n">
        <x:f>ROUND(SUMIF('FormulaIngredient'!$A$2:$A$356,B46,'FormulaIngredient'!$J$2:$J$356),0)</x:f>
        <x:v>556</x:v>
      </x:c>
      <x:c r="H46" s="82" t="n">
        <x:f>G46-F46</x:f>
        <x:v>245</x:v>
      </x:c>
      <x:c r="I46" s="83" t="n">
        <x:f>IF(G46=0,0,H46/G46)</x:f>
        <x:v>0.44064748201438847</x:v>
      </x:c>
    </x:row>
    <x:row r="47" ht="18" customHeight="1">
      <x:c r="A47" s="11" t="s">
        <x:v>1125</x:v>
      </x:c>
      <x:c r="B47" s="7" t="s">
        <x:v>974</x:v>
      </x:c>
      <x:c r="C47" s="11" t="s">
        <x:v>394</x:v>
      </x:c>
      <x:c r="D47" s="11" t="s">
        <x:v>1095</x:v>
      </x:c>
      <x:c r="E47" s="7" t="s">
        <x:v>1126</x:v>
      </x:c>
      <x:c r="F47" s="82" t="n">
        <x:f>ROUND(SUMIF('FormulaIngredient'!$A$2:$A$356,B47,'FormulaIngredient'!$I$2:$I$356),0)</x:f>
        <x:v>130</x:v>
      </x:c>
      <x:c r="G47" s="82" t="n">
        <x:f>ROUND(SUMIF('FormulaIngredient'!$A$2:$A$356,B47,'FormulaIngredient'!$J$2:$J$356),0)</x:f>
        <x:v>191</x:v>
      </x:c>
      <x:c r="H47" s="82" t="n">
        <x:f>G47-F47</x:f>
        <x:v>61</x:v>
      </x:c>
      <x:c r="I47" s="83" t="n">
        <x:f>IF(G47=0,0,H47/G47)</x:f>
        <x:v>0.3193717277486911</x:v>
      </x:c>
    </x:row>
    <x:row r="48" ht="18" customHeight="1">
      <x:c r="A48" s="7" t="s">
        <x:v>1127</x:v>
      </x:c>
      <x:c r="B48" s="7" t="s">
        <x:v>979</x:v>
      </x:c>
      <x:c r="C48" s="7" t="s">
        <x:v>977</x:v>
      </x:c>
      <x:c r="D48" s="7" t="s">
        <x:v>1018</x:v>
      </x:c>
      <x:c r="E48" s="7" t="s">
        <x:v>1128</x:v>
      </x:c>
      <x:c r="F48" s="82" t="n">
        <x:f>ROUND(SUMIF('FormulaIngredient'!$A$2:$A$356,B48,'FormulaIngredient'!$I$2:$I$356),0)</x:f>
        <x:v>226</x:v>
      </x:c>
      <x:c r="G48" s="82" t="n">
        <x:f>ROUND(SUMIF('FormulaIngredient'!$A$2:$A$356,B48,'FormulaIngredient'!$J$2:$J$356),0)</x:f>
        <x:v>358</x:v>
      </x:c>
      <x:c r="H48" s="82" t="n">
        <x:f>G48-F48</x:f>
        <x:v>132</x:v>
      </x:c>
      <x:c r="I48" s="83" t="n">
        <x:f>IF(G48=0,0,H48/G48)</x:f>
        <x:v>0.3687150837988827</x:v>
      </x:c>
    </x:row>
    <x:row r="49" ht="18" customHeight="1">
      <x:c r="A49" s="7" t="s">
        <x:v>1129</x:v>
      </x:c>
      <x:c r="B49" s="7" t="s">
        <x:v>984</x:v>
      </x:c>
      <x:c r="C49" s="7" t="s">
        <x:v>982</x:v>
      </x:c>
      <x:c r="D49" s="7" t="s">
        <x:v>1018</x:v>
      </x:c>
      <x:c r="E49" s="7" t="s">
        <x:v>1130</x:v>
      </x:c>
      <x:c r="F49" s="82" t="n">
        <x:f>ROUND(SUMIF('FormulaIngredient'!$A$2:$A$356,B49,'FormulaIngredient'!$I$2:$I$356),0)</x:f>
        <x:v>57</x:v>
      </x:c>
      <x:c r="G49" s="82" t="n">
        <x:f>ROUND(SUMIF('FormulaIngredient'!$A$2:$A$356,B49,'FormulaIngredient'!$J$2:$J$356),0)</x:f>
        <x:v>108</x:v>
      </x:c>
      <x:c r="H49" s="82" t="n">
        <x:f>G49-F49</x:f>
        <x:v>51</x:v>
      </x:c>
      <x:c r="I49" s="83" t="n">
        <x:f>IF(G49=0,0,H49/G49)</x:f>
        <x:v>0.4722222222222222</x:v>
      </x:c>
    </x:row>
    <x:row r="50" ht="18" customHeight="1">
      <x:c r="A50" s="7"/>
      <x:c r="B50" s="7"/>
      <x:c r="C50" s="7"/>
      <x:c r="D50" s="7"/>
      <x:c r="E50" s="7"/>
    </x:row>
    <x:row r="51" ht="18" customHeight="1">
      <x:c r="C51" s="7"/>
    </x:row>
    <x:row r="53" ht="15" customHeight="1"/>
    <x:row r="54" ht="15" customHeight="1"/>
    <x:row r="55" ht="15" customHeight="1"/>
    <x:row r="56" ht="15" customHeight="1"/>
    <x:row r="57" ht="15" customHeight="1"/>
    <x:row r="58" ht="15" customHeight="1"/>
    <x:row r="59" ht="15" customHeight="1"/>
    <x:row r="60" ht="15" customHeight="1"/>
    <x:row r="61" ht="15" customHeight="1"/>
    <x:row r="62" ht="15" customHeight="1"/>
    <x:row r="63" ht="15" customHeight="1"/>
    <x:row r="64" ht="15" customHeight="1"/>
    <x:row r="65" ht="15" customHeight="1"/>
    <x:row r="66" ht="15" customHeight="1"/>
    <x:row r="67" ht="15" customHeight="1"/>
    <x:row r="68" ht="15" customHeight="1"/>
    <x:row r="69" ht="15" customHeight="1"/>
    <x:row r="70" ht="15" customHeight="1"/>
    <x:row r="71" ht="15" customHeight="1"/>
    <x:row r="72" ht="15" customHeight="1"/>
    <x:row r="73" ht="15" customHeight="1"/>
    <x:row r="74" ht="15" customHeight="1"/>
    <x:row r="75" ht="15" customHeight="1"/>
    <x:row r="76" ht="15" customHeight="1"/>
    <x:row r="77" ht="15" customHeight="1"/>
    <x:row r="78" ht="15" customHeight="1"/>
    <x:row r="79" ht="15" customHeight="1"/>
    <x:row r="80" ht="15" customHeight="1"/>
    <x:row r="81" ht="15" customHeight="1"/>
    <x:row r="82" ht="15" customHeight="1"/>
    <x:row r="83" ht="15" customHeight="1"/>
    <x:row r="84" ht="15" customHeight="1"/>
    <x:row r="85" ht="15" customHeight="1"/>
    <x:row r="86" ht="15" customHeight="1"/>
    <x:row r="88" ht="15" customHeight="1"/>
    <x:row r="89" ht="15" customHeight="1"/>
    <x:row r="90" ht="15" customHeight="1"/>
    <x:row r="91" ht="15" customHeight="1"/>
    <x:row r="92" ht="15" customHeight="1"/>
    <x:row r="93" ht="15" customHeight="1"/>
    <x:row r="94" ht="15" customHeight="1"/>
    <x:row r="95" ht="15" customHeight="1"/>
    <x:row r="96" ht="15" customHeight="1"/>
    <x:row r="97" ht="15" customHeight="1"/>
    <x:row r="98" ht="15" customHeight="1"/>
    <x:row r="99" ht="15" customHeight="1"/>
    <x:row r="100" ht="15" customHeight="1"/>
    <x:row r="101" ht="15" customHeight="1"/>
    <x:row r="102" ht="15" customHeight="1"/>
    <x:row r="103" ht="15" customHeight="1"/>
    <x:row r="105" ht="15" customHeight="1"/>
    <x:row r="106" ht="15" customHeight="1"/>
    <x:row r="107" ht="15" customHeight="1"/>
    <x:row r="108" ht="15" customHeight="1"/>
    <x:row r="109" ht="15" customHeight="1"/>
    <x:row r="110" ht="15" customHeight="1"/>
    <x:row r="111" ht="15" customHeight="1"/>
    <x:row r="112" ht="15" customHeight="1"/>
    <x:row r="114" ht="15" customHeight="1"/>
  </x:sheetData>
  <x:conditionalFormatting sqref="I2:I49">
    <x:cfRule type="cellIs" dxfId="165" priority="1" operator="lessThan">
      <x:formula>0.3</x:formula>
    </x:cfRule>
    <x:cfRule type="cellIs" dxfId="166" priority="2" operator="between">
      <x:formula>0.3</x:formula>
      <x:formula>0.42</x:formula>
    </x:cfRule>
    <x:cfRule type="cellIs" dxfId="167" priority="3" operator="greaterThan">
      <x:formula>0.42</x:formula>
    </x:cfRule>
  </x:conditionalFormatting>
  <x:pageMargins left="0.7" right="0.7" top="0.75" bottom="0.75" header="0.3" footer="0.3"/>
</x:worksheet>
</file>

<file path=xl/worksheets/sheet7.xml><?xml version="1.0" encoding="utf-8"?>
<x:worksheet xmlns:x="http://schemas.openxmlformats.org/spreadsheetml/2006/main">
  <x:sheetFormatPr defaultRowHeight="18.75"/>
  <x:cols>
    <x:col min="1" max="1" width="14.375" style="4" customWidth="1"/>
    <x:col min="2" max="2" width="11.875" style="4" customWidth="1"/>
    <x:col min="3" max="3" width="16.5" style="5" customWidth="1"/>
    <x:col min="4" max="4" width="5.125" style="21" customWidth="1"/>
    <x:col min="5" max="5" width="7.875" style="5" customWidth="1"/>
    <x:col min="6" max="6" width="9.125" style="6" customWidth="1"/>
    <x:col min="7" max="7" width="9.25" style="10" customWidth="1"/>
    <x:col min="8" max="8" width="15" hidden="0" customWidth="1"/>
    <x:col min="9" max="9" width="16" hidden="0" customWidth="1"/>
    <x:col min="10" max="10" width="20" hidden="0" customWidth="1"/>
  </x:cols>
  <x:sheetData>
    <x:row r="1">
      <x:c r="A1" s="12" t="s">
        <x:v>1015</x:v>
      </x:c>
      <x:c r="B1" s="62" t="s">
        <x:v>1131</x:v>
      </x:c>
      <x:c r="C1" s="12" t="s">
        <x:v>1132</x:v>
      </x:c>
      <x:c r="D1" s="17" t="s">
        <x:v>1133</x:v>
      </x:c>
      <x:c r="E1" s="12" t="s">
        <x:v>1134</x:v>
      </x:c>
      <x:c r="F1" s="12" t="s">
        <x:v>1135</x:v>
      </x:c>
      <x:c r="G1" s="12" t="s">
        <x:v>1136</x:v>
      </x:c>
      <x:c r="H1" s="84" t="str">
        <x:v>AmountInQian</x:v>
      </x:c>
      <x:c r="I1" s="85" t="str">
        <x:v>IngredientCost</x:v>
      </x:c>
      <x:c r="J1" s="85" t="str">
        <x:v>IngredientSellPrice</x:v>
      </x:c>
    </x:row>
    <x:row r="2">
      <x:c r="A2" s="10" t="s">
        <x:v>779</x:v>
      </x:c>
      <x:c r="B2" s="10" t="s">
        <x:v>1137</x:v>
      </x:c>
      <x:c r="C2" s="10" t="s">
        <x:v>1138</x:v>
      </x:c>
      <x:c r="D2" s="18" t="s">
        <x:v>1139</x:v>
      </x:c>
      <x:c r="E2" s="10">
        <x:v>3</x:v>
      </x:c>
      <x:c r="F2" s="10" t="s">
        <x:v>1140</x:v>
      </x:c>
      <x:c r="G2" s="10" t="b">
        <x:v>1</x:v>
      </x:c>
      <x:c r="H2" s="86" t="n">
        <x:f>IF(E2="","",E2*IF(F2="fen",0.1,IF(F2="qian",1,IF(F2="liang",10,IF(F2="jin",160,0)))))</x:f>
        <x:v>3</x:v>
      </x:c>
      <x:c r="I2" s="86" t="n">
        <x:f>IF(H2="","",H2*IFERROR(INDEX('Herb'!$L$2:$L$115,MATCH(C2,'Herb'!$A$2:$A$115,0)),0))</x:f>
        <x:v>12</x:v>
      </x:c>
      <x:c r="J2" s="86" t="n">
        <x:f>IF(H2="","",H2*IFERROR(INDEX('Herb'!$M$2:$M$115,MATCH(C2,'Herb'!$A$2:$A$115,0)),0))</x:f>
        <x:v>21</x:v>
      </x:c>
    </x:row>
    <x:row r="3">
      <x:c r="A3" s="10" t="s">
        <x:v>779</x:v>
      </x:c>
      <x:c r="B3" s="10" t="s">
        <x:v>1141</x:v>
      </x:c>
      <x:c r="C3" s="10" t="s">
        <x:v>1142</x:v>
      </x:c>
      <x:c r="D3" s="19" t="s">
        <x:v>1143</x:v>
      </x:c>
      <x:c r="E3" s="10">
        <x:v>2</x:v>
      </x:c>
      <x:c r="F3" s="10" t="s">
        <x:v>1140</x:v>
      </x:c>
      <x:c r="G3" s="10" t="b">
        <x:v>1</x:v>
      </x:c>
      <x:c r="H3" s="86" t="n">
        <x:f>IF(E3="","",E3*IF(F3="fen",0.1,IF(F3="qian",1,IF(F3="liang",10,IF(F3="jin",160,0)))))</x:f>
        <x:v>2</x:v>
      </x:c>
      <x:c r="I3" s="86" t="n">
        <x:f>IF(H3="","",H3*IFERROR(INDEX('Herb'!$L$2:$L$115,MATCH(C3,'Herb'!$A$2:$A$115,0)),0))</x:f>
        <x:v>8</x:v>
      </x:c>
      <x:c r="J3" s="86" t="n">
        <x:f>IF(H3="","",H3*IFERROR(INDEX('Herb'!$M$2:$M$115,MATCH(C3,'Herb'!$A$2:$A$115,0)),0))</x:f>
        <x:v>12</x:v>
      </x:c>
    </x:row>
    <x:row r="4">
      <x:c r="A4" s="10" t="s">
        <x:v>779</x:v>
      </x:c>
      <x:c r="B4" s="10" t="s">
        <x:v>1144</x:v>
      </x:c>
      <x:c r="C4" s="10" t="s">
        <x:v>1145</x:v>
      </x:c>
      <x:c r="D4" s="20" t="s">
        <x:v>1146</x:v>
      </x:c>
      <x:c r="E4" s="10">
        <x:v>2</x:v>
      </x:c>
      <x:c r="F4" s="10" t="s">
        <x:v>1140</x:v>
      </x:c>
      <x:c r="G4" s="10" t="b">
        <x:v>1</x:v>
      </x:c>
      <x:c r="H4" s="86" t="n">
        <x:f>IF(E4="","",E4*IF(F4="fen",0.1,IF(F4="qian",1,IF(F4="liang",10,IF(F4="jin",160,0)))))</x:f>
        <x:v>2</x:v>
      </x:c>
      <x:c r="I4" s="86" t="n">
        <x:f>IF(H4="","",H4*IFERROR(INDEX('Herb'!$L$2:$L$115,MATCH(C4,'Herb'!$A$2:$A$115,0)),0))</x:f>
        <x:v>8</x:v>
      </x:c>
      <x:c r="J4" s="86" t="n">
        <x:f>IF(H4="","",H4*IFERROR(INDEX('Herb'!$M$2:$M$115,MATCH(C4,'Herb'!$A$2:$A$115,0)),0))</x:f>
        <x:v>14</x:v>
      </x:c>
    </x:row>
    <x:row r="5">
      <x:c r="A5" s="10" t="s">
        <x:v>779</x:v>
      </x:c>
      <x:c r="B5" s="10" t="s">
        <x:v>1147</x:v>
      </x:c>
      <x:c r="C5" s="10" t="s">
        <x:v>1148</x:v>
      </x:c>
      <x:c r="D5" s="17" t="s">
        <x:v>1149</x:v>
      </x:c>
      <x:c r="E5" s="10">
        <x:v>1</x:v>
      </x:c>
      <x:c r="F5" s="10" t="s">
        <x:v>1140</x:v>
      </x:c>
      <x:c r="G5" s="10" t="b">
        <x:v>1</x:v>
      </x:c>
      <x:c r="H5" s="86" t="n">
        <x:f>IF(E5="","",E5*IF(F5="fen",0.1,IF(F5="qian",1,IF(F5="liang",10,IF(F5="jin",160,0)))))</x:f>
        <x:v>1</x:v>
      </x:c>
      <x:c r="I5" s="86" t="n">
        <x:f>IF(H5="","",H5*IFERROR(INDEX('Herb'!$L$2:$L$115,MATCH(C5,'Herb'!$A$2:$A$115,0)),0))</x:f>
        <x:v>2</x:v>
      </x:c>
      <x:c r="J5" s="86" t="n">
        <x:f>IF(H5="","",H5*IFERROR(INDEX('Herb'!$M$2:$M$115,MATCH(C5,'Herb'!$A$2:$A$115,0)),0))</x:f>
        <x:v>4</x:v>
      </x:c>
    </x:row>
    <x:row r="6">
      <x:c r="A6" s="10" t="s">
        <x:v>784</x:v>
      </x:c>
      <x:c r="B6" s="10" t="s">
        <x:v>1141</x:v>
      </x:c>
      <x:c r="C6" s="10" t="s">
        <x:v>1142</x:v>
      </x:c>
      <x:c r="D6" s="18" t="s">
        <x:v>1139</x:v>
      </x:c>
      <x:c r="E6" s="10">
        <x:v>3</x:v>
      </x:c>
      <x:c r="F6" s="10" t="s">
        <x:v>1140</x:v>
      </x:c>
      <x:c r="G6" s="10" t="b">
        <x:v>1</x:v>
      </x:c>
      <x:c r="H6" s="86" t="n">
        <x:f>IF(E6="","",E6*IF(F6="fen",0.1,IF(F6="qian",1,IF(F6="liang",10,IF(F6="jin",160,0)))))</x:f>
        <x:v>3</x:v>
      </x:c>
      <x:c r="I6" s="86" t="n">
        <x:f>IF(H6="","",H6*IFERROR(INDEX('Herb'!$L$2:$L$115,MATCH(C6,'Herb'!$A$2:$A$115,0)),0))</x:f>
        <x:v>12</x:v>
      </x:c>
      <x:c r="J6" s="86" t="n">
        <x:f>IF(H6="","",H6*IFERROR(INDEX('Herb'!$M$2:$M$115,MATCH(C6,'Herb'!$A$2:$A$115,0)),0))</x:f>
        <x:v>18</x:v>
      </x:c>
    </x:row>
    <x:row r="7">
      <x:c r="A7" s="10" t="s">
        <x:v>784</x:v>
      </x:c>
      <x:c r="B7" s="10" t="s">
        <x:v>1150</x:v>
      </x:c>
      <x:c r="C7" s="10" t="s">
        <x:v>1151</x:v>
      </x:c>
      <x:c r="D7" s="19" t="s">
        <x:v>1143</x:v>
      </x:c>
      <x:c r="E7" s="10">
        <x:v>3</x:v>
      </x:c>
      <x:c r="F7" s="10" t="s">
        <x:v>1140</x:v>
      </x:c>
      <x:c r="G7" s="10" t="b">
        <x:v>1</x:v>
      </x:c>
      <x:c r="H7" s="86" t="n">
        <x:f>IF(E7="","",E7*IF(F7="fen",0.1,IF(F7="qian",1,IF(F7="liang",10,IF(F7="jin",160,0)))))</x:f>
        <x:v>3</x:v>
      </x:c>
      <x:c r="I7" s="86" t="n">
        <x:f>IF(H7="","",H7*IFERROR(INDEX('Herb'!$L$2:$L$115,MATCH(C7,'Herb'!$A$2:$A$115,0)),0))</x:f>
        <x:v>15</x:v>
      </x:c>
      <x:c r="J7" s="86" t="n">
        <x:f>IF(H7="","",H7*IFERROR(INDEX('Herb'!$M$2:$M$115,MATCH(C7,'Herb'!$A$2:$A$115,0)),0))</x:f>
        <x:v>24</x:v>
      </x:c>
    </x:row>
    <x:row r="8">
      <x:c r="A8" s="10" t="s">
        <x:v>784</x:v>
      </x:c>
      <x:c r="B8" s="10" t="s">
        <x:v>1152</x:v>
      </x:c>
      <x:c r="C8" s="10" t="s">
        <x:v>1153</x:v>
      </x:c>
      <x:c r="D8" s="20" t="s">
        <x:v>1146</x:v>
      </x:c>
      <x:c r="E8" s="10">
        <x:v>3</x:v>
      </x:c>
      <x:c r="F8" s="10" t="s">
        <x:v>1140</x:v>
      </x:c>
      <x:c r="G8" s="10" t="b">
        <x:v>1</x:v>
      </x:c>
      <x:c r="H8" s="86" t="n">
        <x:f>IF(E8="","",E8*IF(F8="fen",0.1,IF(F8="qian",1,IF(F8="liang",10,IF(F8="jin",160,0)))))</x:f>
        <x:v>3</x:v>
      </x:c>
      <x:c r="I8" s="86" t="n">
        <x:f>IF(H8="","",H8*IFERROR(INDEX('Herb'!$L$2:$L$115,MATCH(C8,'Herb'!$A$2:$A$115,0)),0))</x:f>
        <x:v>3</x:v>
      </x:c>
      <x:c r="J8" s="86" t="n">
        <x:f>IF(H8="","",H8*IFERROR(INDEX('Herb'!$M$2:$M$115,MATCH(C8,'Herb'!$A$2:$A$115,0)),0))</x:f>
        <x:v>6</x:v>
      </x:c>
    </x:row>
    <x:row r="9">
      <x:c r="A9" s="10" t="s">
        <x:v>784</x:v>
      </x:c>
      <x:c r="B9" s="10" t="s">
        <x:v>1154</x:v>
      </x:c>
      <x:c r="C9" s="10" t="s">
        <x:v>1155</x:v>
      </x:c>
      <x:c r="D9" s="20" t="s">
        <x:v>1146</x:v>
      </x:c>
      <x:c r="E9" s="10">
        <x:v>2</x:v>
      </x:c>
      <x:c r="F9" s="10" t="s">
        <x:v>1140</x:v>
      </x:c>
      <x:c r="G9" s="10" t="b">
        <x:v>1</x:v>
      </x:c>
      <x:c r="H9" s="86" t="n">
        <x:f>IF(E9="","",E9*IF(F9="fen",0.1,IF(F9="qian",1,IF(F9="liang",10,IF(F9="jin",160,0)))))</x:f>
        <x:v>2</x:v>
      </x:c>
      <x:c r="I9" s="86" t="n">
        <x:f>IF(H9="","",H9*IFERROR(INDEX('Herb'!$L$2:$L$115,MATCH(C9,'Herb'!$A$2:$A$115,0)),0))</x:f>
        <x:v>4</x:v>
      </x:c>
      <x:c r="J9" s="86" t="n">
        <x:f>IF(H9="","",H9*IFERROR(INDEX('Herb'!$M$2:$M$115,MATCH(C9,'Herb'!$A$2:$A$115,0)),0))</x:f>
        <x:v>8</x:v>
      </x:c>
    </x:row>
    <x:row r="10">
      <x:c r="A10" s="10" t="s">
        <x:v>784</x:v>
      </x:c>
      <x:c r="B10" s="10" t="s">
        <x:v>1147</x:v>
      </x:c>
      <x:c r="C10" s="10" t="s">
        <x:v>1148</x:v>
      </x:c>
      <x:c r="D10" s="17" t="s">
        <x:v>1149</x:v>
      </x:c>
      <x:c r="E10" s="10">
        <x:v>2</x:v>
      </x:c>
      <x:c r="F10" s="10" t="s">
        <x:v>1140</x:v>
      </x:c>
      <x:c r="G10" s="10" t="b">
        <x:v>1</x:v>
      </x:c>
      <x:c r="H10" s="86" t="n">
        <x:f>IF(E10="","",E10*IF(F10="fen",0.1,IF(F10="qian",1,IF(F10="liang",10,IF(F10="jin",160,0)))))</x:f>
        <x:v>2</x:v>
      </x:c>
      <x:c r="I10" s="86" t="n">
        <x:f>IF(H10="","",H10*IFERROR(INDEX('Herb'!$L$2:$L$115,MATCH(C10,'Herb'!$A$2:$A$115,0)),0))</x:f>
        <x:v>4</x:v>
      </x:c>
      <x:c r="J10" s="86" t="n">
        <x:f>IF(H10="","",H10*IFERROR(INDEX('Herb'!$M$2:$M$115,MATCH(C10,'Herb'!$A$2:$A$115,0)),0))</x:f>
        <x:v>8</x:v>
      </x:c>
    </x:row>
    <x:row r="11">
      <x:c r="A11" s="10" t="s">
        <x:v>788</x:v>
      </x:c>
      <x:c r="B11" s="10" t="s">
        <x:v>1156</x:v>
      </x:c>
      <x:c r="C11" s="10" t="s">
        <x:v>1157</x:v>
      </x:c>
      <x:c r="D11" s="18" t="s">
        <x:v>1139</x:v>
      </x:c>
      <x:c r="E11" s="10">
        <x:v>1</x:v>
      </x:c>
      <x:c r="F11" s="10" t="s">
        <x:v>1158</x:v>
      </x:c>
      <x:c r="G11" s="10" t="b">
        <x:v>1</x:v>
      </x:c>
      <x:c r="H11" s="86" t="n">
        <x:f>IF(E11="","",E11*IF(F11="fen",0.1,IF(F11="qian",1,IF(F11="liang",10,IF(F11="jin",160,0)))))</x:f>
        <x:v>10</x:v>
      </x:c>
      <x:c r="I11" s="86" t="n">
        <x:f>IF(H11="","",H11*IFERROR(INDEX('Herb'!$L$2:$L$115,MATCH(C11,'Herb'!$A$2:$A$115,0)),0))</x:f>
        <x:v>80</x:v>
      </x:c>
      <x:c r="J11" s="86" t="n">
        <x:f>IF(H11="","",H11*IFERROR(INDEX('Herb'!$M$2:$M$115,MATCH(C11,'Herb'!$A$2:$A$115,0)),0))</x:f>
        <x:v>140</x:v>
      </x:c>
    </x:row>
    <x:row r="12">
      <x:c r="A12" s="10" t="s">
        <x:v>788</x:v>
      </x:c>
      <x:c r="B12" s="10" t="s">
        <x:v>1159</x:v>
      </x:c>
      <x:c r="C12" s="10" t="s">
        <x:v>1160</x:v>
      </x:c>
      <x:c r="D12" s="18" t="s">
        <x:v>1139</x:v>
      </x:c>
      <x:c r="E12" s="10">
        <x:v>1</x:v>
      </x:c>
      <x:c r="F12" s="10" t="s">
        <x:v>1158</x:v>
      </x:c>
      <x:c r="G12" s="10" t="b">
        <x:v>1</x:v>
      </x:c>
      <x:c r="H12" s="86" t="n">
        <x:f>IF(E12="","",E12*IF(F12="fen",0.1,IF(F12="qian",1,IF(F12="liang",10,IF(F12="jin",160,0)))))</x:f>
        <x:v>10</x:v>
      </x:c>
      <x:c r="I12" s="86" t="n">
        <x:f>IF(H12="","",H12*IFERROR(INDEX('Herb'!$L$2:$L$115,MATCH(C12,'Herb'!$A$2:$A$115,0)),0))</x:f>
        <x:v>70</x:v>
      </x:c>
      <x:c r="J12" s="86" t="n">
        <x:f>IF(H12="","",H12*IFERROR(INDEX('Herb'!$M$2:$M$115,MATCH(C12,'Herb'!$A$2:$A$115,0)),0))</x:f>
        <x:v>120</x:v>
      </x:c>
    </x:row>
    <x:row r="13">
      <x:c r="A13" s="10" t="s">
        <x:v>788</x:v>
      </x:c>
      <x:c r="B13" s="10" t="s">
        <x:v>1161</x:v>
      </x:c>
      <x:c r="C13" s="10" t="s">
        <x:v>1162</x:v>
      </x:c>
      <x:c r="D13" s="19" t="s">
        <x:v>1143</x:v>
      </x:c>
      <x:c r="E13" s="10">
        <x:v>6</x:v>
      </x:c>
      <x:c r="F13" s="10" t="s">
        <x:v>1140</x:v>
      </x:c>
      <x:c r="G13" s="10" t="b">
        <x:v>1</x:v>
      </x:c>
      <x:c r="H13" s="86" t="n">
        <x:f>IF(E13="","",E13*IF(F13="fen",0.1,IF(F13="qian",1,IF(F13="liang",10,IF(F13="jin",160,0)))))</x:f>
        <x:v>6</x:v>
      </x:c>
      <x:c r="I13" s="86" t="n">
        <x:f>IF(H13="","",H13*IFERROR(INDEX('Herb'!$L$2:$L$115,MATCH(C13,'Herb'!$A$2:$A$115,0)),0))</x:f>
        <x:v>24</x:v>
      </x:c>
      <x:c r="J13" s="86" t="n">
        <x:f>IF(H13="","",H13*IFERROR(INDEX('Herb'!$M$2:$M$115,MATCH(C13,'Herb'!$A$2:$A$115,0)),0))</x:f>
        <x:v>48</x:v>
      </x:c>
    </x:row>
    <x:row r="14">
      <x:c r="A14" s="10" t="s">
        <x:v>788</x:v>
      </x:c>
      <x:c r="B14" s="10" t="s">
        <x:v>1163</x:v>
      </x:c>
      <x:c r="C14" s="10" t="s">
        <x:v>1164</x:v>
      </x:c>
      <x:c r="D14" s="19" t="s">
        <x:v>1143</x:v>
      </x:c>
      <x:c r="E14" s="10">
        <x:v>4</x:v>
      </x:c>
      <x:c r="F14" s="10" t="s">
        <x:v>1140</x:v>
      </x:c>
      <x:c r="G14" s="10" t="b">
        <x:v>1</x:v>
      </x:c>
      <x:c r="H14" s="86" t="n">
        <x:f>IF(E14="","",E14*IF(F14="fen",0.1,IF(F14="qian",1,IF(F14="liang",10,IF(F14="jin",160,0)))))</x:f>
        <x:v>4</x:v>
      </x:c>
      <x:c r="I14" s="86" t="n">
        <x:f>IF(H14="","",H14*IFERROR(INDEX('Herb'!$L$2:$L$115,MATCH(C14,'Herb'!$A$2:$A$115,0)),0))</x:f>
        <x:v>12</x:v>
      </x:c>
      <x:c r="J14" s="86" t="n">
        <x:f>IF(H14="","",H14*IFERROR(INDEX('Herb'!$M$2:$M$115,MATCH(C14,'Herb'!$A$2:$A$115,0)),0))</x:f>
        <x:v>24</x:v>
      </x:c>
    </x:row>
    <x:row r="15">
      <x:c r="A15" s="10" t="s">
        <x:v>788</x:v>
      </x:c>
      <x:c r="B15" s="10" t="s">
        <x:v>1165</x:v>
      </x:c>
      <x:c r="C15" s="10" t="s">
        <x:v>1166</x:v>
      </x:c>
      <x:c r="D15" s="19" t="s">
        <x:v>1143</x:v>
      </x:c>
      <x:c r="E15" s="10">
        <x:v>6</x:v>
      </x:c>
      <x:c r="F15" s="10" t="s">
        <x:v>1140</x:v>
      </x:c>
      <x:c r="G15" s="10" t="b">
        <x:v>1</x:v>
      </x:c>
      <x:c r="H15" s="86" t="n">
        <x:f>IF(E15="","",E15*IF(F15="fen",0.1,IF(F15="qian",1,IF(F15="liang",10,IF(F15="jin",160,0)))))</x:f>
        <x:v>6</x:v>
      </x:c>
      <x:c r="I15" s="86" t="n">
        <x:f>IF(H15="","",H15*IFERROR(INDEX('Herb'!$L$2:$L$115,MATCH(C15,'Herb'!$A$2:$A$115,0)),0))</x:f>
        <x:v>18</x:v>
      </x:c>
      <x:c r="J15" s="86" t="n">
        <x:f>IF(H15="","",H15*IFERROR(INDEX('Herb'!$M$2:$M$115,MATCH(C15,'Herb'!$A$2:$A$115,0)),0))</x:f>
        <x:v>36</x:v>
      </x:c>
    </x:row>
    <x:row r="16">
      <x:c r="A16" s="10" t="s">
        <x:v>788</x:v>
      </x:c>
      <x:c r="B16" s="10" t="s">
        <x:v>1167</x:v>
      </x:c>
      <x:c r="C16" s="10" t="s">
        <x:v>1168</x:v>
      </x:c>
      <x:c r="D16" s="19" t="s">
        <x:v>1143</x:v>
      </x:c>
      <x:c r="E16" s="10">
        <x:v>5</x:v>
      </x:c>
      <x:c r="F16" s="10" t="s">
        <x:v>1140</x:v>
      </x:c>
      <x:c r="G16" s="10" t="b">
        <x:v>1</x:v>
      </x:c>
      <x:c r="H16" s="86" t="n">
        <x:f>IF(E16="","",E16*IF(F16="fen",0.1,IF(F16="qian",1,IF(F16="liang",10,IF(F16="jin",160,0)))))</x:f>
        <x:v>5</x:v>
      </x:c>
      <x:c r="I16" s="86" t="n">
        <x:f>IF(H16="","",H16*IFERROR(INDEX('Herb'!$L$2:$L$115,MATCH(C16,'Herb'!$A$2:$A$115,0)),0))</x:f>
        <x:v>10</x:v>
      </x:c>
      <x:c r="J16" s="86" t="n">
        <x:f>IF(H16="","",H16*IFERROR(INDEX('Herb'!$M$2:$M$115,MATCH(C16,'Herb'!$A$2:$A$115,0)),0))</x:f>
        <x:v>20</x:v>
      </x:c>
    </x:row>
    <x:row r="17">
      <x:c r="A17" s="10" t="s">
        <x:v>788</x:v>
      </x:c>
      <x:c r="B17" s="10" t="s">
        <x:v>1169</x:v>
      </x:c>
      <x:c r="C17" s="10" t="s">
        <x:v>1170</x:v>
      </x:c>
      <x:c r="D17" s="20" t="s">
        <x:v>1146</x:v>
      </x:c>
      <x:c r="E17" s="10">
        <x:v>6</x:v>
      </x:c>
      <x:c r="F17" s="10" t="s">
        <x:v>1140</x:v>
      </x:c>
      <x:c r="G17" s="10" t="b">
        <x:v>1</x:v>
      </x:c>
      <x:c r="H17" s="86" t="n">
        <x:f>IF(E17="","",E17*IF(F17="fen",0.1,IF(F17="qian",1,IF(F17="liang",10,IF(F17="jin",160,0)))))</x:f>
        <x:v>6</x:v>
      </x:c>
      <x:c r="I17" s="86" t="n">
        <x:f>IF(H17="","",H17*IFERROR(INDEX('Herb'!$L$2:$L$115,MATCH(C17,'Herb'!$A$2:$A$115,0)),0))</x:f>
        <x:v>24</x:v>
      </x:c>
      <x:c r="J17" s="86" t="n">
        <x:f>IF(H17="","",H17*IFERROR(INDEX('Herb'!$M$2:$M$115,MATCH(C17,'Herb'!$A$2:$A$115,0)),0))</x:f>
        <x:v>42</x:v>
      </x:c>
    </x:row>
    <x:row r="18">
      <x:c r="A18" s="10" t="s">
        <x:v>788</x:v>
      </x:c>
      <x:c r="B18" s="10" t="s">
        <x:v>1171</x:v>
      </x:c>
      <x:c r="C18" s="10" t="s">
        <x:v>1172</x:v>
      </x:c>
      <x:c r="D18" s="20" t="s">
        <x:v>1146</x:v>
      </x:c>
      <x:c r="E18" s="10">
        <x:v>4</x:v>
      </x:c>
      <x:c r="F18" s="10" t="s">
        <x:v>1140</x:v>
      </x:c>
      <x:c r="G18" s="10" t="b">
        <x:v>1</x:v>
      </x:c>
      <x:c r="H18" s="86" t="n">
        <x:f>IF(E18="","",E18*IF(F18="fen",0.1,IF(F18="qian",1,IF(F18="liang",10,IF(F18="jin",160,0)))))</x:f>
        <x:v>4</x:v>
      </x:c>
      <x:c r="I18" s="86" t="n">
        <x:f>IF(H18="","",H18*IFERROR(INDEX('Herb'!$L$2:$L$115,MATCH(C18,'Herb'!$A$2:$A$115,0)),0))</x:f>
        <x:v>8</x:v>
      </x:c>
      <x:c r="J18" s="86" t="n">
        <x:f>IF(H18="","",H18*IFERROR(INDEX('Herb'!$M$2:$M$115,MATCH(C18,'Herb'!$A$2:$A$115,0)),0))</x:f>
        <x:v>16</x:v>
      </x:c>
    </x:row>
    <x:row r="19">
      <x:c r="A19" s="10" t="s">
        <x:v>788</x:v>
      </x:c>
      <x:c r="B19" s="10" t="s">
        <x:v>1173</x:v>
      </x:c>
      <x:c r="C19" s="10" t="s">
        <x:v>1174</x:v>
      </x:c>
      <x:c r="D19" s="20" t="s">
        <x:v>1146</x:v>
      </x:c>
      <x:c r="E19" s="10">
        <x:v>4</x:v>
      </x:c>
      <x:c r="F19" s="10" t="s">
        <x:v>1140</x:v>
      </x:c>
      <x:c r="G19" s="10" t="b">
        <x:v>1</x:v>
      </x:c>
      <x:c r="H19" s="86" t="n">
        <x:f>IF(E19="","",E19*IF(F19="fen",0.1,IF(F19="qian",1,IF(F19="liang",10,IF(F19="jin",160,0)))))</x:f>
        <x:v>4</x:v>
      </x:c>
      <x:c r="I19" s="86" t="n">
        <x:f>IF(H19="","",H19*IFERROR(INDEX('Herb'!$L$2:$L$115,MATCH(C19,'Herb'!$A$2:$A$115,0)),0))</x:f>
        <x:v>8</x:v>
      </x:c>
      <x:c r="J19" s="86" t="n">
        <x:f>IF(H19="","",H19*IFERROR(INDEX('Herb'!$M$2:$M$115,MATCH(C19,'Herb'!$A$2:$A$115,0)),0))</x:f>
        <x:v>16</x:v>
      </x:c>
    </x:row>
    <x:row r="20">
      <x:c r="A20" s="10" t="s">
        <x:v>788</x:v>
      </x:c>
      <x:c r="B20" s="10" t="s">
        <x:v>1147</x:v>
      </x:c>
      <x:c r="C20" s="10" t="s">
        <x:v>1148</x:v>
      </x:c>
      <x:c r="D20" s="17" t="s">
        <x:v>1149</x:v>
      </x:c>
      <x:c r="E20" s="10">
        <x:v>5</x:v>
      </x:c>
      <x:c r="F20" s="10" t="s">
        <x:v>1140</x:v>
      </x:c>
      <x:c r="G20" s="10" t="b">
        <x:v>1</x:v>
      </x:c>
      <x:c r="H20" s="86" t="n">
        <x:f>IF(E20="","",E20*IF(F20="fen",0.1,IF(F20="qian",1,IF(F20="liang",10,IF(F20="jin",160,0)))))</x:f>
        <x:v>5</x:v>
      </x:c>
      <x:c r="I20" s="86" t="n">
        <x:f>IF(H20="","",H20*IFERROR(INDEX('Herb'!$L$2:$L$115,MATCH(C20,'Herb'!$A$2:$A$115,0)),0))</x:f>
        <x:v>10</x:v>
      </x:c>
      <x:c r="J20" s="86" t="n">
        <x:f>IF(H20="","",H20*IFERROR(INDEX('Herb'!$M$2:$M$115,MATCH(C20,'Herb'!$A$2:$A$115,0)),0))</x:f>
        <x:v>20</x:v>
      </x:c>
    </x:row>
    <x:row r="21">
      <x:c r="A21" s="10" t="s">
        <x:v>791</x:v>
      </x:c>
      <x:c r="B21" s="10" t="s">
        <x:v>1175</x:v>
      </x:c>
      <x:c r="C21" s="10" t="s">
        <x:v>1176</x:v>
      </x:c>
      <x:c r="D21" s="18" t="s">
        <x:v>1139</x:v>
      </x:c>
      <x:c r="E21" s="10">
        <x:v>1.5</x:v>
      </x:c>
      <x:c r="F21" s="10" t="s">
        <x:v>1140</x:v>
      </x:c>
      <x:c r="G21" s="10" t="b">
        <x:v>1</x:v>
      </x:c>
      <x:c r="H21" s="86" t="n">
        <x:f>IF(E21="","",E21*IF(F21="fen",0.1,IF(F21="qian",1,IF(F21="liang",10,IF(F21="jin",160,0)))))</x:f>
        <x:v>1.5</x:v>
      </x:c>
      <x:c r="I21" s="86" t="n">
        <x:f>IF(H21="","",H21*IFERROR(INDEX('Herb'!$L$2:$L$115,MATCH(C21,'Herb'!$A$2:$A$115,0)),0))</x:f>
        <x:v>4.5</x:v>
      </x:c>
      <x:c r="J21" s="86" t="n">
        <x:f>IF(H21="","",H21*IFERROR(INDEX('Herb'!$M$2:$M$115,MATCH(C21,'Herb'!$A$2:$A$115,0)),0))</x:f>
        <x:v>9</x:v>
      </x:c>
    </x:row>
    <x:row r="22">
      <x:c r="A22" s="10" t="s">
        <x:v>791</x:v>
      </x:c>
      <x:c r="B22" s="10" t="s">
        <x:v>1144</x:v>
      </x:c>
      <x:c r="C22" s="10" t="s">
        <x:v>1145</x:v>
      </x:c>
      <x:c r="D22" s="18" t="s">
        <x:v>1139</x:v>
      </x:c>
      <x:c r="E22" s="10">
        <x:v>2</x:v>
      </x:c>
      <x:c r="F22" s="10" t="s">
        <x:v>1140</x:v>
      </x:c>
      <x:c r="G22" s="10" t="b">
        <x:v>1</x:v>
      </x:c>
      <x:c r="H22" s="86" t="n">
        <x:f>IF(E22="","",E22*IF(F22="fen",0.1,IF(F22="qian",1,IF(F22="liang",10,IF(F22="jin",160,0)))))</x:f>
        <x:v>2</x:v>
      </x:c>
      <x:c r="I22" s="86" t="n">
        <x:f>IF(H22="","",H22*IFERROR(INDEX('Herb'!$L$2:$L$115,MATCH(C22,'Herb'!$A$2:$A$115,0)),0))</x:f>
        <x:v>8</x:v>
      </x:c>
      <x:c r="J22" s="86" t="n">
        <x:f>IF(H22="","",H22*IFERROR(INDEX('Herb'!$M$2:$M$115,MATCH(C22,'Herb'!$A$2:$A$115,0)),0))</x:f>
        <x:v>14</x:v>
      </x:c>
    </x:row>
    <x:row r="23">
      <x:c r="A23" s="10" t="s">
        <x:v>791</x:v>
      </x:c>
      <x:c r="B23" s="10" t="s">
        <x:v>1177</x:v>
      </x:c>
      <x:c r="C23" s="10" t="s">
        <x:v>1178</x:v>
      </x:c>
      <x:c r="D23" s="19" t="s">
        <x:v>1143</x:v>
      </x:c>
      <x:c r="E23" s="10">
        <x:v>1</x:v>
      </x:c>
      <x:c r="F23" s="10" t="s">
        <x:v>1140</x:v>
      </x:c>
      <x:c r="G23" s="10" t="b">
        <x:v>1</x:v>
      </x:c>
      <x:c r="H23" s="86" t="n">
        <x:f>IF(E23="","",E23*IF(F23="fen",0.1,IF(F23="qian",1,IF(F23="liang",10,IF(F23="jin",160,0)))))</x:f>
        <x:v>1</x:v>
      </x:c>
      <x:c r="I23" s="86" t="n">
        <x:f>IF(H23="","",H23*IFERROR(INDEX('Herb'!$L$2:$L$115,MATCH(C23,'Herb'!$A$2:$A$115,0)),0))</x:f>
        <x:v>6</x:v>
      </x:c>
      <x:c r="J23" s="86" t="n">
        <x:f>IF(H23="","",H23*IFERROR(INDEX('Herb'!$M$2:$M$115,MATCH(C23,'Herb'!$A$2:$A$115,0)),0))</x:f>
        <x:v>11</x:v>
      </x:c>
    </x:row>
    <x:row r="24">
      <x:c r="A24" s="10" t="s">
        <x:v>791</x:v>
      </x:c>
      <x:c r="B24" s="10" t="s">
        <x:v>1179</x:v>
      </x:c>
      <x:c r="C24" s="10" t="s">
        <x:v>1180</x:v>
      </x:c>
      <x:c r="D24" s="20" t="s">
        <x:v>1146</x:v>
      </x:c>
      <x:c r="E24" s="10">
        <x:v>1</x:v>
      </x:c>
      <x:c r="F24" s="10" t="s">
        <x:v>1140</x:v>
      </x:c>
      <x:c r="G24" s="10" t="b">
        <x:v>1</x:v>
      </x:c>
      <x:c r="H24" s="86" t="n">
        <x:f>IF(E24="","",E24*IF(F24="fen",0.1,IF(F24="qian",1,IF(F24="liang",10,IF(F24="jin",160,0)))))</x:f>
        <x:v>1</x:v>
      </x:c>
      <x:c r="I24" s="86" t="n">
        <x:f>IF(H24="","",H24*IFERROR(INDEX('Herb'!$L$2:$L$115,MATCH(C24,'Herb'!$A$2:$A$115,0)),0))</x:f>
        <x:v>12</x:v>
      </x:c>
      <x:c r="J24" s="86" t="n">
        <x:f>IF(H24="","",H24*IFERROR(INDEX('Herb'!$M$2:$M$115,MATCH(C24,'Herb'!$A$2:$A$115,0)),0))</x:f>
        <x:v>20</x:v>
      </x:c>
    </x:row>
    <x:row r="25">
      <x:c r="A25" s="10" t="s">
        <x:v>791</x:v>
      </x:c>
      <x:c r="B25" s="10" t="s">
        <x:v>1167</x:v>
      </x:c>
      <x:c r="C25" s="10" t="s">
        <x:v>1168</x:v>
      </x:c>
      <x:c r="D25" s="20" t="s">
        <x:v>1146</x:v>
      </x:c>
      <x:c r="E25" s="10">
        <x:v>1</x:v>
      </x:c>
      <x:c r="F25" s="10" t="s">
        <x:v>1140</x:v>
      </x:c>
      <x:c r="G25" s="10" t="b">
        <x:v>1</x:v>
      </x:c>
      <x:c r="H25" s="86" t="n">
        <x:f>IF(E25="","",E25*IF(F25="fen",0.1,IF(F25="qian",1,IF(F25="liang",10,IF(F25="jin",160,0)))))</x:f>
        <x:v>1</x:v>
      </x:c>
      <x:c r="I25" s="86" t="n">
        <x:f>IF(H25="","",H25*IFERROR(INDEX('Herb'!$L$2:$L$115,MATCH(C25,'Herb'!$A$2:$A$115,0)),0))</x:f>
        <x:v>2</x:v>
      </x:c>
      <x:c r="J25" s="86" t="n">
        <x:f>IF(H25="","",H25*IFERROR(INDEX('Herb'!$M$2:$M$115,MATCH(C25,'Herb'!$A$2:$A$115,0)),0))</x:f>
        <x:v>4</x:v>
      </x:c>
    </x:row>
    <x:row r="26">
      <x:c r="A26" s="10" t="s">
        <x:v>791</x:v>
      </x:c>
      <x:c r="B26" s="10" t="s">
        <x:v>1181</x:v>
      </x:c>
      <x:c r="C26" s="10" t="s">
        <x:v>1182</x:v>
      </x:c>
      <x:c r="D26" s="20" t="s">
        <x:v>1146</x:v>
      </x:c>
      <x:c r="E26" s="10">
        <x:v>1</x:v>
      </x:c>
      <x:c r="F26" s="10" t="s">
        <x:v>1140</x:v>
      </x:c>
      <x:c r="G26" s="10" t="b">
        <x:v>1</x:v>
      </x:c>
      <x:c r="H26" s="86" t="n">
        <x:f>IF(E26="","",E26*IF(F26="fen",0.1,IF(F26="qian",1,IF(F26="liang",10,IF(F26="jin",160,0)))))</x:f>
        <x:v>1</x:v>
      </x:c>
      <x:c r="I26" s="86" t="n">
        <x:f>IF(H26="","",H26*IFERROR(INDEX('Herb'!$L$2:$L$115,MATCH(C26,'Herb'!$A$2:$A$115,0)),0))</x:f>
        <x:v>4</x:v>
      </x:c>
      <x:c r="J26" s="86" t="n">
        <x:f>IF(H26="","",H26*IFERROR(INDEX('Herb'!$M$2:$M$115,MATCH(C26,'Herb'!$A$2:$A$115,0)),0))</x:f>
        <x:v>7</x:v>
      </x:c>
    </x:row>
    <x:row r="27">
      <x:c r="A27" s="10" t="s">
        <x:v>791</x:v>
      </x:c>
      <x:c r="B27" s="10" t="s">
        <x:v>1183</x:v>
      </x:c>
      <x:c r="C27" s="10" t="s">
        <x:v>1184</x:v>
      </x:c>
      <x:c r="D27" s="20" t="s">
        <x:v>1146</x:v>
      </x:c>
      <x:c r="E27" s="10">
        <x:v>1</x:v>
      </x:c>
      <x:c r="F27" s="10" t="s">
        <x:v>1140</x:v>
      </x:c>
      <x:c r="G27" s="10" t="b">
        <x:v>1</x:v>
      </x:c>
      <x:c r="H27" s="86" t="n">
        <x:f>IF(E27="","",E27*IF(F27="fen",0.1,IF(F27="qian",1,IF(F27="liang",10,IF(F27="jin",160,0)))))</x:f>
        <x:v>1</x:v>
      </x:c>
      <x:c r="I27" s="86" t="n">
        <x:f>IF(H27="","",H27*IFERROR(INDEX('Herb'!$L$2:$L$115,MATCH(C27,'Herb'!$A$2:$A$115,0)),0))</x:f>
        <x:v>1</x:v>
      </x:c>
      <x:c r="J27" s="86" t="n">
        <x:f>IF(H27="","",H27*IFERROR(INDEX('Herb'!$M$2:$M$115,MATCH(C27,'Herb'!$A$2:$A$115,0)),0))</x:f>
        <x:v>2</x:v>
      </x:c>
    </x:row>
    <x:row r="28">
      <x:c r="A28" s="10" t="s">
        <x:v>795</x:v>
      </x:c>
      <x:c r="B28" s="10" t="s">
        <x:v>1144</x:v>
      </x:c>
      <x:c r="C28" s="10" t="s">
        <x:v>1145</x:v>
      </x:c>
      <x:c r="D28" s="18" t="s">
        <x:v>1139</x:v>
      </x:c>
      <x:c r="E28" s="10">
        <x:v>3</x:v>
      </x:c>
      <x:c r="F28" s="10" t="s">
        <x:v>1140</x:v>
      </x:c>
      <x:c r="G28" s="10" t="b">
        <x:v>1</x:v>
      </x:c>
      <x:c r="H28" s="86" t="n">
        <x:f>IF(E28="","",E28*IF(F28="fen",0.1,IF(F28="qian",1,IF(F28="liang",10,IF(F28="jin",160,0)))))</x:f>
        <x:v>3</x:v>
      </x:c>
      <x:c r="I28" s="86" t="n">
        <x:f>IF(H28="","",H28*IFERROR(INDEX('Herb'!$L$2:$L$115,MATCH(C28,'Herb'!$A$2:$A$115,0)),0))</x:f>
        <x:v>12</x:v>
      </x:c>
      <x:c r="J28" s="86" t="n">
        <x:f>IF(H28="","",H28*IFERROR(INDEX('Herb'!$M$2:$M$115,MATCH(C28,'Herb'!$A$2:$A$115,0)),0))</x:f>
        <x:v>21</x:v>
      </x:c>
    </x:row>
    <x:row r="29">
      <x:c r="A29" s="10" t="s">
        <x:v>795</x:v>
      </x:c>
      <x:c r="B29" s="10" t="s">
        <x:v>1185</x:v>
      </x:c>
      <x:c r="C29" s="10" t="s">
        <x:v>1186</x:v>
      </x:c>
      <x:c r="D29" s="18" t="s">
        <x:v>1139</x:v>
      </x:c>
      <x:c r="E29" s="10">
        <x:v>3</x:v>
      </x:c>
      <x:c r="F29" s="10" t="s">
        <x:v>1140</x:v>
      </x:c>
      <x:c r="G29" s="10" t="b">
        <x:v>1</x:v>
      </x:c>
      <x:c r="H29" s="86" t="n">
        <x:f>IF(E29="","",E29*IF(F29="fen",0.1,IF(F29="qian",1,IF(F29="liang",10,IF(F29="jin",160,0)))))</x:f>
        <x:v>3</x:v>
      </x:c>
      <x:c r="I29" s="86" t="n">
        <x:f>IF(H29="","",H29*IFERROR(INDEX('Herb'!$L$2:$L$115,MATCH(C29,'Herb'!$A$2:$A$115,0)),0))</x:f>
        <x:v>9</x:v>
      </x:c>
      <x:c r="J29" s="86" t="n">
        <x:f>IF(H29="","",H29*IFERROR(INDEX('Herb'!$M$2:$M$115,MATCH(C29,'Herb'!$A$2:$A$115,0)),0))</x:f>
        <x:v>18</x:v>
      </x:c>
    </x:row>
    <x:row r="30">
      <x:c r="A30" s="10" t="s">
        <x:v>795</x:v>
      </x:c>
      <x:c r="B30" s="10" t="s">
        <x:v>25</x:v>
      </x:c>
      <x:c r="C30" s="10" t="s">
        <x:v>24</x:v>
      </x:c>
      <x:c r="D30" s="19" t="s">
        <x:v>1143</x:v>
      </x:c>
      <x:c r="E30" s="10">
        <x:v>3</x:v>
      </x:c>
      <x:c r="F30" s="10" t="s">
        <x:v>1140</x:v>
      </x:c>
      <x:c r="G30" s="10" t="b">
        <x:v>1</x:v>
      </x:c>
      <x:c r="H30" s="86" t="n">
        <x:f>IF(E30="","",E30*IF(F30="fen",0.1,IF(F30="qian",1,IF(F30="liang",10,IF(F30="jin",160,0)))))</x:f>
        <x:v>3</x:v>
      </x:c>
      <x:c r="I30" s="86" t="n">
        <x:f>IF(H30="","",H30*IFERROR(INDEX('Herb'!$L$2:$L$115,MATCH(C30,'Herb'!$A$2:$A$115,0)),0))</x:f>
        <x:v>15</x:v>
      </x:c>
      <x:c r="J30" s="86" t="n">
        <x:f>IF(H30="","",H30*IFERROR(INDEX('Herb'!$M$2:$M$115,MATCH(C30,'Herb'!$A$2:$A$115,0)),0))</x:f>
        <x:v>27</x:v>
      </x:c>
    </x:row>
    <x:row r="31">
      <x:c r="A31" s="10" t="s">
        <x:v>795</x:v>
      </x:c>
      <x:c r="B31" s="10" t="s">
        <x:v>1187</x:v>
      </x:c>
      <x:c r="C31" s="10" t="s">
        <x:v>1188</x:v>
      </x:c>
      <x:c r="D31" s="19" t="s">
        <x:v>1143</x:v>
      </x:c>
      <x:c r="E31" s="10">
        <x:v>3</x:v>
      </x:c>
      <x:c r="F31" s="10" t="s">
        <x:v>1140</x:v>
      </x:c>
      <x:c r="G31" s="10" t="b">
        <x:v>1</x:v>
      </x:c>
      <x:c r="H31" s="86" t="n">
        <x:f>IF(E31="","",E31*IF(F31="fen",0.1,IF(F31="qian",1,IF(F31="liang",10,IF(F31="jin",160,0)))))</x:f>
        <x:v>3</x:v>
      </x:c>
      <x:c r="I31" s="86" t="n">
        <x:f>IF(H31="","",H31*IFERROR(INDEX('Herb'!$L$2:$L$115,MATCH(C31,'Herb'!$A$2:$A$115,0)),0))</x:f>
        <x:v>15</x:v>
      </x:c>
      <x:c r="J31" s="86" t="n">
        <x:f>IF(H31="","",H31*IFERROR(INDEX('Herb'!$M$2:$M$115,MATCH(C31,'Herb'!$A$2:$A$115,0)),0))</x:f>
        <x:v>27</x:v>
      </x:c>
    </x:row>
    <x:row r="32">
      <x:c r="A32" s="10" t="s">
        <x:v>795</x:v>
      </x:c>
      <x:c r="B32" s="10" t="s">
        <x:v>23</x:v>
      </x:c>
      <x:c r="C32" s="10" t="s">
        <x:v>22</x:v>
      </x:c>
      <x:c r="D32" s="19" t="s">
        <x:v>1143</x:v>
      </x:c>
      <x:c r="E32" s="10">
        <x:v>3</x:v>
      </x:c>
      <x:c r="F32" s="10" t="s">
        <x:v>1140</x:v>
      </x:c>
      <x:c r="G32" s="10" t="b">
        <x:v>1</x:v>
      </x:c>
      <x:c r="H32" s="86" t="n">
        <x:f>IF(E32="","",E32*IF(F32="fen",0.1,IF(F32="qian",1,IF(F32="liang",10,IF(F32="jin",160,0)))))</x:f>
        <x:v>3</x:v>
      </x:c>
      <x:c r="I32" s="86" t="n">
        <x:f>IF(H32="","",H32*IFERROR(INDEX('Herb'!$L$2:$L$115,MATCH(C32,'Herb'!$A$2:$A$115,0)),0))</x:f>
        <x:v>9</x:v>
      </x:c>
      <x:c r="J32" s="86" t="n">
        <x:f>IF(H32="","",H32*IFERROR(INDEX('Herb'!$M$2:$M$115,MATCH(C32,'Herb'!$A$2:$A$115,0)),0))</x:f>
        <x:v>15</x:v>
      </x:c>
    </x:row>
    <x:row r="33">
      <x:c r="A33" s="10" t="s">
        <x:v>795</x:v>
      </x:c>
      <x:c r="B33" s="10" t="s">
        <x:v>1189</x:v>
      </x:c>
      <x:c r="C33" s="10" t="s">
        <x:v>1190</x:v>
      </x:c>
      <x:c r="D33" s="20" t="s">
        <x:v>1146</x:v>
      </x:c>
      <x:c r="E33" s="10">
        <x:v>2</x:v>
      </x:c>
      <x:c r="F33" s="10" t="s">
        <x:v>1140</x:v>
      </x:c>
      <x:c r="G33" s="10" t="b">
        <x:v>1</x:v>
      </x:c>
      <x:c r="H33" s="86" t="n">
        <x:f>IF(E33="","",E33*IF(F33="fen",0.1,IF(F33="qian",1,IF(F33="liang",10,IF(F33="jin",160,0)))))</x:f>
        <x:v>2</x:v>
      </x:c>
      <x:c r="I33" s="86" t="n">
        <x:f>IF(H33="","",H33*IFERROR(INDEX('Herb'!$L$2:$L$115,MATCH(C33,'Herb'!$A$2:$A$115,0)),0))</x:f>
        <x:v>10</x:v>
      </x:c>
      <x:c r="J33" s="86" t="n">
        <x:f>IF(H33="","",H33*IFERROR(INDEX('Herb'!$M$2:$M$115,MATCH(C33,'Herb'!$A$2:$A$115,0)),0))</x:f>
        <x:v>16</x:v>
      </x:c>
    </x:row>
    <x:row r="34">
      <x:c r="A34" s="10" t="s">
        <x:v>795</x:v>
      </x:c>
      <x:c r="B34" s="10" t="s">
        <x:v>1169</x:v>
      </x:c>
      <x:c r="C34" s="10" t="s">
        <x:v>1170</x:v>
      </x:c>
      <x:c r="D34" s="20" t="s">
        <x:v>1146</x:v>
      </x:c>
      <x:c r="E34" s="10">
        <x:v>2</x:v>
      </x:c>
      <x:c r="F34" s="10" t="s">
        <x:v>1140</x:v>
      </x:c>
      <x:c r="G34" s="10" t="b">
        <x:v>1</x:v>
      </x:c>
      <x:c r="H34" s="86" t="n">
        <x:f>IF(E34="","",E34*IF(F34="fen",0.1,IF(F34="qian",1,IF(F34="liang",10,IF(F34="jin",160,0)))))</x:f>
        <x:v>2</x:v>
      </x:c>
      <x:c r="I34" s="86" t="n">
        <x:f>IF(H34="","",H34*IFERROR(INDEX('Herb'!$L$2:$L$115,MATCH(C34,'Herb'!$A$2:$A$115,0)),0))</x:f>
        <x:v>8</x:v>
      </x:c>
      <x:c r="J34" s="86" t="n">
        <x:f>IF(H34="","",H34*IFERROR(INDEX('Herb'!$M$2:$M$115,MATCH(C34,'Herb'!$A$2:$A$115,0)),0))</x:f>
        <x:v>14</x:v>
      </x:c>
    </x:row>
    <x:row r="35">
      <x:c r="A35" s="10" t="s">
        <x:v>795</x:v>
      </x:c>
      <x:c r="B35" s="10" t="s">
        <x:v>1191</x:v>
      </x:c>
      <x:c r="C35" s="10" t="s">
        <x:v>1192</x:v>
      </x:c>
      <x:c r="D35" s="20" t="s">
        <x:v>1146</x:v>
      </x:c>
      <x:c r="E35" s="10">
        <x:v>2</x:v>
      </x:c>
      <x:c r="F35" s="10" t="s">
        <x:v>1140</x:v>
      </x:c>
      <x:c r="G35" s="10" t="b">
        <x:v>1</x:v>
      </x:c>
      <x:c r="H35" s="86" t="n">
        <x:f>IF(E35="","",E35*IF(F35="fen",0.1,IF(F35="qian",1,IF(F35="liang",10,IF(F35="jin",160,0)))))</x:f>
        <x:v>2</x:v>
      </x:c>
      <x:c r="I35" s="86" t="n">
        <x:f>IF(H35="","",H35*IFERROR(INDEX('Herb'!$L$2:$L$115,MATCH(C35,'Herb'!$A$2:$A$115,0)),0))</x:f>
        <x:v>8</x:v>
      </x:c>
      <x:c r="J35" s="86" t="n">
        <x:f>IF(H35="","",H35*IFERROR(INDEX('Herb'!$M$2:$M$115,MATCH(C35,'Herb'!$A$2:$A$115,0)),0))</x:f>
        <x:v>14</x:v>
      </x:c>
    </x:row>
    <x:row r="36">
      <x:c r="A36" s="10" t="s">
        <x:v>795</x:v>
      </x:c>
      <x:c r="B36" s="10" t="s">
        <x:v>1147</x:v>
      </x:c>
      <x:c r="C36" s="10" t="s">
        <x:v>1148</x:v>
      </x:c>
      <x:c r="D36" s="17" t="s">
        <x:v>1149</x:v>
      </x:c>
      <x:c r="E36" s="10">
        <x:v>1</x:v>
      </x:c>
      <x:c r="F36" s="10" t="s">
        <x:v>1140</x:v>
      </x:c>
      <x:c r="G36" s="10" t="b">
        <x:v>1</x:v>
      </x:c>
      <x:c r="H36" s="86" t="n">
        <x:f>IF(E36="","",E36*IF(F36="fen",0.1,IF(F36="qian",1,IF(F36="liang",10,IF(F36="jin",160,0)))))</x:f>
        <x:v>1</x:v>
      </x:c>
      <x:c r="I36" s="86" t="n">
        <x:f>IF(H36="","",H36*IFERROR(INDEX('Herb'!$L$2:$L$115,MATCH(C36,'Herb'!$A$2:$A$115,0)),0))</x:f>
        <x:v>2</x:v>
      </x:c>
      <x:c r="J36" s="86" t="n">
        <x:f>IF(H36="","",H36*IFERROR(INDEX('Herb'!$M$2:$M$115,MATCH(C36,'Herb'!$A$2:$A$115,0)),0))</x:f>
        <x:v>4</x:v>
      </x:c>
    </x:row>
    <x:row r="37">
      <x:c r="A37" s="10" t="s">
        <x:v>800</x:v>
      </x:c>
      <x:c r="B37" s="10" t="s">
        <x:v>1193</x:v>
      </x:c>
      <x:c r="C37" s="10" t="s">
        <x:v>1194</x:v>
      </x:c>
      <x:c r="D37" s="13" t="s">
        <x:v>1139</x:v>
      </x:c>
      <x:c r="E37" s="10">
        <x:v>1</x:v>
      </x:c>
      <x:c r="F37" s="10" t="s">
        <x:v>1158</x:v>
      </x:c>
      <x:c r="G37" s="10" t="b">
        <x:v>1</x:v>
      </x:c>
      <x:c r="H37" s="86" t="n">
        <x:f>IF(E37="","",E37*IF(F37="fen",0.1,IF(F37="qian",1,IF(F37="liang",10,IF(F37="jin",160,0)))))</x:f>
        <x:v>10</x:v>
      </x:c>
      <x:c r="I37" s="86" t="n">
        <x:f>IF(H37="","",H37*IFERROR(INDEX('Herb'!$L$2:$L$115,MATCH(C37,'Herb'!$A$2:$A$115,0)),0))</x:f>
        <x:v>70</x:v>
      </x:c>
      <x:c r="J37" s="86" t="n">
        <x:f>IF(H37="","",H37*IFERROR(INDEX('Herb'!$M$2:$M$115,MATCH(C37,'Herb'!$A$2:$A$115,0)),0))</x:f>
        <x:v>110</x:v>
      </x:c>
    </x:row>
    <x:row r="38">
      <x:c r="A38" s="10" t="s">
        <x:v>800</x:v>
      </x:c>
      <x:c r="B38" s="10" t="s">
        <x:v>1195</x:v>
      </x:c>
      <x:c r="C38" s="10" t="s">
        <x:v>1196</x:v>
      </x:c>
      <x:c r="D38" s="14" t="s">
        <x:v>1143</x:v>
      </x:c>
      <x:c r="E38" s="10">
        <x:v>1</x:v>
      </x:c>
      <x:c r="F38" s="10" t="s">
        <x:v>1158</x:v>
      </x:c>
      <x:c r="G38" s="10" t="b">
        <x:v>1</x:v>
      </x:c>
      <x:c r="H38" s="86" t="n">
        <x:f>IF(E38="","",E38*IF(F38="fen",0.1,IF(F38="qian",1,IF(F38="liang",10,IF(F38="jin",160,0)))))</x:f>
        <x:v>10</x:v>
      </x:c>
      <x:c r="I38" s="86" t="n">
        <x:f>IF(H38="","",H38*IFERROR(INDEX('Herb'!$L$2:$L$115,MATCH(C38,'Herb'!$A$2:$A$115,0)),0))</x:f>
        <x:v>60</x:v>
      </x:c>
      <x:c r="J38" s="86" t="n">
        <x:f>IF(H38="","",H38*IFERROR(INDEX('Herb'!$M$2:$M$115,MATCH(C38,'Herb'!$A$2:$A$115,0)),0))</x:f>
        <x:v>100</x:v>
      </x:c>
    </x:row>
    <x:row r="39">
      <x:c r="A39" s="10" t="s">
        <x:v>800</x:v>
      </x:c>
      <x:c r="B39" s="10" t="s">
        <x:v>1197</x:v>
      </x:c>
      <x:c r="C39" s="10" t="s">
        <x:v>1198</x:v>
      </x:c>
      <x:c r="D39" s="15" t="s">
        <x:v>1146</x:v>
      </x:c>
      <x:c r="E39" s="10">
        <x:v>5</x:v>
      </x:c>
      <x:c r="F39" s="10" t="s">
        <x:v>1140</x:v>
      </x:c>
      <x:c r="G39" s="10" t="b">
        <x:v>1</x:v>
      </x:c>
      <x:c r="H39" s="86" t="n">
        <x:f>IF(E39="","",E39*IF(F39="fen",0.1,IF(F39="qian",1,IF(F39="liang",10,IF(F39="jin",160,0)))))</x:f>
        <x:v>5</x:v>
      </x:c>
      <x:c r="I39" s="86" t="n">
        <x:f>IF(H39="","",H39*IFERROR(INDEX('Herb'!$L$2:$L$115,MATCH(C39,'Herb'!$A$2:$A$115,0)),0))</x:f>
        <x:v>25</x:v>
      </x:c>
      <x:c r="J39" s="86" t="n">
        <x:f>IF(H39="","",H39*IFERROR(INDEX('Herb'!$M$2:$M$115,MATCH(C39,'Herb'!$A$2:$A$115,0)),0))</x:f>
        <x:v>45</x:v>
      </x:c>
    </x:row>
    <x:row r="40">
      <x:c r="A40" s="10" t="s">
        <x:v>805</x:v>
      </x:c>
      <x:c r="B40" s="10" t="s">
        <x:v>1199</x:v>
      </x:c>
      <x:c r="C40" s="10" t="s">
        <x:v>1200</x:v>
      </x:c>
      <x:c r="D40" s="13" t="s">
        <x:v>1139</x:v>
      </x:c>
      <x:c r="E40" s="10">
        <x:v>2</x:v>
      </x:c>
      <x:c r="F40" s="10" t="s">
        <x:v>1140</x:v>
      </x:c>
      <x:c r="G40" s="10" t="b">
        <x:v>1</x:v>
      </x:c>
      <x:c r="H40" s="86" t="n">
        <x:f>IF(E40="","",E40*IF(F40="fen",0.1,IF(F40="qian",1,IF(F40="liang",10,IF(F40="jin",160,0)))))</x:f>
        <x:v>2</x:v>
      </x:c>
      <x:c r="I40" s="86" t="n">
        <x:f>IF(H40="","",H40*IFERROR(INDEX('Herb'!$L$2:$L$115,MATCH(C40,'Herb'!$A$2:$A$115,0)),0))</x:f>
        <x:v>14</x:v>
      </x:c>
      <x:c r="J40" s="86" t="n">
        <x:f>IF(H40="","",H40*IFERROR(INDEX('Herb'!$M$2:$M$115,MATCH(C40,'Herb'!$A$2:$A$115,0)),0))</x:f>
        <x:v>26</x:v>
      </x:c>
    </x:row>
    <x:row r="41">
      <x:c r="A41" s="10" t="s">
        <x:v>805</x:v>
      </x:c>
      <x:c r="B41" s="10" t="s">
        <x:v>1137</x:v>
      </x:c>
      <x:c r="C41" s="10" t="s">
        <x:v>1138</x:v>
      </x:c>
      <x:c r="D41" s="14" t="s">
        <x:v>1143</x:v>
      </x:c>
      <x:c r="E41" s="10">
        <x:v>3</x:v>
      </x:c>
      <x:c r="F41" s="10" t="s">
        <x:v>1140</x:v>
      </x:c>
      <x:c r="G41" s="10" t="b">
        <x:v>1</x:v>
      </x:c>
      <x:c r="H41" s="86" t="n">
        <x:f>IF(E41="","",E41*IF(F41="fen",0.1,IF(F41="qian",1,IF(F41="liang",10,IF(F41="jin",160,0)))))</x:f>
        <x:v>3</x:v>
      </x:c>
      <x:c r="I41" s="86" t="n">
        <x:f>IF(H41="","",H41*IFERROR(INDEX('Herb'!$L$2:$L$115,MATCH(C41,'Herb'!$A$2:$A$115,0)),0))</x:f>
        <x:v>12</x:v>
      </x:c>
      <x:c r="J41" s="86" t="n">
        <x:f>IF(H41="","",H41*IFERROR(INDEX('Herb'!$M$2:$M$115,MATCH(C41,'Herb'!$A$2:$A$115,0)),0))</x:f>
        <x:v>21</x:v>
      </x:c>
    </x:row>
    <x:row r="42">
      <x:c r="A42" s="10" t="s">
        <x:v>805</x:v>
      </x:c>
      <x:c r="B42" s="10" t="s">
        <x:v>1150</x:v>
      </x:c>
      <x:c r="C42" s="10" t="s">
        <x:v>1151</x:v>
      </x:c>
      <x:c r="D42" s="15" t="s">
        <x:v>1146</x:v>
      </x:c>
      <x:c r="E42" s="10">
        <x:v>3</x:v>
      </x:c>
      <x:c r="F42" s="10" t="s">
        <x:v>1140</x:v>
      </x:c>
      <x:c r="G42" s="10" t="b">
        <x:v>1</x:v>
      </x:c>
      <x:c r="H42" s="86" t="n">
        <x:f>IF(E42="","",E42*IF(F42="fen",0.1,IF(F42="qian",1,IF(F42="liang",10,IF(F42="jin",160,0)))))</x:f>
        <x:v>3</x:v>
      </x:c>
      <x:c r="I42" s="86" t="n">
        <x:f>IF(H42="","",H42*IFERROR(INDEX('Herb'!$L$2:$L$115,MATCH(C42,'Herb'!$A$2:$A$115,0)),0))</x:f>
        <x:v>15</x:v>
      </x:c>
      <x:c r="J42" s="86" t="n">
        <x:f>IF(H42="","",H42*IFERROR(INDEX('Herb'!$M$2:$M$115,MATCH(C42,'Herb'!$A$2:$A$115,0)),0))</x:f>
        <x:v>24</x:v>
      </x:c>
    </x:row>
    <x:row r="43">
      <x:c r="A43" s="10" t="s">
        <x:v>805</x:v>
      </x:c>
      <x:c r="B43" s="10" t="s">
        <x:v>1193</x:v>
      </x:c>
      <x:c r="C43" s="10" t="s">
        <x:v>1194</x:v>
      </x:c>
      <x:c r="D43" s="15" t="s">
        <x:v>1146</x:v>
      </x:c>
      <x:c r="E43" s="10">
        <x:v>3</x:v>
      </x:c>
      <x:c r="F43" s="10" t="s">
        <x:v>1140</x:v>
      </x:c>
      <x:c r="G43" s="10" t="b">
        <x:v>1</x:v>
      </x:c>
      <x:c r="H43" s="86" t="n">
        <x:f>IF(E43="","",E43*IF(F43="fen",0.1,IF(F43="qian",1,IF(F43="liang",10,IF(F43="jin",160,0)))))</x:f>
        <x:v>3</x:v>
      </x:c>
      <x:c r="I43" s="86" t="n">
        <x:f>IF(H43="","",H43*IFERROR(INDEX('Herb'!$L$2:$L$115,MATCH(C43,'Herb'!$A$2:$A$115,0)),0))</x:f>
        <x:v>21</x:v>
      </x:c>
      <x:c r="J43" s="86" t="n">
        <x:f>IF(H43="","",H43*IFERROR(INDEX('Herb'!$M$2:$M$115,MATCH(C43,'Herb'!$A$2:$A$115,0)),0))</x:f>
        <x:v>33</x:v>
      </x:c>
    </x:row>
    <x:row r="44">
      <x:c r="A44" s="10" t="s">
        <x:v>805</x:v>
      </x:c>
      <x:c r="B44" s="10" t="s">
        <x:v>1147</x:v>
      </x:c>
      <x:c r="C44" s="10" t="s">
        <x:v>1148</x:v>
      </x:c>
      <x:c r="D44" s="16" t="s">
        <x:v>1149</x:v>
      </x:c>
      <x:c r="E44" s="10">
        <x:v>3</x:v>
      </x:c>
      <x:c r="F44" s="10" t="s">
        <x:v>1140</x:v>
      </x:c>
      <x:c r="G44" s="10" t="b">
        <x:v>1</x:v>
      </x:c>
      <x:c r="H44" s="86" t="n">
        <x:f>IF(E44="","",E44*IF(F44="fen",0.1,IF(F44="qian",1,IF(F44="liang",10,IF(F44="jin",160,0)))))</x:f>
        <x:v>3</x:v>
      </x:c>
      <x:c r="I44" s="86" t="n">
        <x:f>IF(H44="","",H44*IFERROR(INDEX('Herb'!$L$2:$L$115,MATCH(C44,'Herb'!$A$2:$A$115,0)),0))</x:f>
        <x:v>6</x:v>
      </x:c>
      <x:c r="J44" s="86" t="n">
        <x:f>IF(H44="","",H44*IFERROR(INDEX('Herb'!$M$2:$M$115,MATCH(C44,'Herb'!$A$2:$A$115,0)),0))</x:f>
        <x:v>12</x:v>
      </x:c>
    </x:row>
    <x:row r="45">
      <x:c r="A45" s="10" t="s">
        <x:v>805</x:v>
      </x:c>
      <x:c r="B45" s="10" t="s">
        <x:v>1201</x:v>
      </x:c>
      <x:c r="C45" s="10" t="s">
        <x:v>1202</x:v>
      </x:c>
      <x:c r="D45" s="16" t="s">
        <x:v>1149</x:v>
      </x:c>
      <x:c r="E45" s="10">
        <x:v>1</x:v>
      </x:c>
      <x:c r="F45" s="10" t="s">
        <x:v>1203</x:v>
      </x:c>
      <x:c r="G45" s="10" t="b">
        <x:v>1</x:v>
      </x:c>
      <x:c r="H45" s="86" t="n">
        <x:f>IF(E45="","",E45*IF(F45="fen",0.1,IF(F45="qian",1,IF(F45="liang",10,IF(F45="jin",160,0)))))</x:f>
        <x:v>160</x:v>
      </x:c>
      <x:c r="I45" s="86" t="n">
        <x:f>IF(H45="","",H45*IFERROR(INDEX('Herb'!$L$2:$L$115,MATCH(C45,'Herb'!$A$2:$A$115,0)),0))</x:f>
        <x:v>480</x:v>
      </x:c>
      <x:c r="J45" s="86" t="n">
        <x:f>IF(H45="","",H45*IFERROR(INDEX('Herb'!$M$2:$M$115,MATCH(C45,'Herb'!$A$2:$A$115,0)),0))</x:f>
        <x:v>1120</x:v>
      </x:c>
    </x:row>
    <x:row r="46">
      <x:c r="A46" s="10" t="s">
        <x:v>809</x:v>
      </x:c>
      <x:c r="B46" s="10" t="s">
        <x:v>1204</x:v>
      </x:c>
      <x:c r="C46" s="10" t="s">
        <x:v>1205</x:v>
      </x:c>
      <x:c r="D46" s="13" t="s">
        <x:v>1139</x:v>
      </x:c>
      <x:c r="E46" s="10">
        <x:v>2</x:v>
      </x:c>
      <x:c r="F46" s="10" t="s">
        <x:v>1158</x:v>
      </x:c>
      <x:c r="G46" s="10" t="b">
        <x:v>1</x:v>
      </x:c>
      <x:c r="H46" s="86" t="n">
        <x:f>IF(E46="","",E46*IF(F46="fen",0.1,IF(F46="qian",1,IF(F46="liang",10,IF(F46="jin",160,0)))))</x:f>
        <x:v>20</x:v>
      </x:c>
      <x:c r="I46" s="86" t="n">
        <x:f>IF(H46="","",H46*IFERROR(INDEX('Herb'!$L$2:$L$115,MATCH(C46,'Herb'!$A$2:$A$115,0)),0))</x:f>
        <x:v>20</x:v>
      </x:c>
      <x:c r="J46" s="86" t="n">
        <x:f>IF(H46="","",H46*IFERROR(INDEX('Herb'!$M$2:$M$115,MATCH(C46,'Herb'!$A$2:$A$115,0)),0))</x:f>
        <x:v>40</x:v>
      </x:c>
    </x:row>
    <x:row r="47">
      <x:c r="A47" s="10" t="s">
        <x:v>809</x:v>
      </x:c>
      <x:c r="B47" s="10" t="s">
        <x:v>1206</x:v>
      </x:c>
      <x:c r="C47" s="10" t="s">
        <x:v>1207</x:v>
      </x:c>
      <x:c r="D47" s="14" t="s">
        <x:v>1143</x:v>
      </x:c>
      <x:c r="E47" s="10">
        <x:v>6</x:v>
      </x:c>
      <x:c r="F47" s="10" t="s">
        <x:v>1140</x:v>
      </x:c>
      <x:c r="G47" s="10" t="b">
        <x:v>1</x:v>
      </x:c>
      <x:c r="H47" s="86" t="n">
        <x:f>IF(E47="","",E47*IF(F47="fen",0.1,IF(F47="qian",1,IF(F47="liang",10,IF(F47="jin",160,0)))))</x:f>
        <x:v>6</x:v>
      </x:c>
      <x:c r="I47" s="86" t="n">
        <x:f>IF(H47="","",H47*IFERROR(INDEX('Herb'!$L$2:$L$115,MATCH(C47,'Herb'!$A$2:$A$115,0)),0))</x:f>
        <x:v>30</x:v>
      </x:c>
      <x:c r="J47" s="86" t="n">
        <x:f>IF(H47="","",H47*IFERROR(INDEX('Herb'!$M$2:$M$115,MATCH(C47,'Herb'!$A$2:$A$115,0)),0))</x:f>
        <x:v>54</x:v>
      </x:c>
    </x:row>
    <x:row r="48">
      <x:c r="A48" s="10" t="s">
        <x:v>809</x:v>
      </x:c>
      <x:c r="B48" s="10" t="s">
        <x:v>1141</x:v>
      </x:c>
      <x:c r="C48" s="10" t="s">
        <x:v>1142</x:v>
      </x:c>
      <x:c r="D48" s="15" t="s">
        <x:v>1146</x:v>
      </x:c>
      <x:c r="E48" s="10">
        <x:v>3</x:v>
      </x:c>
      <x:c r="F48" s="10" t="s">
        <x:v>1140</x:v>
      </x:c>
      <x:c r="G48" s="10" t="b">
        <x:v>1</x:v>
      </x:c>
      <x:c r="H48" s="86" t="n">
        <x:f>IF(E48="","",E48*IF(F48="fen",0.1,IF(F48="qian",1,IF(F48="liang",10,IF(F48="jin",160,0)))))</x:f>
        <x:v>3</x:v>
      </x:c>
      <x:c r="I48" s="86" t="n">
        <x:f>IF(H48="","",H48*IFERROR(INDEX('Herb'!$L$2:$L$115,MATCH(C48,'Herb'!$A$2:$A$115,0)),0))</x:f>
        <x:v>12</x:v>
      </x:c>
      <x:c r="J48" s="86" t="n">
        <x:f>IF(H48="","",H48*IFERROR(INDEX('Herb'!$M$2:$M$115,MATCH(C48,'Herb'!$A$2:$A$115,0)),0))</x:f>
        <x:v>18</x:v>
      </x:c>
    </x:row>
    <x:row r="49">
      <x:c r="A49" s="10" t="s">
        <x:v>809</x:v>
      </x:c>
      <x:c r="B49" s="10" t="s">
        <x:v>1208</x:v>
      </x:c>
      <x:c r="C49" s="10" t="s">
        <x:v>1209</x:v>
      </x:c>
      <x:c r="D49" s="15" t="s">
        <x:v>1146</x:v>
      </x:c>
      <x:c r="E49" s="10">
        <x:v>5</x:v>
      </x:c>
      <x:c r="F49" s="10" t="s">
        <x:v>1140</x:v>
      </x:c>
      <x:c r="G49" s="10" t="b">
        <x:v>1</x:v>
      </x:c>
      <x:c r="H49" s="86" t="n">
        <x:f>IF(E49="","",E49*IF(F49="fen",0.1,IF(F49="qian",1,IF(F49="liang",10,IF(F49="jin",160,0)))))</x:f>
        <x:v>5</x:v>
      </x:c>
      <x:c r="I49" s="86" t="n">
        <x:f>IF(H49="","",H49*IFERROR(INDEX('Herb'!$L$2:$L$115,MATCH(C49,'Herb'!$A$2:$A$115,0)),0))</x:f>
        <x:v>5</x:v>
      </x:c>
      <x:c r="J49" s="86" t="n">
        <x:f>IF(H49="","",H49*IFERROR(INDEX('Herb'!$M$2:$M$115,MATCH(C49,'Herb'!$A$2:$A$115,0)),0))</x:f>
        <x:v>10</x:v>
      </x:c>
    </x:row>
    <x:row r="50">
      <x:c r="A50" s="10" t="s">
        <x:v>809</x:v>
      </x:c>
      <x:c r="B50" s="10" t="s">
        <x:v>1147</x:v>
      </x:c>
      <x:c r="C50" s="10" t="s">
        <x:v>1148</x:v>
      </x:c>
      <x:c r="D50" s="16" t="s">
        <x:v>1149</x:v>
      </x:c>
      <x:c r="E50" s="10">
        <x:v>3</x:v>
      </x:c>
      <x:c r="F50" s="10" t="s">
        <x:v>1140</x:v>
      </x:c>
      <x:c r="G50" s="10" t="b">
        <x:v>1</x:v>
      </x:c>
      <x:c r="H50" s="86" t="n">
        <x:f>IF(E50="","",E50*IF(F50="fen",0.1,IF(F50="qian",1,IF(F50="liang",10,IF(F50="jin",160,0)))))</x:f>
        <x:v>3</x:v>
      </x:c>
      <x:c r="I50" s="86" t="n">
        <x:f>IF(H50="","",H50*IFERROR(INDEX('Herb'!$L$2:$L$115,MATCH(C50,'Herb'!$A$2:$A$115,0)),0))</x:f>
        <x:v>6</x:v>
      </x:c>
      <x:c r="J50" s="86" t="n">
        <x:f>IF(H50="","",H50*IFERROR(INDEX('Herb'!$M$2:$M$115,MATCH(C50,'Herb'!$A$2:$A$115,0)),0))</x:f>
        <x:v>12</x:v>
      </x:c>
    </x:row>
    <x:row r="51">
      <x:c r="A51" s="10" t="s">
        <x:v>813</x:v>
      </x:c>
      <x:c r="B51" s="10" t="s">
        <x:v>1210</x:v>
      </x:c>
      <x:c r="C51" s="10" t="s">
        <x:v>1211</x:v>
      </x:c>
      <x:c r="D51" s="13" t="s">
        <x:v>1139</x:v>
      </x:c>
      <x:c r="E51" s="10">
        <x:v>1</x:v>
      </x:c>
      <x:c r="F51" s="10" t="s">
        <x:v>1158</x:v>
      </x:c>
      <x:c r="G51" s="10" t="b">
        <x:v>1</x:v>
      </x:c>
      <x:c r="H51" s="86" t="n">
        <x:f>IF(E51="","",E51*IF(F51="fen",0.1,IF(F51="qian",1,IF(F51="liang",10,IF(F51="jin",160,0)))))</x:f>
        <x:v>10</x:v>
      </x:c>
      <x:c r="I51" s="86" t="n">
        <x:f>IF(H51="","",H51*IFERROR(INDEX('Herb'!$L$2:$L$115,MATCH(C51,'Herb'!$A$2:$A$115,0)),0))</x:f>
        <x:v>20</x:v>
      </x:c>
      <x:c r="J51" s="86" t="n">
        <x:f>IF(H51="","",H51*IFERROR(INDEX('Herb'!$M$2:$M$115,MATCH(C51,'Herb'!$A$2:$A$115,0)),0))</x:f>
        <x:v>40</x:v>
      </x:c>
    </x:row>
    <x:row r="52">
      <x:c r="A52" s="10" t="s">
        <x:v>813</x:v>
      </x:c>
      <x:c r="B52" s="10" t="s">
        <x:v>1212</x:v>
      </x:c>
      <x:c r="C52" s="10" t="s">
        <x:v>1213</x:v>
      </x:c>
      <x:c r="D52" s="14" t="s">
        <x:v>1143</x:v>
      </x:c>
      <x:c r="E52" s="10">
        <x:v>3</x:v>
      </x:c>
      <x:c r="F52" s="10" t="s">
        <x:v>1140</x:v>
      </x:c>
      <x:c r="G52" s="10" t="b">
        <x:v>1</x:v>
      </x:c>
      <x:c r="H52" s="86" t="n">
        <x:f>IF(E52="","",E52*IF(F52="fen",0.1,IF(F52="qian",1,IF(F52="liang",10,IF(F52="jin",160,0)))))</x:f>
        <x:v>3</x:v>
      </x:c>
      <x:c r="I52" s="86" t="n">
        <x:f>IF(H52="","",H52*IFERROR(INDEX('Herb'!$L$2:$L$115,MATCH(C52,'Herb'!$A$2:$A$115,0)),0))</x:f>
        <x:v>21</x:v>
      </x:c>
      <x:c r="J52" s="86" t="n">
        <x:f>IF(H52="","",H52*IFERROR(INDEX('Herb'!$M$2:$M$115,MATCH(C52,'Herb'!$A$2:$A$115,0)),0))</x:f>
        <x:v>36</x:v>
      </x:c>
    </x:row>
    <x:row r="53">
      <x:c r="A53" s="10" t="s">
        <x:v>813</x:v>
      </x:c>
      <x:c r="B53" s="10" t="s">
        <x:v>1214</x:v>
      </x:c>
      <x:c r="C53" s="10" t="s">
        <x:v>1215</x:v>
      </x:c>
      <x:c r="D53" s="14" t="s">
        <x:v>1143</x:v>
      </x:c>
      <x:c r="E53" s="10">
        <x:v>3</x:v>
      </x:c>
      <x:c r="F53" s="10" t="s">
        <x:v>1140</x:v>
      </x:c>
      <x:c r="G53" s="10" t="b">
        <x:v>1</x:v>
      </x:c>
      <x:c r="H53" s="86" t="n">
        <x:f>IF(E53="","",E53*IF(F53="fen",0.1,IF(F53="qian",1,IF(F53="liang",10,IF(F53="jin",160,0)))))</x:f>
        <x:v>3</x:v>
      </x:c>
      <x:c r="I53" s="86" t="n">
        <x:f>IF(H53="","",H53*IFERROR(INDEX('Herb'!$L$2:$L$115,MATCH(C53,'Herb'!$A$2:$A$115,0)),0))</x:f>
        <x:v>21</x:v>
      </x:c>
      <x:c r="J53" s="86" t="n">
        <x:f>IF(H53="","",H53*IFERROR(INDEX('Herb'!$M$2:$M$115,MATCH(C53,'Herb'!$A$2:$A$115,0)),0))</x:f>
        <x:v>36</x:v>
      </x:c>
    </x:row>
    <x:row r="54">
      <x:c r="A54" s="10" t="s">
        <x:v>813</x:v>
      </x:c>
      <x:c r="B54" s="10" t="s">
        <x:v>1137</x:v>
      </x:c>
      <x:c r="C54" s="10" t="s">
        <x:v>1138</x:v>
      </x:c>
      <x:c r="D54" s="14" t="s">
        <x:v>1143</x:v>
      </x:c>
      <x:c r="E54" s="10">
        <x:v>3</x:v>
      </x:c>
      <x:c r="F54" s="10" t="s">
        <x:v>1140</x:v>
      </x:c>
      <x:c r="G54" s="10" t="b">
        <x:v>1</x:v>
      </x:c>
      <x:c r="H54" s="86" t="n">
        <x:f>IF(E54="","",E54*IF(F54="fen",0.1,IF(F54="qian",1,IF(F54="liang",10,IF(F54="jin",160,0)))))</x:f>
        <x:v>3</x:v>
      </x:c>
      <x:c r="I54" s="86" t="n">
        <x:f>IF(H54="","",H54*IFERROR(INDEX('Herb'!$L$2:$L$115,MATCH(C54,'Herb'!$A$2:$A$115,0)),0))</x:f>
        <x:v>12</x:v>
      </x:c>
      <x:c r="J54" s="86" t="n">
        <x:f>IF(H54="","",H54*IFERROR(INDEX('Herb'!$M$2:$M$115,MATCH(C54,'Herb'!$A$2:$A$115,0)),0))</x:f>
        <x:v>21</x:v>
      </x:c>
    </x:row>
    <x:row r="55">
      <x:c r="A55" s="10" t="s">
        <x:v>813</x:v>
      </x:c>
      <x:c r="B55" s="10" t="s">
        <x:v>1141</x:v>
      </x:c>
      <x:c r="C55" s="10" t="s">
        <x:v>1142</x:v>
      </x:c>
      <x:c r="D55" s="14" t="s">
        <x:v>1143</x:v>
      </x:c>
      <x:c r="E55" s="10">
        <x:v>3</x:v>
      </x:c>
      <x:c r="F55" s="10" t="s">
        <x:v>1140</x:v>
      </x:c>
      <x:c r="G55" s="10" t="b">
        <x:v>1</x:v>
      </x:c>
      <x:c r="H55" s="86" t="n">
        <x:f>IF(E55="","",E55*IF(F55="fen",0.1,IF(F55="qian",1,IF(F55="liang",10,IF(F55="jin",160,0)))))</x:f>
        <x:v>3</x:v>
      </x:c>
      <x:c r="I55" s="86" t="n">
        <x:f>IF(H55="","",H55*IFERROR(INDEX('Herb'!$L$2:$L$115,MATCH(C55,'Herb'!$A$2:$A$115,0)),0))</x:f>
        <x:v>12</x:v>
      </x:c>
      <x:c r="J55" s="86" t="n">
        <x:f>IF(H55="","",H55*IFERROR(INDEX('Herb'!$M$2:$M$115,MATCH(C55,'Herb'!$A$2:$A$115,0)),0))</x:f>
        <x:v>18</x:v>
      </x:c>
    </x:row>
    <x:row r="56">
      <x:c r="A56" s="10" t="s">
        <x:v>813</x:v>
      </x:c>
      <x:c r="B56" s="10" t="s">
        <x:v>1216</x:v>
      </x:c>
      <x:c r="C56" s="10" t="s">
        <x:v>1217</x:v>
      </x:c>
      <x:c r="D56" s="15" t="s">
        <x:v>1146</x:v>
      </x:c>
      <x:c r="E56" s="10">
        <x:v>2</x:v>
      </x:c>
      <x:c r="F56" s="10" t="s">
        <x:v>1140</x:v>
      </x:c>
      <x:c r="G56" s="10" t="b">
        <x:v>1</x:v>
      </x:c>
      <x:c r="H56" s="86" t="n">
        <x:f>IF(E56="","",E56*IF(F56="fen",0.1,IF(F56="qian",1,IF(F56="liang",10,IF(F56="jin",160,0)))))</x:f>
        <x:v>2</x:v>
      </x:c>
      <x:c r="I56" s="86" t="n">
        <x:f>IF(H56="","",H56*IFERROR(INDEX('Herb'!$L$2:$L$115,MATCH(C56,'Herb'!$A$2:$A$115,0)),0))</x:f>
        <x:v>16</x:v>
      </x:c>
      <x:c r="J56" s="86" t="n">
        <x:f>IF(H56="","",H56*IFERROR(INDEX('Herb'!$M$2:$M$115,MATCH(C56,'Herb'!$A$2:$A$115,0)),0))</x:f>
        <x:v>24</x:v>
      </x:c>
    </x:row>
    <x:row r="57">
      <x:c r="A57" s="10" t="s">
        <x:v>813</x:v>
      </x:c>
      <x:c r="B57" s="10" t="s">
        <x:v>1218</x:v>
      </x:c>
      <x:c r="C57" s="10" t="s">
        <x:v>1219</x:v>
      </x:c>
      <x:c r="D57" s="15" t="s">
        <x:v>1146</x:v>
      </x:c>
      <x:c r="E57" s="10">
        <x:v>2</x:v>
      </x:c>
      <x:c r="F57" s="10" t="s">
        <x:v>1140</x:v>
      </x:c>
      <x:c r="G57" s="10" t="b">
        <x:v>1</x:v>
      </x:c>
      <x:c r="H57" s="86" t="n">
        <x:f>IF(E57="","",E57*IF(F57="fen",0.1,IF(F57="qian",1,IF(F57="liang",10,IF(F57="jin",160,0)))))</x:f>
        <x:v>2</x:v>
      </x:c>
      <x:c r="I57" s="86" t="n">
        <x:f>IF(H57="","",H57*IFERROR(INDEX('Herb'!$L$2:$L$115,MATCH(C57,'Herb'!$A$2:$A$115,0)),0))</x:f>
        <x:v>14</x:v>
      </x:c>
      <x:c r="J57" s="86" t="n">
        <x:f>IF(H57="","",H57*IFERROR(INDEX('Herb'!$M$2:$M$115,MATCH(C57,'Herb'!$A$2:$A$115,0)),0))</x:f>
        <x:v>22</x:v>
      </x:c>
    </x:row>
    <x:row r="58">
      <x:c r="A58" s="10" t="s">
        <x:v>813</x:v>
      </x:c>
      <x:c r="B58" s="10" t="s">
        <x:v>1147</x:v>
      </x:c>
      <x:c r="C58" s="10" t="s">
        <x:v>1148</x:v>
      </x:c>
      <x:c r="D58" s="16" t="s">
        <x:v>1149</x:v>
      </x:c>
      <x:c r="E58" s="10">
        <x:v>3</x:v>
      </x:c>
      <x:c r="F58" s="10" t="s">
        <x:v>1140</x:v>
      </x:c>
      <x:c r="G58" s="10" t="b">
        <x:v>1</x:v>
      </x:c>
      <x:c r="H58" s="86" t="n">
        <x:f>IF(E58="","",E58*IF(F58="fen",0.1,IF(F58="qian",1,IF(F58="liang",10,IF(F58="jin",160,0)))))</x:f>
        <x:v>3</x:v>
      </x:c>
      <x:c r="I58" s="86" t="n">
        <x:f>IF(H58="","",H58*IFERROR(INDEX('Herb'!$L$2:$L$115,MATCH(C58,'Herb'!$A$2:$A$115,0)),0))</x:f>
        <x:v>6</x:v>
      </x:c>
      <x:c r="J58" s="86" t="n">
        <x:f>IF(H58="","",H58*IFERROR(INDEX('Herb'!$M$2:$M$115,MATCH(C58,'Herb'!$A$2:$A$115,0)),0))</x:f>
        <x:v>12</x:v>
      </x:c>
    </x:row>
    <x:row r="59">
      <x:c r="A59" s="10" t="s">
        <x:v>817</x:v>
      </x:c>
      <x:c r="B59" s="10" t="s">
        <x:v>1197</x:v>
      </x:c>
      <x:c r="C59" s="10" t="s">
        <x:v>1198</x:v>
      </x:c>
      <x:c r="D59" s="13" t="s">
        <x:v>1139</x:v>
      </x:c>
      <x:c r="E59" s="10">
        <x:v>5</x:v>
      </x:c>
      <x:c r="F59" s="10" t="s">
        <x:v>1140</x:v>
      </x:c>
      <x:c r="G59" s="10" t="b">
        <x:v>1</x:v>
      </x:c>
      <x:c r="H59" s="86" t="n">
        <x:f>IF(E59="","",E59*IF(F59="fen",0.1,IF(F59="qian",1,IF(F59="liang",10,IF(F59="jin",160,0)))))</x:f>
        <x:v>5</x:v>
      </x:c>
      <x:c r="I59" s="86" t="n">
        <x:f>IF(H59="","",H59*IFERROR(INDEX('Herb'!$L$2:$L$115,MATCH(C59,'Herb'!$A$2:$A$115,0)),0))</x:f>
        <x:v>25</x:v>
      </x:c>
      <x:c r="J59" s="86" t="n">
        <x:f>IF(H59="","",H59*IFERROR(INDEX('Herb'!$M$2:$M$115,MATCH(C59,'Herb'!$A$2:$A$115,0)),0))</x:f>
        <x:v>45</x:v>
      </x:c>
    </x:row>
    <x:row r="60">
      <x:c r="A60" s="10" t="s">
        <x:v>817</x:v>
      </x:c>
      <x:c r="B60" s="10" t="s">
        <x:v>1141</x:v>
      </x:c>
      <x:c r="C60" s="10" t="s">
        <x:v>1142</x:v>
      </x:c>
      <x:c r="D60" s="14" t="s">
        <x:v>1143</x:v>
      </x:c>
      <x:c r="E60" s="10">
        <x:v>3</x:v>
      </x:c>
      <x:c r="F60" s="10" t="s">
        <x:v>1140</x:v>
      </x:c>
      <x:c r="G60" s="10" t="b">
        <x:v>1</x:v>
      </x:c>
      <x:c r="H60" s="86" t="n">
        <x:f>IF(E60="","",E60*IF(F60="fen",0.1,IF(F60="qian",1,IF(F60="liang",10,IF(F60="jin",160,0)))))</x:f>
        <x:v>3</x:v>
      </x:c>
      <x:c r="I60" s="86" t="n">
        <x:f>IF(H60="","",H60*IFERROR(INDEX('Herb'!$L$2:$L$115,MATCH(C60,'Herb'!$A$2:$A$115,0)),0))</x:f>
        <x:v>12</x:v>
      </x:c>
      <x:c r="J60" s="86" t="n">
        <x:f>IF(H60="","",H60*IFERROR(INDEX('Herb'!$M$2:$M$115,MATCH(C60,'Herb'!$A$2:$A$115,0)),0))</x:f>
        <x:v>18</x:v>
      </x:c>
    </x:row>
    <x:row r="61">
      <x:c r="A61" s="10" t="s">
        <x:v>817</x:v>
      </x:c>
      <x:c r="B61" s="10" t="s">
        <x:v>1220</x:v>
      </x:c>
      <x:c r="C61" s="10" t="s">
        <x:v>1221</x:v>
      </x:c>
      <x:c r="D61" s="14" t="s">
        <x:v>1143</x:v>
      </x:c>
      <x:c r="E61" s="10">
        <x:v>3</x:v>
      </x:c>
      <x:c r="F61" s="10" t="s">
        <x:v>1140</x:v>
      </x:c>
      <x:c r="G61" s="10" t="b">
        <x:v>1</x:v>
      </x:c>
      <x:c r="H61" s="86" t="n">
        <x:f>IF(E61="","",E61*IF(F61="fen",0.1,IF(F61="qian",1,IF(F61="liang",10,IF(F61="jin",160,0)))))</x:f>
        <x:v>3</x:v>
      </x:c>
      <x:c r="I61" s="86" t="n">
        <x:f>IF(H61="","",H61*IFERROR(INDEX('Herb'!$L$2:$L$115,MATCH(C61,'Herb'!$A$2:$A$115,0)),0))</x:f>
        <x:v>24</x:v>
      </x:c>
      <x:c r="J61" s="86" t="n">
        <x:f>IF(H61="","",H61*IFERROR(INDEX('Herb'!$M$2:$M$115,MATCH(C61,'Herb'!$A$2:$A$115,0)),0))</x:f>
        <x:v>42</x:v>
      </x:c>
    </x:row>
    <x:row r="62">
      <x:c r="A62" s="10" t="s">
        <x:v>817</x:v>
      </x:c>
      <x:c r="B62" s="10" t="s">
        <x:v>1216</x:v>
      </x:c>
      <x:c r="C62" s="10" t="s">
        <x:v>1217</x:v>
      </x:c>
      <x:c r="D62" s="15" t="s">
        <x:v>1146</x:v>
      </x:c>
      <x:c r="E62" s="10">
        <x:v>2</x:v>
      </x:c>
      <x:c r="F62" s="10" t="s">
        <x:v>1140</x:v>
      </x:c>
      <x:c r="G62" s="10" t="b">
        <x:v>1</x:v>
      </x:c>
      <x:c r="H62" s="86" t="n">
        <x:f>IF(E62="","",E62*IF(F62="fen",0.1,IF(F62="qian",1,IF(F62="liang",10,IF(F62="jin",160,0)))))</x:f>
        <x:v>2</x:v>
      </x:c>
      <x:c r="I62" s="86" t="n">
        <x:f>IF(H62="","",H62*IFERROR(INDEX('Herb'!$L$2:$L$115,MATCH(C62,'Herb'!$A$2:$A$115,0)),0))</x:f>
        <x:v>16</x:v>
      </x:c>
      <x:c r="J62" s="86" t="n">
        <x:f>IF(H62="","",H62*IFERROR(INDEX('Herb'!$M$2:$M$115,MATCH(C62,'Herb'!$A$2:$A$115,0)),0))</x:f>
        <x:v>24</x:v>
      </x:c>
    </x:row>
    <x:row r="63">
      <x:c r="A63" s="10" t="s">
        <x:v>817</x:v>
      </x:c>
      <x:c r="B63" s="10" t="s">
        <x:v>1218</x:v>
      </x:c>
      <x:c r="C63" s="10" t="s">
        <x:v>1219</x:v>
      </x:c>
      <x:c r="D63" s="15" t="s">
        <x:v>1146</x:v>
      </x:c>
      <x:c r="E63" s="10">
        <x:v>2</x:v>
      </x:c>
      <x:c r="F63" s="10" t="s">
        <x:v>1140</x:v>
      </x:c>
      <x:c r="G63" s="10" t="b">
        <x:v>1</x:v>
      </x:c>
      <x:c r="H63" s="86" t="n">
        <x:f>IF(E63="","",E63*IF(F63="fen",0.1,IF(F63="qian",1,IF(F63="liang",10,IF(F63="jin",160,0)))))</x:f>
        <x:v>2</x:v>
      </x:c>
      <x:c r="I63" s="86" t="n">
        <x:f>IF(H63="","",H63*IFERROR(INDEX('Herb'!$L$2:$L$115,MATCH(C63,'Herb'!$A$2:$A$115,0)),0))</x:f>
        <x:v>14</x:v>
      </x:c>
      <x:c r="J63" s="86" t="n">
        <x:f>IF(H63="","",H63*IFERROR(INDEX('Herb'!$M$2:$M$115,MATCH(C63,'Herb'!$A$2:$A$115,0)),0))</x:f>
        <x:v>22</x:v>
      </x:c>
    </x:row>
    <x:row r="64">
      <x:c r="A64" s="10" t="s">
        <x:v>817</x:v>
      </x:c>
      <x:c r="B64" s="10" t="s">
        <x:v>1222</x:v>
      </x:c>
      <x:c r="C64" s="10" t="s">
        <x:v>1223</x:v>
      </x:c>
      <x:c r="D64" s="15" t="s">
        <x:v>1146</x:v>
      </x:c>
      <x:c r="E64" s="10">
        <x:v>3</x:v>
      </x:c>
      <x:c r="F64" s="10" t="s">
        <x:v>1140</x:v>
      </x:c>
      <x:c r="G64" s="10" t="b">
        <x:v>1</x:v>
      </x:c>
      <x:c r="H64" s="86" t="n">
        <x:f>IF(E64="","",E64*IF(F64="fen",0.1,IF(F64="qian",1,IF(F64="liang",10,IF(F64="jin",160,0)))))</x:f>
        <x:v>3</x:v>
      </x:c>
      <x:c r="I64" s="86" t="n">
        <x:f>IF(H64="","",H64*IFERROR(INDEX('Herb'!$L$2:$L$115,MATCH(C64,'Herb'!$A$2:$A$115,0)),0))</x:f>
        <x:v>12</x:v>
      </x:c>
      <x:c r="J64" s="86" t="n">
        <x:f>IF(H64="","",H64*IFERROR(INDEX('Herb'!$M$2:$M$115,MATCH(C64,'Herb'!$A$2:$A$115,0)),0))</x:f>
        <x:v>24</x:v>
      </x:c>
    </x:row>
    <x:row r="65">
      <x:c r="A65" s="10" t="s">
        <x:v>817</x:v>
      </x:c>
      <x:c r="B65" s="10" t="s">
        <x:v>1147</x:v>
      </x:c>
      <x:c r="C65" s="10" t="s">
        <x:v>1148</x:v>
      </x:c>
      <x:c r="D65" s="16" t="s">
        <x:v>1149</x:v>
      </x:c>
      <x:c r="E65" s="10">
        <x:v>1</x:v>
      </x:c>
      <x:c r="F65" s="10" t="s">
        <x:v>1140</x:v>
      </x:c>
      <x:c r="G65" s="10" t="b">
        <x:v>1</x:v>
      </x:c>
      <x:c r="H65" s="86" t="n">
        <x:f>IF(E65="","",E65*IF(F65="fen",0.1,IF(F65="qian",1,IF(F65="liang",10,IF(F65="jin",160,0)))))</x:f>
        <x:v>1</x:v>
      </x:c>
      <x:c r="I65" s="86" t="n">
        <x:f>IF(H65="","",H65*IFERROR(INDEX('Herb'!$L$2:$L$115,MATCH(C65,'Herb'!$A$2:$A$115,0)),0))</x:f>
        <x:v>2</x:v>
      </x:c>
      <x:c r="J65" s="86" t="n">
        <x:f>IF(H65="","",H65*IFERROR(INDEX('Herb'!$M$2:$M$115,MATCH(C65,'Herb'!$A$2:$A$115,0)),0))</x:f>
        <x:v>4</x:v>
      </x:c>
    </x:row>
    <x:row r="66">
      <x:c r="A66" s="10" t="s">
        <x:v>821</x:v>
      </x:c>
      <x:c r="B66" s="10" t="s">
        <x:v>1137</x:v>
      </x:c>
      <x:c r="C66" s="10" t="s">
        <x:v>1138</x:v>
      </x:c>
      <x:c r="D66" s="13" t="s">
        <x:v>1139</x:v>
      </x:c>
      <x:c r="E66" s="10">
        <x:v>3</x:v>
      </x:c>
      <x:c r="F66" s="10" t="s">
        <x:v>1140</x:v>
      </x:c>
      <x:c r="G66" s="10" t="b">
        <x:v>1</x:v>
      </x:c>
      <x:c r="H66" s="86" t="n">
        <x:f>IF(E66="","",E66*IF(F66="fen",0.1,IF(F66="qian",1,IF(F66="liang",10,IF(F66="jin",160,0)))))</x:f>
        <x:v>3</x:v>
      </x:c>
      <x:c r="I66" s="86" t="n">
        <x:f>IF(H66="","",H66*IFERROR(INDEX('Herb'!$L$2:$L$115,MATCH(C66,'Herb'!$A$2:$A$115,0)),0))</x:f>
        <x:v>12</x:v>
      </x:c>
      <x:c r="J66" s="86" t="n">
        <x:f>IF(H66="","",H66*IFERROR(INDEX('Herb'!$M$2:$M$115,MATCH(C66,'Herb'!$A$2:$A$115,0)),0))</x:f>
        <x:v>21</x:v>
      </x:c>
    </x:row>
    <x:row r="67">
      <x:c r="A67" s="10" t="s">
        <x:v>821</x:v>
      </x:c>
      <x:c r="B67" s="10" t="s">
        <x:v>1204</x:v>
      </x:c>
      <x:c r="C67" s="10" t="s">
        <x:v>1205</x:v>
      </x:c>
      <x:c r="D67" s="14" t="s">
        <x:v>1143</x:v>
      </x:c>
      <x:c r="E67" s="10">
        <x:v>8</x:v>
      </x:c>
      <x:c r="F67" s="10" t="s">
        <x:v>1140</x:v>
      </x:c>
      <x:c r="G67" s="10" t="b">
        <x:v>1</x:v>
      </x:c>
      <x:c r="H67" s="86" t="n">
        <x:f>IF(E67="","",E67*IF(F67="fen",0.1,IF(F67="qian",1,IF(F67="liang",10,IF(F67="jin",160,0)))))</x:f>
        <x:v>8</x:v>
      </x:c>
      <x:c r="I67" s="86" t="n">
        <x:f>IF(H67="","",H67*IFERROR(INDEX('Herb'!$L$2:$L$115,MATCH(C67,'Herb'!$A$2:$A$115,0)),0))</x:f>
        <x:v>8</x:v>
      </x:c>
      <x:c r="J67" s="86" t="n">
        <x:f>IF(H67="","",H67*IFERROR(INDEX('Herb'!$M$2:$M$115,MATCH(C67,'Herb'!$A$2:$A$115,0)),0))</x:f>
        <x:v>16</x:v>
      </x:c>
    </x:row>
    <x:row r="68">
      <x:c r="A68" s="10" t="s">
        <x:v>821</x:v>
      </x:c>
      <x:c r="B68" s="10" t="s">
        <x:v>1144</x:v>
      </x:c>
      <x:c r="C68" s="10" t="s">
        <x:v>1145</x:v>
      </x:c>
      <x:c r="D68" s="15" t="s">
        <x:v>1146</x:v>
      </x:c>
      <x:c r="E68" s="10">
        <x:v>3</x:v>
      </x:c>
      <x:c r="F68" s="10" t="s">
        <x:v>1140</x:v>
      </x:c>
      <x:c r="G68" s="10" t="b">
        <x:v>1</x:v>
      </x:c>
      <x:c r="H68" s="86" t="n">
        <x:f>IF(E68="","",E68*IF(F68="fen",0.1,IF(F68="qian",1,IF(F68="liang",10,IF(F68="jin",160,0)))))</x:f>
        <x:v>3</x:v>
      </x:c>
      <x:c r="I68" s="86" t="n">
        <x:f>IF(H68="","",H68*IFERROR(INDEX('Herb'!$L$2:$L$115,MATCH(C68,'Herb'!$A$2:$A$115,0)),0))</x:f>
        <x:v>12</x:v>
      </x:c>
      <x:c r="J68" s="86" t="n">
        <x:f>IF(H68="","",H68*IFERROR(INDEX('Herb'!$M$2:$M$115,MATCH(C68,'Herb'!$A$2:$A$115,0)),0))</x:f>
        <x:v>21</x:v>
      </x:c>
    </x:row>
    <x:row r="69">
      <x:c r="A69" s="10" t="s">
        <x:v>821</x:v>
      </x:c>
      <x:c r="B69" s="10" t="s">
        <x:v>1147</x:v>
      </x:c>
      <x:c r="C69" s="10" t="s">
        <x:v>1148</x:v>
      </x:c>
      <x:c r="D69" s="16" t="s">
        <x:v>1149</x:v>
      </x:c>
      <x:c r="E69" s="10">
        <x:v>2</x:v>
      </x:c>
      <x:c r="F69" s="10" t="s">
        <x:v>1140</x:v>
      </x:c>
      <x:c r="G69" s="10" t="b">
        <x:v>1</x:v>
      </x:c>
      <x:c r="H69" s="86" t="n">
        <x:f>IF(E69="","",E69*IF(F69="fen",0.1,IF(F69="qian",1,IF(F69="liang",10,IF(F69="jin",160,0)))))</x:f>
        <x:v>2</x:v>
      </x:c>
      <x:c r="I69" s="86" t="n">
        <x:f>IF(H69="","",H69*IFERROR(INDEX('Herb'!$L$2:$L$115,MATCH(C69,'Herb'!$A$2:$A$115,0)),0))</x:f>
        <x:v>4</x:v>
      </x:c>
      <x:c r="J69" s="86" t="n">
        <x:f>IF(H69="","",H69*IFERROR(INDEX('Herb'!$M$2:$M$115,MATCH(C69,'Herb'!$A$2:$A$115,0)),0))</x:f>
        <x:v>8</x:v>
      </x:c>
    </x:row>
    <x:row r="70">
      <x:c r="A70" s="10" t="s">
        <x:v>825</x:v>
      </x:c>
      <x:c r="B70" s="10" t="s">
        <x:v>306</x:v>
      </x:c>
      <x:c r="C70" s="10" t="s">
        <x:v>1224</x:v>
      </x:c>
      <x:c r="D70" s="13" t="s">
        <x:v>1139</x:v>
      </x:c>
      <x:c r="E70" s="10">
        <x:v>3</x:v>
      </x:c>
      <x:c r="F70" s="10" t="s">
        <x:v>1140</x:v>
      </x:c>
      <x:c r="G70" s="10" t="b">
        <x:v>1</x:v>
      </x:c>
      <x:c r="H70" s="86" t="n">
        <x:f>IF(E70="","",E70*IF(F70="fen",0.1,IF(F70="qian",1,IF(F70="liang",10,IF(F70="jin",160,0)))))</x:f>
        <x:v>3</x:v>
      </x:c>
      <x:c r="I70" s="86" t="n">
        <x:f>IF(H70="","",H70*IFERROR(INDEX('Herb'!$L$2:$L$115,MATCH(C70,'Herb'!$A$2:$A$115,0)),0))</x:f>
        <x:v>180</x:v>
      </x:c>
      <x:c r="J70" s="86" t="n">
        <x:f>IF(H70="","",H70*IFERROR(INDEX('Herb'!$M$2:$M$115,MATCH(C70,'Herb'!$A$2:$A$115,0)),0))</x:f>
        <x:v>231</x:v>
      </x:c>
    </x:row>
    <x:row r="71">
      <x:c r="A71" s="10" t="s">
        <x:v>825</x:v>
      </x:c>
      <x:c r="B71" s="10" t="s">
        <x:v>1193</x:v>
      </x:c>
      <x:c r="C71" s="10" t="s">
        <x:v>1194</x:v>
      </x:c>
      <x:c r="D71" s="13" t="s">
        <x:v>1139</x:v>
      </x:c>
      <x:c r="E71" s="10">
        <x:v>5</x:v>
      </x:c>
      <x:c r="F71" s="10" t="s">
        <x:v>1140</x:v>
      </x:c>
      <x:c r="G71" s="10" t="b">
        <x:v>1</x:v>
      </x:c>
      <x:c r="H71" s="86" t="n">
        <x:f>IF(E71="","",E71*IF(F71="fen",0.1,IF(F71="qian",1,IF(F71="liang",10,IF(F71="jin",160,0)))))</x:f>
        <x:v>5</x:v>
      </x:c>
      <x:c r="I71" s="86" t="n">
        <x:f>IF(H71="","",H71*IFERROR(INDEX('Herb'!$L$2:$L$115,MATCH(C71,'Herb'!$A$2:$A$115,0)),0))</x:f>
        <x:v>35</x:v>
      </x:c>
      <x:c r="J71" s="86" t="n">
        <x:f>IF(H71="","",H71*IFERROR(INDEX('Herb'!$M$2:$M$115,MATCH(C71,'Herb'!$A$2:$A$115,0)),0))</x:f>
        <x:v>55</x:v>
      </x:c>
    </x:row>
    <x:row r="72">
      <x:c r="A72" s="10" t="s">
        <x:v>825</x:v>
      </x:c>
      <x:c r="B72" s="10" t="s">
        <x:v>1225</x:v>
      </x:c>
      <x:c r="C72" s="10" t="s">
        <x:v>1226</x:v>
      </x:c>
      <x:c r="D72" s="14" t="s">
        <x:v>1143</x:v>
      </x:c>
      <x:c r="E72" s="10">
        <x:v>5</x:v>
      </x:c>
      <x:c r="F72" s="10" t="s">
        <x:v>1140</x:v>
      </x:c>
      <x:c r="G72" s="10" t="b">
        <x:v>1</x:v>
      </x:c>
      <x:c r="H72" s="86" t="n">
        <x:f>IF(E72="","",E72*IF(F72="fen",0.1,IF(F72="qian",1,IF(F72="liang",10,IF(F72="jin",160,0)))))</x:f>
        <x:v>5</x:v>
      </x:c>
      <x:c r="I72" s="86" t="n">
        <x:f>IF(H72="","",H72*IFERROR(INDEX('Herb'!$L$2:$L$115,MATCH(C72,'Herb'!$A$2:$A$115,0)),0))</x:f>
        <x:v>50</x:v>
      </x:c>
      <x:c r="J72" s="86" t="n">
        <x:f>IF(H72="","",H72*IFERROR(INDEX('Herb'!$M$2:$M$115,MATCH(C72,'Herb'!$A$2:$A$115,0)),0))</x:f>
        <x:v>75</x:v>
      </x:c>
    </x:row>
    <x:row r="73">
      <x:c r="A73" s="10" t="s">
        <x:v>825</x:v>
      </x:c>
      <x:c r="B73" s="10" t="s">
        <x:v>1227</x:v>
      </x:c>
      <x:c r="C73" s="10" t="s">
        <x:v>1228</x:v>
      </x:c>
      <x:c r="D73" s="15" t="s">
        <x:v>1146</x:v>
      </x:c>
      <x:c r="E73" s="10">
        <x:v>2</x:v>
      </x:c>
      <x:c r="F73" s="10" t="s">
        <x:v>1140</x:v>
      </x:c>
      <x:c r="G73" s="10" t="b">
        <x:v>1</x:v>
      </x:c>
      <x:c r="H73" s="86" t="n">
        <x:f>IF(E73="","",E73*IF(F73="fen",0.1,IF(F73="qian",1,IF(F73="liang",10,IF(F73="jin",160,0)))))</x:f>
        <x:v>2</x:v>
      </x:c>
      <x:c r="I73" s="86" t="n">
        <x:f>IF(H73="","",H73*IFERROR(INDEX('Herb'!$L$2:$L$115,MATCH(C73,'Herb'!$A$2:$A$115,0)),0))</x:f>
        <x:v>16</x:v>
      </x:c>
      <x:c r="J73" s="86" t="n">
        <x:f>IF(H73="","",H73*IFERROR(INDEX('Herb'!$M$2:$M$115,MATCH(C73,'Herb'!$A$2:$A$115,0)),0))</x:f>
        <x:v>26</x:v>
      </x:c>
    </x:row>
    <x:row r="74">
      <x:c r="A74" s="10" t="s">
        <x:v>825</x:v>
      </x:c>
      <x:c r="B74" s="10" t="s">
        <x:v>1229</x:v>
      </x:c>
      <x:c r="C74" s="10" t="s">
        <x:v>1230</x:v>
      </x:c>
      <x:c r="D74" s="15" t="s">
        <x:v>1146</x:v>
      </x:c>
      <x:c r="E74" s="10">
        <x:v>3</x:v>
      </x:c>
      <x:c r="F74" s="10" t="s">
        <x:v>1140</x:v>
      </x:c>
      <x:c r="G74" s="10" t="b">
        <x:v>1</x:v>
      </x:c>
      <x:c r="H74" s="86" t="n">
        <x:f>IF(E74="","",E74*IF(F74="fen",0.1,IF(F74="qian",1,IF(F74="liang",10,IF(F74="jin",160,0)))))</x:f>
        <x:v>3</x:v>
      </x:c>
      <x:c r="I74" s="86" t="n">
        <x:f>IF(H74="","",H74*IFERROR(INDEX('Herb'!$L$2:$L$115,MATCH(C74,'Herb'!$A$2:$A$115,0)),0))</x:f>
        <x:v>18</x:v>
      </x:c>
      <x:c r="J74" s="86" t="n">
        <x:f>IF(H74="","",H74*IFERROR(INDEX('Herb'!$M$2:$M$115,MATCH(C74,'Herb'!$A$2:$A$115,0)),0))</x:f>
        <x:v>33</x:v>
      </x:c>
    </x:row>
    <x:row r="75">
      <x:c r="A75" s="10" t="s">
        <x:v>825</x:v>
      </x:c>
      <x:c r="B75" s="10" t="s">
        <x:v>1231</x:v>
      </x:c>
      <x:c r="C75" s="10" t="s">
        <x:v>1232</x:v>
      </x:c>
      <x:c r="D75" s="15" t="s">
        <x:v>1146</x:v>
      </x:c>
      <x:c r="E75" s="10">
        <x:v>3</x:v>
      </x:c>
      <x:c r="F75" s="10" t="s">
        <x:v>1140</x:v>
      </x:c>
      <x:c r="G75" s="10" t="b">
        <x:v>1</x:v>
      </x:c>
      <x:c r="H75" s="86" t="n">
        <x:f>IF(E75="","",E75*IF(F75="fen",0.1,IF(F75="qian",1,IF(F75="liang",10,IF(F75="jin",160,0)))))</x:f>
        <x:v>3</x:v>
      </x:c>
      <x:c r="I75" s="86" t="n">
        <x:f>IF(H75="","",H75*IFERROR(INDEX('Herb'!$L$2:$L$115,MATCH(C75,'Herb'!$A$2:$A$115,0)),0))</x:f>
        <x:v>15</x:v>
      </x:c>
      <x:c r="J75" s="86" t="n">
        <x:f>IF(H75="","",H75*IFERROR(INDEX('Herb'!$M$2:$M$115,MATCH(C75,'Herb'!$A$2:$A$115,0)),0))</x:f>
        <x:v>27</x:v>
      </x:c>
    </x:row>
    <x:row r="76">
      <x:c r="A76" s="10" t="s">
        <x:v>830</x:v>
      </x:c>
      <x:c r="B76" s="10" t="s">
        <x:v>25</x:v>
      </x:c>
      <x:c r="C76" s="10" t="s">
        <x:v>24</x:v>
      </x:c>
      <x:c r="D76" s="13" t="s">
        <x:v>1139</x:v>
      </x:c>
      <x:c r="E76" s="10">
        <x:v>5</x:v>
      </x:c>
      <x:c r="F76" s="10" t="s">
        <x:v>1140</x:v>
      </x:c>
      <x:c r="G76" s="10" t="b">
        <x:v>1</x:v>
      </x:c>
      <x:c r="H76" s="86" t="n">
        <x:f>IF(E76="","",E76*IF(F76="fen",0.1,IF(F76="qian",1,IF(F76="liang",10,IF(F76="jin",160,0)))))</x:f>
        <x:v>5</x:v>
      </x:c>
      <x:c r="I76" s="86" t="n">
        <x:f>IF(H76="","",H76*IFERROR(INDEX('Herb'!$L$2:$L$115,MATCH(C76,'Herb'!$A$2:$A$115,0)),0))</x:f>
        <x:v>25</x:v>
      </x:c>
      <x:c r="J76" s="86" t="n">
        <x:f>IF(H76="","",H76*IFERROR(INDEX('Herb'!$M$2:$M$115,MATCH(C76,'Herb'!$A$2:$A$115,0)),0))</x:f>
        <x:v>45</x:v>
      </x:c>
    </x:row>
    <x:row r="77">
      <x:c r="A77" s="10" t="s">
        <x:v>830</x:v>
      </x:c>
      <x:c r="B77" s="10" t="s">
        <x:v>23</x:v>
      </x:c>
      <x:c r="C77" s="10" t="s">
        <x:v>22</x:v>
      </x:c>
      <x:c r="D77" s="14" t="s">
        <x:v>1143</x:v>
      </x:c>
      <x:c r="E77" s="10">
        <x:v>5</x:v>
      </x:c>
      <x:c r="F77" s="10" t="s">
        <x:v>1140</x:v>
      </x:c>
      <x:c r="G77" s="10" t="b">
        <x:v>1</x:v>
      </x:c>
      <x:c r="H77" s="86" t="n">
        <x:f>IF(E77="","",E77*IF(F77="fen",0.1,IF(F77="qian",1,IF(F77="liang",10,IF(F77="jin",160,0)))))</x:f>
        <x:v>5</x:v>
      </x:c>
      <x:c r="I77" s="86" t="n">
        <x:f>IF(H77="","",H77*IFERROR(INDEX('Herb'!$L$2:$L$115,MATCH(C77,'Herb'!$A$2:$A$115,0)),0))</x:f>
        <x:v>15</x:v>
      </x:c>
      <x:c r="J77" s="86" t="n">
        <x:f>IF(H77="","",H77*IFERROR(INDEX('Herb'!$M$2:$M$115,MATCH(C77,'Herb'!$A$2:$A$115,0)),0))</x:f>
        <x:v>25</x:v>
      </x:c>
    </x:row>
    <x:row r="78">
      <x:c r="A78" s="10" t="s">
        <x:v>830</x:v>
      </x:c>
      <x:c r="B78" s="10" t="s">
        <x:v>1189</x:v>
      </x:c>
      <x:c r="C78" s="10" t="s">
        <x:v>1190</x:v>
      </x:c>
      <x:c r="D78" s="15" t="s">
        <x:v>1146</x:v>
      </x:c>
      <x:c r="E78" s="10">
        <x:v>3</x:v>
      </x:c>
      <x:c r="F78" s="10" t="s">
        <x:v>1140</x:v>
      </x:c>
      <x:c r="G78" s="10" t="b">
        <x:v>1</x:v>
      </x:c>
      <x:c r="H78" s="86" t="n">
        <x:f>IF(E78="","",E78*IF(F78="fen",0.1,IF(F78="qian",1,IF(F78="liang",10,IF(F78="jin",160,0)))))</x:f>
        <x:v>3</x:v>
      </x:c>
      <x:c r="I78" s="86" t="n">
        <x:f>IF(H78="","",H78*IFERROR(INDEX('Herb'!$L$2:$L$115,MATCH(C78,'Herb'!$A$2:$A$115,0)),0))</x:f>
        <x:v>15</x:v>
      </x:c>
      <x:c r="J78" s="86" t="n">
        <x:f>IF(H78="","",H78*IFERROR(INDEX('Herb'!$M$2:$M$115,MATCH(C78,'Herb'!$A$2:$A$115,0)),0))</x:f>
        <x:v>24</x:v>
      </x:c>
    </x:row>
    <x:row r="79">
      <x:c r="A79" s="10" t="s">
        <x:v>830</x:v>
      </x:c>
      <x:c r="B79" s="10" t="s">
        <x:v>1147</x:v>
      </x:c>
      <x:c r="C79" s="10" t="s">
        <x:v>1148</x:v>
      </x:c>
      <x:c r="D79" s="16" t="s">
        <x:v>1149</x:v>
      </x:c>
      <x:c r="E79" s="10">
        <x:v>1.5</x:v>
      </x:c>
      <x:c r="F79" s="10" t="s">
        <x:v>1140</x:v>
      </x:c>
      <x:c r="G79" s="10" t="b">
        <x:v>1</x:v>
      </x:c>
      <x:c r="H79" s="86" t="n">
        <x:f>IF(E79="","",E79*IF(F79="fen",0.1,IF(F79="qian",1,IF(F79="liang",10,IF(F79="jin",160,0)))))</x:f>
        <x:v>1.5</x:v>
      </x:c>
      <x:c r="I79" s="86" t="n">
        <x:f>IF(H79="","",H79*IFERROR(INDEX('Herb'!$L$2:$L$115,MATCH(C79,'Herb'!$A$2:$A$115,0)),0))</x:f>
        <x:v>3</x:v>
      </x:c>
      <x:c r="J79" s="86" t="n">
        <x:f>IF(H79="","",H79*IFERROR(INDEX('Herb'!$M$2:$M$115,MATCH(C79,'Herb'!$A$2:$A$115,0)),0))</x:f>
        <x:v>6</x:v>
      </x:c>
    </x:row>
    <x:row r="80">
      <x:c r="A80" s="10" t="s">
        <x:v>834</x:v>
      </x:c>
      <x:c r="B80" s="10" t="s">
        <x:v>1177</x:v>
      </x:c>
      <x:c r="C80" s="10" t="s">
        <x:v>1178</x:v>
      </x:c>
      <x:c r="D80" s="13" t="s">
        <x:v>1139</x:v>
      </x:c>
      <x:c r="E80" s="10">
        <x:v>3</x:v>
      </x:c>
      <x:c r="F80" s="10" t="s">
        <x:v>1140</x:v>
      </x:c>
      <x:c r="G80" s="10" t="b">
        <x:v>1</x:v>
      </x:c>
      <x:c r="H80" s="86" t="n">
        <x:f>IF(E80="","",E80*IF(F80="fen",0.1,IF(F80="qian",1,IF(F80="liang",10,IF(F80="jin",160,0)))))</x:f>
        <x:v>3</x:v>
      </x:c>
      <x:c r="I80" s="86" t="n">
        <x:f>IF(H80="","",H80*IFERROR(INDEX('Herb'!$L$2:$L$115,MATCH(C80,'Herb'!$A$2:$A$115,0)),0))</x:f>
        <x:v>18</x:v>
      </x:c>
      <x:c r="J80" s="86" t="n">
        <x:f>IF(H80="","",H80*IFERROR(INDEX('Herb'!$M$2:$M$115,MATCH(C80,'Herb'!$A$2:$A$115,0)),0))</x:f>
        <x:v>33</x:v>
      </x:c>
    </x:row>
    <x:row r="81">
      <x:c r="A81" s="10" t="s">
        <x:v>834</x:v>
      </x:c>
      <x:c r="B81" s="10" t="s">
        <x:v>1233</x:v>
      </x:c>
      <x:c r="C81" s="10" t="s">
        <x:v>1234</x:v>
      </x:c>
      <x:c r="D81" s="13" t="s">
        <x:v>1139</x:v>
      </x:c>
      <x:c r="E81" s="10">
        <x:v>3</x:v>
      </x:c>
      <x:c r="F81" s="10" t="s">
        <x:v>1140</x:v>
      </x:c>
      <x:c r="G81" s="10" t="b">
        <x:v>1</x:v>
      </x:c>
      <x:c r="H81" s="86" t="n">
        <x:f>IF(E81="","",E81*IF(F81="fen",0.1,IF(F81="qian",1,IF(F81="liang",10,IF(F81="jin",160,0)))))</x:f>
        <x:v>3</x:v>
      </x:c>
      <x:c r="I81" s="86" t="n">
        <x:f>IF(H81="","",H81*IFERROR(INDEX('Herb'!$L$2:$L$115,MATCH(C81,'Herb'!$A$2:$A$115,0)),0))</x:f>
        <x:v>27</x:v>
      </x:c>
      <x:c r="J81" s="86" t="n">
        <x:f>IF(H81="","",H81*IFERROR(INDEX('Herb'!$M$2:$M$115,MATCH(C81,'Herb'!$A$2:$A$115,0)),0))</x:f>
        <x:v>45</x:v>
      </x:c>
    </x:row>
    <x:row r="82">
      <x:c r="A82" s="10" t="s">
        <x:v>834</x:v>
      </x:c>
      <x:c r="B82" s="10" t="s">
        <x:v>1235</x:v>
      </x:c>
      <x:c r="C82" s="10" t="s">
        <x:v>1236</x:v>
      </x:c>
      <x:c r="D82" s="14" t="s">
        <x:v>1143</x:v>
      </x:c>
      <x:c r="E82" s="10">
        <x:v>2</x:v>
      </x:c>
      <x:c r="F82" s="10" t="s">
        <x:v>1140</x:v>
      </x:c>
      <x:c r="G82" s="10" t="b">
        <x:v>1</x:v>
      </x:c>
      <x:c r="H82" s="86" t="n">
        <x:f>IF(E82="","",E82*IF(F82="fen",0.1,IF(F82="qian",1,IF(F82="liang",10,IF(F82="jin",160,0)))))</x:f>
        <x:v>2</x:v>
      </x:c>
      <x:c r="I82" s="86" t="n">
        <x:f>IF(H82="","",H82*IFERROR(INDEX('Herb'!$L$2:$L$115,MATCH(C82,'Herb'!$A$2:$A$115,0)),0))</x:f>
        <x:v>14</x:v>
      </x:c>
      <x:c r="J82" s="86" t="n">
        <x:f>IF(H82="","",H82*IFERROR(INDEX('Herb'!$M$2:$M$115,MATCH(C82,'Herb'!$A$2:$A$115,0)),0))</x:f>
        <x:v>24</x:v>
      </x:c>
    </x:row>
    <x:row r="83">
      <x:c r="A83" s="10" t="s">
        <x:v>834</x:v>
      </x:c>
      <x:c r="B83" s="10" t="s">
        <x:v>1237</x:v>
      </x:c>
      <x:c r="C83" s="10" t="s">
        <x:v>1238</x:v>
      </x:c>
      <x:c r="D83" s="14" t="s">
        <x:v>1143</x:v>
      </x:c>
      <x:c r="E83" s="10">
        <x:v>1.5</x:v>
      </x:c>
      <x:c r="F83" s="10" t="s">
        <x:v>1140</x:v>
      </x:c>
      <x:c r="G83" s="10" t="b">
        <x:v>1</x:v>
      </x:c>
      <x:c r="H83" s="86" t="n">
        <x:f>IF(E83="","",E83*IF(F83="fen",0.1,IF(F83="qian",1,IF(F83="liang",10,IF(F83="jin",160,0)))))</x:f>
        <x:v>1.5</x:v>
      </x:c>
      <x:c r="I83" s="86" t="n">
        <x:f>IF(H83="","",H83*IFERROR(INDEX('Herb'!$L$2:$L$115,MATCH(C83,'Herb'!$A$2:$A$115,0)),0))</x:f>
        <x:v>10.5</x:v>
      </x:c>
      <x:c r="J83" s="86" t="n">
        <x:f>IF(H83="","",H83*IFERROR(INDEX('Herb'!$M$2:$M$115,MATCH(C83,'Herb'!$A$2:$A$115,0)),0))</x:f>
        <x:v>18</x:v>
      </x:c>
    </x:row>
    <x:row r="84">
      <x:c r="A84" s="10" t="s">
        <x:v>834</x:v>
      </x:c>
      <x:c r="B84" s="10" t="s">
        <x:v>1239</x:v>
      </x:c>
      <x:c r="C84" s="10" t="s">
        <x:v>1240</x:v>
      </x:c>
      <x:c r="D84" s="15" t="s">
        <x:v>1146</x:v>
      </x:c>
      <x:c r="E84" s="10">
        <x:v>1.5</x:v>
      </x:c>
      <x:c r="F84" s="10" t="s">
        <x:v>1140</x:v>
      </x:c>
      <x:c r="G84" s="10" t="b">
        <x:v>1</x:v>
      </x:c>
      <x:c r="H84" s="86" t="n">
        <x:f>IF(E84="","",E84*IF(F84="fen",0.1,IF(F84="qian",1,IF(F84="liang",10,IF(F84="jin",160,0)))))</x:f>
        <x:v>1.5</x:v>
      </x:c>
      <x:c r="I84" s="86" t="n">
        <x:f>IF(H84="","",H84*IFERROR(INDEX('Herb'!$L$2:$L$115,MATCH(C84,'Herb'!$A$2:$A$115,0)),0))</x:f>
        <x:v>3</x:v>
      </x:c>
      <x:c r="J84" s="86" t="n">
        <x:f>IF(H84="","",H84*IFERROR(INDEX('Herb'!$M$2:$M$115,MATCH(C84,'Herb'!$A$2:$A$115,0)),0))</x:f>
        <x:v>6</x:v>
      </x:c>
    </x:row>
    <x:row r="85">
      <x:c r="A85" s="10" t="s">
        <x:v>834</x:v>
      </x:c>
      <x:c r="B85" s="10" t="s">
        <x:v>1175</x:v>
      </x:c>
      <x:c r="C85" s="10" t="s">
        <x:v>1176</x:v>
      </x:c>
      <x:c r="D85" s="15" t="s">
        <x:v>1146</x:v>
      </x:c>
      <x:c r="E85" s="10">
        <x:v>1.5</x:v>
      </x:c>
      <x:c r="F85" s="10" t="s">
        <x:v>1140</x:v>
      </x:c>
      <x:c r="G85" s="10" t="b">
        <x:v>1</x:v>
      </x:c>
      <x:c r="H85" s="86" t="n">
        <x:f>IF(E85="","",E85*IF(F85="fen",0.1,IF(F85="qian",1,IF(F85="liang",10,IF(F85="jin",160,0)))))</x:f>
        <x:v>1.5</x:v>
      </x:c>
      <x:c r="I85" s="86" t="n">
        <x:f>IF(H85="","",H85*IFERROR(INDEX('Herb'!$L$2:$L$115,MATCH(C85,'Herb'!$A$2:$A$115,0)),0))</x:f>
        <x:v>4.5</x:v>
      </x:c>
      <x:c r="J85" s="86" t="n">
        <x:f>IF(H85="","",H85*IFERROR(INDEX('Herb'!$M$2:$M$115,MATCH(C85,'Herb'!$A$2:$A$115,0)),0))</x:f>
        <x:v>9</x:v>
      </x:c>
    </x:row>
    <x:row r="86">
      <x:c r="A86" s="10" t="s">
        <x:v>834</x:v>
      </x:c>
      <x:c r="B86" s="10" t="s">
        <x:v>1147</x:v>
      </x:c>
      <x:c r="C86" s="10" t="s">
        <x:v>1148</x:v>
      </x:c>
      <x:c r="D86" s="16" t="s">
        <x:v>1149</x:v>
      </x:c>
      <x:c r="E86" s="10">
        <x:v>1</x:v>
      </x:c>
      <x:c r="F86" s="10" t="s">
        <x:v>1140</x:v>
      </x:c>
      <x:c r="G86" s="10" t="b">
        <x:v>1</x:v>
      </x:c>
      <x:c r="H86" s="86" t="n">
        <x:f>IF(E86="","",E86*IF(F86="fen",0.1,IF(F86="qian",1,IF(F86="liang",10,IF(F86="jin",160,0)))))</x:f>
        <x:v>1</x:v>
      </x:c>
      <x:c r="I86" s="86" t="n">
        <x:f>IF(H86="","",H86*IFERROR(INDEX('Herb'!$L$2:$L$115,MATCH(C86,'Herb'!$A$2:$A$115,0)),0))</x:f>
        <x:v>2</x:v>
      </x:c>
      <x:c r="J86" s="86" t="n">
        <x:f>IF(H86="","",H86*IFERROR(INDEX('Herb'!$M$2:$M$115,MATCH(C86,'Herb'!$A$2:$A$115,0)),0))</x:f>
        <x:v>4</x:v>
      </x:c>
    </x:row>
    <x:row r="87">
      <x:c r="A87" s="10" t="s">
        <x:v>839</x:v>
      </x:c>
      <x:c r="B87" s="10" t="s">
        <x:v>1241</x:v>
      </x:c>
      <x:c r="C87" s="10" t="s">
        <x:v>1242</x:v>
      </x:c>
      <x:c r="D87" s="13" t="s">
        <x:v>1139</x:v>
      </x:c>
      <x:c r="E87" s="10">
        <x:v>1.5</x:v>
      </x:c>
      <x:c r="F87" s="10" t="s">
        <x:v>1158</x:v>
      </x:c>
      <x:c r="G87" s="10" t="b">
        <x:v>1</x:v>
      </x:c>
      <x:c r="H87" s="86" t="n">
        <x:f>IF(E87="","",E87*IF(F87="fen",0.1,IF(F87="qian",1,IF(F87="liang",10,IF(F87="jin",160,0)))))</x:f>
        <x:v>15</x:v>
      </x:c>
      <x:c r="I87" s="86" t="n">
        <x:f>IF(H87="","",H87*IFERROR(INDEX('Herb'!$L$2:$L$115,MATCH(C87,'Herb'!$A$2:$A$115,0)),0))</x:f>
        <x:v>120</x:v>
      </x:c>
      <x:c r="J87" s="86" t="n">
        <x:f>IF(H87="","",H87*IFERROR(INDEX('Herb'!$M$2:$M$115,MATCH(C87,'Herb'!$A$2:$A$115,0)),0))</x:f>
        <x:v>210</x:v>
      </x:c>
    </x:row>
    <x:row r="88">
      <x:c r="A88" s="10" t="s">
        <x:v>839</x:v>
      </x:c>
      <x:c r="B88" s="10" t="s">
        <x:v>25</x:v>
      </x:c>
      <x:c r="C88" s="10" t="s">
        <x:v>24</x:v>
      </x:c>
      <x:c r="D88" s="14" t="s">
        <x:v>1143</x:v>
      </x:c>
      <x:c r="E88" s="10">
        <x:v>1.5</x:v>
      </x:c>
      <x:c r="F88" s="10" t="s">
        <x:v>1158</x:v>
      </x:c>
      <x:c r="G88" s="10" t="b">
        <x:v>1</x:v>
      </x:c>
      <x:c r="H88" s="86" t="n">
        <x:f>IF(E88="","",E88*IF(F88="fen",0.1,IF(F88="qian",1,IF(F88="liang",10,IF(F88="jin",160,0)))))</x:f>
        <x:v>15</x:v>
      </x:c>
      <x:c r="I88" s="86" t="n">
        <x:f>IF(H88="","",H88*IFERROR(INDEX('Herb'!$L$2:$L$115,MATCH(C88,'Herb'!$A$2:$A$115,0)),0))</x:f>
        <x:v>75</x:v>
      </x:c>
      <x:c r="J88" s="86" t="n">
        <x:f>IF(H88="","",H88*IFERROR(INDEX('Herb'!$M$2:$M$115,MATCH(C88,'Herb'!$A$2:$A$115,0)),0))</x:f>
        <x:v>135</x:v>
      </x:c>
    </x:row>
    <x:row r="89">
      <x:c r="A89" s="10" t="s">
        <x:v>839</x:v>
      </x:c>
      <x:c r="B89" s="10" t="s">
        <x:v>1243</x:v>
      </x:c>
      <x:c r="C89" s="10" t="s">
        <x:v>1244</x:v>
      </x:c>
      <x:c r="D89" s="14" t="s">
        <x:v>1143</x:v>
      </x:c>
      <x:c r="E89" s="10">
        <x:v>1</x:v>
      </x:c>
      <x:c r="F89" s="10" t="s">
        <x:v>1158</x:v>
      </x:c>
      <x:c r="G89" s="10" t="b">
        <x:v>1</x:v>
      </x:c>
      <x:c r="H89" s="86" t="n">
        <x:f>IF(E89="","",E89*IF(F89="fen",0.1,IF(F89="qian",1,IF(F89="liang",10,IF(F89="jin",160,0)))))</x:f>
        <x:v>10</x:v>
      </x:c>
      <x:c r="I89" s="86" t="n">
        <x:f>IF(H89="","",H89*IFERROR(INDEX('Herb'!$L$2:$L$115,MATCH(C89,'Herb'!$A$2:$A$115,0)),0))</x:f>
        <x:v>70</x:v>
      </x:c>
      <x:c r="J89" s="86" t="n">
        <x:f>IF(H89="","",H89*IFERROR(INDEX('Herb'!$M$2:$M$115,MATCH(C89,'Herb'!$A$2:$A$115,0)),0))</x:f>
        <x:v>120</x:v>
      </x:c>
    </x:row>
    <x:row r="90">
      <x:c r="A90" s="10" t="s">
        <x:v>839</x:v>
      </x:c>
      <x:c r="B90" s="10" t="s">
        <x:v>1245</x:v>
      </x:c>
      <x:c r="C90" s="10" t="s">
        <x:v>1246</x:v>
      </x:c>
      <x:c r="D90" s="14" t="s">
        <x:v>1143</x:v>
      </x:c>
      <x:c r="E90" s="10">
        <x:v>1</x:v>
      </x:c>
      <x:c r="F90" s="10" t="s">
        <x:v>1158</x:v>
      </x:c>
      <x:c r="G90" s="10" t="b">
        <x:v>1</x:v>
      </x:c>
      <x:c r="H90" s="86" t="n">
        <x:f>IF(E90="","",E90*IF(F90="fen",0.1,IF(F90="qian",1,IF(F90="liang",10,IF(F90="jin",160,0)))))</x:f>
        <x:v>10</x:v>
      </x:c>
      <x:c r="I90" s="86" t="n">
        <x:f>IF(H90="","",H90*IFERROR(INDEX('Herb'!$L$2:$L$115,MATCH(C90,'Herb'!$A$2:$A$115,0)),0))</x:f>
        <x:v>60</x:v>
      </x:c>
      <x:c r="J90" s="86" t="n">
        <x:f>IF(H90="","",H90*IFERROR(INDEX('Herb'!$M$2:$M$115,MATCH(C90,'Herb'!$A$2:$A$115,0)),0))</x:f>
        <x:v>110</x:v>
      </x:c>
    </x:row>
    <x:row r="91">
      <x:c r="A91" s="10" t="s">
        <x:v>839</x:v>
      </x:c>
      <x:c r="B91" s="10" t="s">
        <x:v>1144</x:v>
      </x:c>
      <x:c r="C91" s="10" t="s">
        <x:v>1145</x:v>
      </x:c>
      <x:c r="D91" s="15" t="s">
        <x:v>1146</x:v>
      </x:c>
      <x:c r="E91" s="10">
        <x:v>1</x:v>
      </x:c>
      <x:c r="F91" s="10" t="s">
        <x:v>1158</x:v>
      </x:c>
      <x:c r="G91" s="10" t="b">
        <x:v>1</x:v>
      </x:c>
      <x:c r="H91" s="86" t="n">
        <x:f>IF(E91="","",E91*IF(F91="fen",0.1,IF(F91="qian",1,IF(F91="liang",10,IF(F91="jin",160,0)))))</x:f>
        <x:v>10</x:v>
      </x:c>
      <x:c r="I91" s="86" t="n">
        <x:f>IF(H91="","",H91*IFERROR(INDEX('Herb'!$L$2:$L$115,MATCH(C91,'Herb'!$A$2:$A$115,0)),0))</x:f>
        <x:v>40</x:v>
      </x:c>
      <x:c r="J91" s="86" t="n">
        <x:f>IF(H91="","",H91*IFERROR(INDEX('Herb'!$M$2:$M$115,MATCH(C91,'Herb'!$A$2:$A$115,0)),0))</x:f>
        <x:v>70</x:v>
      </x:c>
    </x:row>
    <x:row r="92">
      <x:c r="A92" s="10" t="s">
        <x:v>839</x:v>
      </x:c>
      <x:c r="B92" s="10" t="s">
        <x:v>23</x:v>
      </x:c>
      <x:c r="C92" s="10" t="s">
        <x:v>22</x:v>
      </x:c>
      <x:c r="D92" s="15" t="s">
        <x:v>1146</x:v>
      </x:c>
      <x:c r="E92" s="10">
        <x:v>1</x:v>
      </x:c>
      <x:c r="F92" s="10" t="s">
        <x:v>1158</x:v>
      </x:c>
      <x:c r="G92" s="10" t="b">
        <x:v>1</x:v>
      </x:c>
      <x:c r="H92" s="86" t="n">
        <x:f>IF(E92="","",E92*IF(F92="fen",0.1,IF(F92="qian",1,IF(F92="liang",10,IF(F92="jin",160,0)))))</x:f>
        <x:v>10</x:v>
      </x:c>
      <x:c r="I92" s="86" t="n">
        <x:f>IF(H92="","",H92*IFERROR(INDEX('Herb'!$L$2:$L$115,MATCH(C92,'Herb'!$A$2:$A$115,0)),0))</x:f>
        <x:v>30</x:v>
      </x:c>
      <x:c r="J92" s="86" t="n">
        <x:f>IF(H92="","",H92*IFERROR(INDEX('Herb'!$M$2:$M$115,MATCH(C92,'Herb'!$A$2:$A$115,0)),0))</x:f>
        <x:v>50</x:v>
      </x:c>
    </x:row>
    <x:row r="93">
      <x:c r="A93" s="10" t="s">
        <x:v>839</x:v>
      </x:c>
      <x:c r="B93" s="10" t="s">
        <x:v>1247</x:v>
      </x:c>
      <x:c r="C93" s="10" t="s">
        <x:v>1248</x:v>
      </x:c>
      <x:c r="D93" s="15" t="s">
        <x:v>1146</x:v>
      </x:c>
      <x:c r="E93" s="10">
        <x:v>1</x:v>
      </x:c>
      <x:c r="F93" s="10" t="s">
        <x:v>1158</x:v>
      </x:c>
      <x:c r="G93" s="10" t="b">
        <x:v>1</x:v>
      </x:c>
      <x:c r="H93" s="86" t="n">
        <x:f>IF(E93="","",E93*IF(F93="fen",0.1,IF(F93="qian",1,IF(F93="liang",10,IF(F93="jin",160,0)))))</x:f>
        <x:v>10</x:v>
      </x:c>
      <x:c r="I93" s="86" t="n">
        <x:f>IF(H93="","",H93*IFERROR(INDEX('Herb'!$L$2:$L$115,MATCH(C93,'Herb'!$A$2:$A$115,0)),0))</x:f>
        <x:v>50</x:v>
      </x:c>
      <x:c r="J93" s="86" t="n">
        <x:f>IF(H93="","",H93*IFERROR(INDEX('Herb'!$M$2:$M$115,MATCH(C93,'Herb'!$A$2:$A$115,0)),0))</x:f>
        <x:v>90</x:v>
      </x:c>
    </x:row>
    <x:row r="94">
      <x:c r="A94" s="10" t="s">
        <x:v>839</x:v>
      </x:c>
      <x:c r="B94" s="10" t="s">
        <x:v>1189</x:v>
      </x:c>
      <x:c r="C94" s="10" t="s">
        <x:v>1190</x:v>
      </x:c>
      <x:c r="D94" s="15" t="s">
        <x:v>1146</x:v>
      </x:c>
      <x:c r="E94" s="10">
        <x:v>1</x:v>
      </x:c>
      <x:c r="F94" s="10" t="s">
        <x:v>1158</x:v>
      </x:c>
      <x:c r="G94" s="10" t="b">
        <x:v>1</x:v>
      </x:c>
      <x:c r="H94" s="86" t="n">
        <x:f>IF(E94="","",E94*IF(F94="fen",0.1,IF(F94="qian",1,IF(F94="liang",10,IF(F94="jin",160,0)))))</x:f>
        <x:v>10</x:v>
      </x:c>
      <x:c r="I94" s="86" t="n">
        <x:f>IF(H94="","",H94*IFERROR(INDEX('Herb'!$L$2:$L$115,MATCH(C94,'Herb'!$A$2:$A$115,0)),0))</x:f>
        <x:v>50</x:v>
      </x:c>
      <x:c r="J94" s="86" t="n">
        <x:f>IF(H94="","",H94*IFERROR(INDEX('Herb'!$M$2:$M$115,MATCH(C94,'Herb'!$A$2:$A$115,0)),0))</x:f>
        <x:v>80</x:v>
      </x:c>
    </x:row>
    <x:row r="95">
      <x:c r="A95" s="10" t="s">
        <x:v>839</x:v>
      </x:c>
      <x:c r="B95" s="10" t="s">
        <x:v>1152</x:v>
      </x:c>
      <x:c r="C95" s="10" t="s">
        <x:v>1153</x:v>
      </x:c>
      <x:c r="D95" s="16" t="s">
        <x:v>1149</x:v>
      </x:c>
      <x:c r="E95" s="10">
        <x:v>3</x:v>
      </x:c>
      <x:c r="F95" s="10" t="s">
        <x:v>1158</x:v>
      </x:c>
      <x:c r="G95" s="10" t="b">
        <x:v>1</x:v>
      </x:c>
      <x:c r="H95" s="86" t="n">
        <x:f>IF(E95="","",E95*IF(F95="fen",0.1,IF(F95="qian",1,IF(F95="liang",10,IF(F95="jin",160,0)))))</x:f>
        <x:v>30</x:v>
      </x:c>
      <x:c r="I95" s="86" t="n">
        <x:f>IF(H95="","",H95*IFERROR(INDEX('Herb'!$L$2:$L$115,MATCH(C95,'Herb'!$A$2:$A$115,0)),0))</x:f>
        <x:v>30</x:v>
      </x:c>
      <x:c r="J95" s="86" t="n">
        <x:f>IF(H95="","",H95*IFERROR(INDEX('Herb'!$M$2:$M$115,MATCH(C95,'Herb'!$A$2:$A$115,0)),0))</x:f>
        <x:v>60</x:v>
      </x:c>
    </x:row>
    <x:row r="96">
      <x:c r="A96" s="10" t="s">
        <x:v>844</x:v>
      </x:c>
      <x:c r="B96" s="10" t="s">
        <x:v>1137</x:v>
      </x:c>
      <x:c r="C96" s="10" t="s">
        <x:v>1138</x:v>
      </x:c>
      <x:c r="D96" s="13" t="s">
        <x:v>1139</x:v>
      </x:c>
      <x:c r="E96" s="10">
        <x:v>6</x:v>
      </x:c>
      <x:c r="F96" s="10" t="s">
        <x:v>1140</x:v>
      </x:c>
      <x:c r="G96" s="10" t="b">
        <x:v>1</x:v>
      </x:c>
      <x:c r="H96" s="86" t="n">
        <x:f>IF(E96="","",E96*IF(F96="fen",0.1,IF(F96="qian",1,IF(F96="liang",10,IF(F96="jin",160,0)))))</x:f>
        <x:v>6</x:v>
      </x:c>
      <x:c r="I96" s="86" t="n">
        <x:f>IF(H96="","",H96*IFERROR(INDEX('Herb'!$L$2:$L$115,MATCH(C96,'Herb'!$A$2:$A$115,0)),0))</x:f>
        <x:v>24</x:v>
      </x:c>
      <x:c r="J96" s="86" t="n">
        <x:f>IF(H96="","",H96*IFERROR(INDEX('Herb'!$M$2:$M$115,MATCH(C96,'Herb'!$A$2:$A$115,0)),0))</x:f>
        <x:v>42</x:v>
      </x:c>
    </x:row>
    <x:row r="97">
      <x:c r="A97" s="10" t="s">
        <x:v>844</x:v>
      </x:c>
      <x:c r="B97" s="10" t="s">
        <x:v>1141</x:v>
      </x:c>
      <x:c r="C97" s="10" t="s">
        <x:v>1142</x:v>
      </x:c>
      <x:c r="D97" s="14" t="s">
        <x:v>1143</x:v>
      </x:c>
      <x:c r="E97" s="10">
        <x:v>2</x:v>
      </x:c>
      <x:c r="F97" s="10" t="s">
        <x:v>1140</x:v>
      </x:c>
      <x:c r="G97" s="10" t="b">
        <x:v>1</x:v>
      </x:c>
      <x:c r="H97" s="86" t="n">
        <x:f>IF(E97="","",E97*IF(F97="fen",0.1,IF(F97="qian",1,IF(F97="liang",10,IF(F97="jin",160,0)))))</x:f>
        <x:v>2</x:v>
      </x:c>
      <x:c r="I97" s="86" t="n">
        <x:f>IF(H97="","",H97*IFERROR(INDEX('Herb'!$L$2:$L$115,MATCH(C97,'Herb'!$A$2:$A$115,0)),0))</x:f>
        <x:v>8</x:v>
      </x:c>
      <x:c r="J97" s="86" t="n">
        <x:f>IF(H97="","",H97*IFERROR(INDEX('Herb'!$M$2:$M$115,MATCH(C97,'Herb'!$A$2:$A$115,0)),0))</x:f>
        <x:v>12</x:v>
      </x:c>
    </x:row>
    <x:row r="98">
      <x:c r="A98" s="10" t="s">
        <x:v>844</x:v>
      </x:c>
      <x:c r="B98" s="10" t="s">
        <x:v>1204</x:v>
      </x:c>
      <x:c r="C98" s="10" t="s">
        <x:v>1205</x:v>
      </x:c>
      <x:c r="D98" s="14" t="s">
        <x:v>1143</x:v>
      </x:c>
      <x:c r="E98" s="10">
        <x:v>1</x:v>
      </x:c>
      <x:c r="F98" s="10" t="s">
        <x:v>1158</x:v>
      </x:c>
      <x:c r="G98" s="10" t="b">
        <x:v>1</x:v>
      </x:c>
      <x:c r="H98" s="86" t="n">
        <x:f>IF(E98="","",E98*IF(F98="fen",0.1,IF(F98="qian",1,IF(F98="liang",10,IF(F98="jin",160,0)))))</x:f>
        <x:v>10</x:v>
      </x:c>
      <x:c r="I98" s="86" t="n">
        <x:f>IF(H98="","",H98*IFERROR(INDEX('Herb'!$L$2:$L$115,MATCH(C98,'Herb'!$A$2:$A$115,0)),0))</x:f>
        <x:v>10</x:v>
      </x:c>
      <x:c r="J98" s="86" t="n">
        <x:f>IF(H98="","",H98*IFERROR(INDEX('Herb'!$M$2:$M$115,MATCH(C98,'Herb'!$A$2:$A$115,0)),0))</x:f>
        <x:v>20</x:v>
      </x:c>
    </x:row>
    <x:row r="99">
      <x:c r="A99" s="10" t="s">
        <x:v>844</x:v>
      </x:c>
      <x:c r="B99" s="10" t="s">
        <x:v>1144</x:v>
      </x:c>
      <x:c r="C99" s="10" t="s">
        <x:v>1145</x:v>
      </x:c>
      <x:c r="D99" s="15" t="s">
        <x:v>1146</x:v>
      </x:c>
      <x:c r="E99" s="10">
        <x:v>3</x:v>
      </x:c>
      <x:c r="F99" s="10" t="s">
        <x:v>1140</x:v>
      </x:c>
      <x:c r="G99" s="10" t="b">
        <x:v>1</x:v>
      </x:c>
      <x:c r="H99" s="86" t="n">
        <x:f>IF(E99="","",E99*IF(F99="fen",0.1,IF(F99="qian",1,IF(F99="liang",10,IF(F99="jin",160,0)))))</x:f>
        <x:v>3</x:v>
      </x:c>
      <x:c r="I99" s="86" t="n">
        <x:f>IF(H99="","",H99*IFERROR(INDEX('Herb'!$L$2:$L$115,MATCH(C99,'Herb'!$A$2:$A$115,0)),0))</x:f>
        <x:v>12</x:v>
      </x:c>
      <x:c r="J99" s="86" t="n">
        <x:f>IF(H99="","",H99*IFERROR(INDEX('Herb'!$M$2:$M$115,MATCH(C99,'Herb'!$A$2:$A$115,0)),0))</x:f>
        <x:v>21</x:v>
      </x:c>
    </x:row>
    <x:row r="100">
      <x:c r="A100" s="10" t="s">
        <x:v>844</x:v>
      </x:c>
      <x:c r="B100" s="10" t="s">
        <x:v>1152</x:v>
      </x:c>
      <x:c r="C100" s="10" t="s">
        <x:v>1153</x:v>
      </x:c>
      <x:c r="D100" s="15" t="s">
        <x:v>1146</x:v>
      </x:c>
      <x:c r="E100" s="10">
        <x:v>3</x:v>
      </x:c>
      <x:c r="F100" s="10" t="s">
        <x:v>1140</x:v>
      </x:c>
      <x:c r="G100" s="10" t="b">
        <x:v>1</x:v>
      </x:c>
      <x:c r="H100" s="86" t="n">
        <x:f>IF(E100="","",E100*IF(F100="fen",0.1,IF(F100="qian",1,IF(F100="liang",10,IF(F100="jin",160,0)))))</x:f>
        <x:v>3</x:v>
      </x:c>
      <x:c r="I100" s="86" t="n">
        <x:f>IF(H100="","",H100*IFERROR(INDEX('Herb'!$L$2:$L$115,MATCH(C100,'Herb'!$A$2:$A$115,0)),0))</x:f>
        <x:v>3</x:v>
      </x:c>
      <x:c r="J100" s="86" t="n">
        <x:f>IF(H100="","",H100*IFERROR(INDEX('Herb'!$M$2:$M$115,MATCH(C100,'Herb'!$A$2:$A$115,0)),0))</x:f>
        <x:v>6</x:v>
      </x:c>
    </x:row>
    <x:row r="101">
      <x:c r="A101" s="10" t="s">
        <x:v>844</x:v>
      </x:c>
      <x:c r="B101" s="10" t="s">
        <x:v>1154</x:v>
      </x:c>
      <x:c r="C101" s="10" t="s">
        <x:v>1155</x:v>
      </x:c>
      <x:c r="D101" s="15" t="s">
        <x:v>1146</x:v>
      </x:c>
      <x:c r="E101" s="10">
        <x:v>3</x:v>
      </x:c>
      <x:c r="F101" s="10" t="s">
        <x:v>1140</x:v>
      </x:c>
      <x:c r="G101" s="10" t="b">
        <x:v>1</x:v>
      </x:c>
      <x:c r="H101" s="86" t="n">
        <x:f>IF(E101="","",E101*IF(F101="fen",0.1,IF(F101="qian",1,IF(F101="liang",10,IF(F101="jin",160,0)))))</x:f>
        <x:v>3</x:v>
      </x:c>
      <x:c r="I101" s="86" t="n">
        <x:f>IF(H101="","",H101*IFERROR(INDEX('Herb'!$L$2:$L$115,MATCH(C101,'Herb'!$A$2:$A$115,0)),0))</x:f>
        <x:v>6</x:v>
      </x:c>
      <x:c r="J101" s="86" t="n">
        <x:f>IF(H101="","",H101*IFERROR(INDEX('Herb'!$M$2:$M$115,MATCH(C101,'Herb'!$A$2:$A$115,0)),0))</x:f>
        <x:v>12</x:v>
      </x:c>
    </x:row>
    <x:row r="102">
      <x:c r="A102" s="10" t="s">
        <x:v>844</x:v>
      </x:c>
      <x:c r="B102" s="10" t="s">
        <x:v>1147</x:v>
      </x:c>
      <x:c r="C102" s="10" t="s">
        <x:v>1148</x:v>
      </x:c>
      <x:c r="D102" s="16" t="s">
        <x:v>1149</x:v>
      </x:c>
      <x:c r="E102" s="10">
        <x:v>2</x:v>
      </x:c>
      <x:c r="F102" s="10" t="s">
        <x:v>1140</x:v>
      </x:c>
      <x:c r="G102" s="10" t="b">
        <x:v>1</x:v>
      </x:c>
      <x:c r="H102" s="86" t="n">
        <x:f>IF(E102="","",E102*IF(F102="fen",0.1,IF(F102="qian",1,IF(F102="liang",10,IF(F102="jin",160,0)))))</x:f>
        <x:v>2</x:v>
      </x:c>
      <x:c r="I102" s="86" t="n">
        <x:f>IF(H102="","",H102*IFERROR(INDEX('Herb'!$L$2:$L$115,MATCH(C102,'Herb'!$A$2:$A$115,0)),0))</x:f>
        <x:v>4</x:v>
      </x:c>
      <x:c r="J102" s="86" t="n">
        <x:f>IF(H102="","",H102*IFERROR(INDEX('Herb'!$M$2:$M$115,MATCH(C102,'Herb'!$A$2:$A$115,0)),0))</x:f>
        <x:v>8</x:v>
      </x:c>
    </x:row>
    <x:row r="103">
      <x:c r="A103" s="10" t="s">
        <x:v>848</x:v>
      </x:c>
      <x:c r="B103" s="10" t="s">
        <x:v>1137</x:v>
      </x:c>
      <x:c r="C103" s="10" t="s">
        <x:v>1138</x:v>
      </x:c>
      <x:c r="D103" s="13" t="s">
        <x:v>1139</x:v>
      </x:c>
      <x:c r="E103" s="10">
        <x:v>3</x:v>
      </x:c>
      <x:c r="F103" s="10" t="s">
        <x:v>1140</x:v>
      </x:c>
      <x:c r="G103" s="10" t="b">
        <x:v>1</x:v>
      </x:c>
      <x:c r="H103" s="86" t="n">
        <x:f>IF(E103="","",E103*IF(F103="fen",0.1,IF(F103="qian",1,IF(F103="liang",10,IF(F103="jin",160,0)))))</x:f>
        <x:v>3</x:v>
      </x:c>
      <x:c r="I103" s="86" t="n">
        <x:f>IF(H103="","",H103*IFERROR(INDEX('Herb'!$L$2:$L$115,MATCH(C103,'Herb'!$A$2:$A$115,0)),0))</x:f>
        <x:v>12</x:v>
      </x:c>
      <x:c r="J103" s="86" t="n">
        <x:f>IF(H103="","",H103*IFERROR(INDEX('Herb'!$M$2:$M$115,MATCH(C103,'Herb'!$A$2:$A$115,0)),0))</x:f>
        <x:v>21</x:v>
      </x:c>
    </x:row>
    <x:row r="104">
      <x:c r="A104" s="10" t="s">
        <x:v>848</x:v>
      </x:c>
      <x:c r="B104" s="10" t="s">
        <x:v>1141</x:v>
      </x:c>
      <x:c r="C104" s="10" t="s">
        <x:v>1142</x:v>
      </x:c>
      <x:c r="D104" s="13" t="s">
        <x:v>1139</x:v>
      </x:c>
      <x:c r="E104" s="10">
        <x:v>3</x:v>
      </x:c>
      <x:c r="F104" s="10" t="s">
        <x:v>1140</x:v>
      </x:c>
      <x:c r="G104" s="10" t="b">
        <x:v>1</x:v>
      </x:c>
      <x:c r="H104" s="86" t="n">
        <x:f>IF(E104="","",E104*IF(F104="fen",0.1,IF(F104="qian",1,IF(F104="liang",10,IF(F104="jin",160,0)))))</x:f>
        <x:v>3</x:v>
      </x:c>
      <x:c r="I104" s="86" t="n">
        <x:f>IF(H104="","",H104*IFERROR(INDEX('Herb'!$L$2:$L$115,MATCH(C104,'Herb'!$A$2:$A$115,0)),0))</x:f>
        <x:v>12</x:v>
      </x:c>
      <x:c r="J104" s="86" t="n">
        <x:f>IF(H104="","",H104*IFERROR(INDEX('Herb'!$M$2:$M$115,MATCH(C104,'Herb'!$A$2:$A$115,0)),0))</x:f>
        <x:v>18</x:v>
      </x:c>
    </x:row>
    <x:row r="105">
      <x:c r="A105" s="10" t="s">
        <x:v>848</x:v>
      </x:c>
      <x:c r="B105" s="10" t="s">
        <x:v>1249</x:v>
      </x:c>
      <x:c r="C105" s="10" t="s">
        <x:v>1250</x:v>
      </x:c>
      <x:c r="D105" s="14" t="s">
        <x:v>1143</x:v>
      </x:c>
      <x:c r="E105" s="10">
        <x:v>2</x:v>
      </x:c>
      <x:c r="F105" s="10" t="s">
        <x:v>1140</x:v>
      </x:c>
      <x:c r="G105" s="10" t="b">
        <x:v>1</x:v>
      </x:c>
      <x:c r="H105" s="86" t="n">
        <x:f>IF(E105="","",E105*IF(F105="fen",0.1,IF(F105="qian",1,IF(F105="liang",10,IF(F105="jin",160,0)))))</x:f>
        <x:v>2</x:v>
      </x:c>
      <x:c r="I105" s="86" t="n">
        <x:f>IF(H105="","",H105*IFERROR(INDEX('Herb'!$L$2:$L$115,MATCH(C105,'Herb'!$A$2:$A$115,0)),0))</x:f>
        <x:v>6</x:v>
      </x:c>
      <x:c r="J105" s="86" t="n">
        <x:f>IF(H105="","",H105*IFERROR(INDEX('Herb'!$M$2:$M$115,MATCH(C105,'Herb'!$A$2:$A$115,0)),0))</x:f>
        <x:v>12</x:v>
      </x:c>
    </x:row>
    <x:row r="106">
      <x:c r="A106" s="10" t="s">
        <x:v>848</x:v>
      </x:c>
      <x:c r="B106" s="10" t="s">
        <x:v>1251</x:v>
      </x:c>
      <x:c r="C106" s="10" t="s">
        <x:v>1252</x:v>
      </x:c>
      <x:c r="D106" s="14" t="s">
        <x:v>1143</x:v>
      </x:c>
      <x:c r="E106" s="10">
        <x:v>2</x:v>
      </x:c>
      <x:c r="F106" s="10" t="s">
        <x:v>1140</x:v>
      </x:c>
      <x:c r="G106" s="10" t="b">
        <x:v>1</x:v>
      </x:c>
      <x:c r="H106" s="86" t="n">
        <x:f>IF(E106="","",E106*IF(F106="fen",0.1,IF(F106="qian",1,IF(F106="liang",10,IF(F106="jin",160,0)))))</x:f>
        <x:v>2</x:v>
      </x:c>
      <x:c r="I106" s="86" t="n">
        <x:f>IF(H106="","",H106*IFERROR(INDEX('Herb'!$L$2:$L$115,MATCH(C106,'Herb'!$A$2:$A$115,0)),0))</x:f>
        <x:v>16</x:v>
      </x:c>
      <x:c r="J106" s="86" t="n">
        <x:f>IF(H106="","",H106*IFERROR(INDEX('Herb'!$M$2:$M$115,MATCH(C106,'Herb'!$A$2:$A$115,0)),0))</x:f>
        <x:v>28</x:v>
      </x:c>
    </x:row>
    <x:row r="107">
      <x:c r="A107" s="10" t="s">
        <x:v>848</x:v>
      </x:c>
      <x:c r="B107" s="10" t="s">
        <x:v>1150</x:v>
      </x:c>
      <x:c r="C107" s="10" t="s">
        <x:v>1151</x:v>
      </x:c>
      <x:c r="D107" s="15" t="s">
        <x:v>1146</x:v>
      </x:c>
      <x:c r="E107" s="10">
        <x:v>3</x:v>
      </x:c>
      <x:c r="F107" s="10" t="s">
        <x:v>1140</x:v>
      </x:c>
      <x:c r="G107" s="10" t="b">
        <x:v>1</x:v>
      </x:c>
      <x:c r="H107" s="86" t="n">
        <x:f>IF(E107="","",E107*IF(F107="fen",0.1,IF(F107="qian",1,IF(F107="liang",10,IF(F107="jin",160,0)))))</x:f>
        <x:v>3</x:v>
      </x:c>
      <x:c r="I107" s="86" t="n">
        <x:f>IF(H107="","",H107*IFERROR(INDEX('Herb'!$L$2:$L$115,MATCH(C107,'Herb'!$A$2:$A$115,0)),0))</x:f>
        <x:v>15</x:v>
      </x:c>
      <x:c r="J107" s="86" t="n">
        <x:f>IF(H107="","",H107*IFERROR(INDEX('Herb'!$M$2:$M$115,MATCH(C107,'Herb'!$A$2:$A$115,0)),0))</x:f>
        <x:v>24</x:v>
      </x:c>
    </x:row>
    <x:row r="108">
      <x:c r="A108" s="10" t="s">
        <x:v>848</x:v>
      </x:c>
      <x:c r="B108" s="10" t="s">
        <x:v>1227</x:v>
      </x:c>
      <x:c r="C108" s="10" t="s">
        <x:v>1228</x:v>
      </x:c>
      <x:c r="D108" s="15" t="s">
        <x:v>1146</x:v>
      </x:c>
      <x:c r="E108" s="10">
        <x:v>2</x:v>
      </x:c>
      <x:c r="F108" s="10" t="s">
        <x:v>1140</x:v>
      </x:c>
      <x:c r="G108" s="10" t="b">
        <x:v>1</x:v>
      </x:c>
      <x:c r="H108" s="86" t="n">
        <x:f>IF(E108="","",E108*IF(F108="fen",0.1,IF(F108="qian",1,IF(F108="liang",10,IF(F108="jin",160,0)))))</x:f>
        <x:v>2</x:v>
      </x:c>
      <x:c r="I108" s="86" t="n">
        <x:f>IF(H108="","",H108*IFERROR(INDEX('Herb'!$L$2:$L$115,MATCH(C108,'Herb'!$A$2:$A$115,0)),0))</x:f>
        <x:v>16</x:v>
      </x:c>
      <x:c r="J108" s="86" t="n">
        <x:f>IF(H108="","",H108*IFERROR(INDEX('Herb'!$M$2:$M$115,MATCH(C108,'Herb'!$A$2:$A$115,0)),0))</x:f>
        <x:v>26</x:v>
      </x:c>
    </x:row>
    <x:row r="109">
      <x:c r="A109" s="10" t="s">
        <x:v>848</x:v>
      </x:c>
      <x:c r="B109" s="10" t="s">
        <x:v>25</x:v>
      </x:c>
      <x:c r="C109" s="10" t="s">
        <x:v>24</x:v>
      </x:c>
      <x:c r="D109" s="15" t="s">
        <x:v>1146</x:v>
      </x:c>
      <x:c r="E109" s="10">
        <x:v>3</x:v>
      </x:c>
      <x:c r="F109" s="10" t="s">
        <x:v>1140</x:v>
      </x:c>
      <x:c r="G109" s="10" t="b">
        <x:v>1</x:v>
      </x:c>
      <x:c r="H109" s="86" t="n">
        <x:f>IF(E109="","",E109*IF(F109="fen",0.1,IF(F109="qian",1,IF(F109="liang",10,IF(F109="jin",160,0)))))</x:f>
        <x:v>3</x:v>
      </x:c>
      <x:c r="I109" s="86" t="n">
        <x:f>IF(H109="","",H109*IFERROR(INDEX('Herb'!$L$2:$L$115,MATCH(C109,'Herb'!$A$2:$A$115,0)),0))</x:f>
        <x:v>15</x:v>
      </x:c>
      <x:c r="J109" s="86" t="n">
        <x:f>IF(H109="","",H109*IFERROR(INDEX('Herb'!$M$2:$M$115,MATCH(C109,'Herb'!$A$2:$A$115,0)),0))</x:f>
        <x:v>27</x:v>
      </x:c>
    </x:row>
    <x:row r="110">
      <x:c r="A110" s="10" t="s">
        <x:v>848</x:v>
      </x:c>
      <x:c r="B110" s="10" t="s">
        <x:v>1147</x:v>
      </x:c>
      <x:c r="C110" s="10" t="s">
        <x:v>1148</x:v>
      </x:c>
      <x:c r="D110" s="16" t="s">
        <x:v>1149</x:v>
      </x:c>
      <x:c r="E110" s="10">
        <x:v>2</x:v>
      </x:c>
      <x:c r="F110" s="10" t="s">
        <x:v>1140</x:v>
      </x:c>
      <x:c r="G110" s="10" t="b">
        <x:v>1</x:v>
      </x:c>
      <x:c r="H110" s="86" t="n">
        <x:f>IF(E110="","",E110*IF(F110="fen",0.1,IF(F110="qian",1,IF(F110="liang",10,IF(F110="jin",160,0)))))</x:f>
        <x:v>2</x:v>
      </x:c>
      <x:c r="I110" s="86" t="n">
        <x:f>IF(H110="","",H110*IFERROR(INDEX('Herb'!$L$2:$L$115,MATCH(C110,'Herb'!$A$2:$A$115,0)),0))</x:f>
        <x:v>4</x:v>
      </x:c>
      <x:c r="J110" s="86" t="n">
        <x:f>IF(H110="","",H110*IFERROR(INDEX('Herb'!$M$2:$M$115,MATCH(C110,'Herb'!$A$2:$A$115,0)),0))</x:f>
        <x:v>8</x:v>
      </x:c>
    </x:row>
    <x:row r="111">
      <x:c r="A111" s="10" t="s">
        <x:v>853</x:v>
      </x:c>
      <x:c r="B111" s="10" t="s">
        <x:v>306</x:v>
      </x:c>
      <x:c r="C111" s="10" t="s">
        <x:v>1224</x:v>
      </x:c>
      <x:c r="D111" s="13" t="s">
        <x:v>1139</x:v>
      </x:c>
      <x:c r="E111" s="10">
        <x:v>4</x:v>
      </x:c>
      <x:c r="F111" s="10" t="s">
        <x:v>1140</x:v>
      </x:c>
      <x:c r="G111" s="10" t="b">
        <x:v>1</x:v>
      </x:c>
      <x:c r="H111" s="86" t="n">
        <x:f>IF(E111="","",E111*IF(F111="fen",0.1,IF(F111="qian",1,IF(F111="liang",10,IF(F111="jin",160,0)))))</x:f>
        <x:v>4</x:v>
      </x:c>
      <x:c r="I111" s="86" t="n">
        <x:f>IF(H111="","",H111*IFERROR(INDEX('Herb'!$L$2:$L$115,MATCH(C111,'Herb'!$A$2:$A$115,0)),0))</x:f>
        <x:v>240</x:v>
      </x:c>
      <x:c r="J111" s="86" t="n">
        <x:f>IF(H111="","",H111*IFERROR(INDEX('Herb'!$M$2:$M$115,MATCH(C111,'Herb'!$A$2:$A$115,0)),0))</x:f>
        <x:v>308</x:v>
      </x:c>
    </x:row>
    <x:row r="112">
      <x:c r="A112" s="10" t="s">
        <x:v>853</x:v>
      </x:c>
      <x:c r="B112" s="10" t="s">
        <x:v>1195</x:v>
      </x:c>
      <x:c r="C112" s="10" t="s">
        <x:v>1196</x:v>
      </x:c>
      <x:c r="D112" s="14" t="s">
        <x:v>1143</x:v>
      </x:c>
      <x:c r="E112" s="10">
        <x:v>3</x:v>
      </x:c>
      <x:c r="F112" s="10" t="s">
        <x:v>1140</x:v>
      </x:c>
      <x:c r="G112" s="10" t="b">
        <x:v>1</x:v>
      </x:c>
      <x:c r="H112" s="86" t="n">
        <x:f>IF(E112="","",E112*IF(F112="fen",0.1,IF(F112="qian",1,IF(F112="liang",10,IF(F112="jin",160,0)))))</x:f>
        <x:v>3</x:v>
      </x:c>
      <x:c r="I112" s="86" t="n">
        <x:f>IF(H112="","",H112*IFERROR(INDEX('Herb'!$L$2:$L$115,MATCH(C112,'Herb'!$A$2:$A$115,0)),0))</x:f>
        <x:v>18</x:v>
      </x:c>
      <x:c r="J112" s="86" t="n">
        <x:f>IF(H112="","",H112*IFERROR(INDEX('Herb'!$M$2:$M$115,MATCH(C112,'Herb'!$A$2:$A$115,0)),0))</x:f>
        <x:v>30</x:v>
      </x:c>
    </x:row>
    <x:row r="113">
      <x:c r="A113" s="10" t="s">
        <x:v>853</x:v>
      </x:c>
      <x:c r="B113" s="10" t="s">
        <x:v>1189</x:v>
      </x:c>
      <x:c r="C113" s="10" t="s">
        <x:v>1190</x:v>
      </x:c>
      <x:c r="D113" s="15" t="s">
        <x:v>1146</x:v>
      </x:c>
      <x:c r="E113" s="10">
        <x:v>3</x:v>
      </x:c>
      <x:c r="F113" s="10" t="s">
        <x:v>1140</x:v>
      </x:c>
      <x:c r="G113" s="10" t="b">
        <x:v>1</x:v>
      </x:c>
      <x:c r="H113" s="86" t="n">
        <x:f>IF(E113="","",E113*IF(F113="fen",0.1,IF(F113="qian",1,IF(F113="liang",10,IF(F113="jin",160,0)))))</x:f>
        <x:v>3</x:v>
      </x:c>
      <x:c r="I113" s="86" t="n">
        <x:f>IF(H113="","",H113*IFERROR(INDEX('Herb'!$L$2:$L$115,MATCH(C113,'Herb'!$A$2:$A$115,0)),0))</x:f>
        <x:v>15</x:v>
      </x:c>
      <x:c r="J113" s="86" t="n">
        <x:f>IF(H113="","",H113*IFERROR(INDEX('Herb'!$M$2:$M$115,MATCH(C113,'Herb'!$A$2:$A$115,0)),0))</x:f>
        <x:v>24</x:v>
      </x:c>
    </x:row>
    <x:row r="114">
      <x:c r="A114" s="10" t="s">
        <x:v>853</x:v>
      </x:c>
      <x:c r="B114" s="10" t="s">
        <x:v>1147</x:v>
      </x:c>
      <x:c r="C114" s="10" t="s">
        <x:v>1148</x:v>
      </x:c>
      <x:c r="D114" s="16" t="s">
        <x:v>1149</x:v>
      </x:c>
      <x:c r="E114" s="10">
        <x:v>2</x:v>
      </x:c>
      <x:c r="F114" s="10" t="s">
        <x:v>1140</x:v>
      </x:c>
      <x:c r="G114" s="10" t="b">
        <x:v>1</x:v>
      </x:c>
      <x:c r="H114" s="86" t="n">
        <x:f>IF(E114="","",E114*IF(F114="fen",0.1,IF(F114="qian",1,IF(F114="liang",10,IF(F114="jin",160,0)))))</x:f>
        <x:v>2</x:v>
      </x:c>
      <x:c r="I114" s="86" t="n">
        <x:f>IF(H114="","",H114*IFERROR(INDEX('Herb'!$L$2:$L$115,MATCH(C114,'Herb'!$A$2:$A$115,0)),0))</x:f>
        <x:v>4</x:v>
      </x:c>
      <x:c r="J114" s="86" t="n">
        <x:f>IF(H114="","",H114*IFERROR(INDEX('Herb'!$M$2:$M$115,MATCH(C114,'Herb'!$A$2:$A$115,0)),0))</x:f>
        <x:v>8</x:v>
      </x:c>
    </x:row>
    <x:row r="115">
      <x:c r="A115" s="10" t="s">
        <x:v>857</x:v>
      </x:c>
      <x:c r="B115" s="10" t="s">
        <x:v>1253</x:v>
      </x:c>
      <x:c r="C115" s="10" t="s">
        <x:v>1254</x:v>
      </x:c>
      <x:c r="D115" s="13" t="s">
        <x:v>1139</x:v>
      </x:c>
      <x:c r="E115" s="10">
        <x:v>3</x:v>
      </x:c>
      <x:c r="F115" s="10" t="s">
        <x:v>1140</x:v>
      </x:c>
      <x:c r="G115" s="10" t="b">
        <x:v>1</x:v>
      </x:c>
      <x:c r="H115" s="86" t="n">
        <x:f>IF(E115="","",E115*IF(F115="fen",0.1,IF(F115="qian",1,IF(F115="liang",10,IF(F115="jin",160,0)))))</x:f>
        <x:v>3</x:v>
      </x:c>
      <x:c r="I115" s="86" t="n">
        <x:f>IF(H115="","",H115*IFERROR(INDEX('Herb'!$L$2:$L$115,MATCH(C115,'Herb'!$A$2:$A$115,0)),0))</x:f>
        <x:v>15</x:v>
      </x:c>
      <x:c r="J115" s="86" t="n">
        <x:f>IF(H115="","",H115*IFERROR(INDEX('Herb'!$M$2:$M$115,MATCH(C115,'Herb'!$A$2:$A$115,0)),0))</x:f>
        <x:v>27</x:v>
      </x:c>
    </x:row>
    <x:row r="116">
      <x:c r="A116" s="10" t="s">
        <x:v>857</x:v>
      </x:c>
      <x:c r="B116" s="10" t="s">
        <x:v>1255</x:v>
      </x:c>
      <x:c r="C116" s="10" t="s">
        <x:v>1256</x:v>
      </x:c>
      <x:c r="D116" s="14" t="s">
        <x:v>1143</x:v>
      </x:c>
      <x:c r="E116" s="10">
        <x:v>2</x:v>
      </x:c>
      <x:c r="F116" s="10" t="s">
        <x:v>1140</x:v>
      </x:c>
      <x:c r="G116" s="10" t="b">
        <x:v>1</x:v>
      </x:c>
      <x:c r="H116" s="86" t="n">
        <x:f>IF(E116="","",E116*IF(F116="fen",0.1,IF(F116="qian",1,IF(F116="liang",10,IF(F116="jin",160,0)))))</x:f>
        <x:v>2</x:v>
      </x:c>
      <x:c r="I116" s="86" t="n">
        <x:f>IF(H116="","",H116*IFERROR(INDEX('Herb'!$L$2:$L$115,MATCH(C116,'Herb'!$A$2:$A$115,0)),0))</x:f>
        <x:v>14</x:v>
      </x:c>
      <x:c r="J116" s="86" t="n">
        <x:f>IF(H116="","",H116*IFERROR(INDEX('Herb'!$M$2:$M$115,MATCH(C116,'Herb'!$A$2:$A$115,0)),0))</x:f>
        <x:v>24</x:v>
      </x:c>
    </x:row>
    <x:row r="117">
      <x:c r="A117" s="10" t="s">
        <x:v>857</x:v>
      </x:c>
      <x:c r="B117" s="10" t="s">
        <x:v>23</x:v>
      </x:c>
      <x:c r="C117" s="10" t="s">
        <x:v>22</x:v>
      </x:c>
      <x:c r="D117" s="15" t="s">
        <x:v>1146</x:v>
      </x:c>
      <x:c r="E117" s="10">
        <x:v>2</x:v>
      </x:c>
      <x:c r="F117" s="10" t="s">
        <x:v>1140</x:v>
      </x:c>
      <x:c r="G117" s="10" t="b">
        <x:v>1</x:v>
      </x:c>
      <x:c r="H117" s="86" t="n">
        <x:f>IF(E117="","",E117*IF(F117="fen",0.1,IF(F117="qian",1,IF(F117="liang",10,IF(F117="jin",160,0)))))</x:f>
        <x:v>2</x:v>
      </x:c>
      <x:c r="I117" s="86" t="n">
        <x:f>IF(H117="","",H117*IFERROR(INDEX('Herb'!$L$2:$L$115,MATCH(C117,'Herb'!$A$2:$A$115,0)),0))</x:f>
        <x:v>6</x:v>
      </x:c>
      <x:c r="J117" s="86" t="n">
        <x:f>IF(H117="","",H117*IFERROR(INDEX('Herb'!$M$2:$M$115,MATCH(C117,'Herb'!$A$2:$A$115,0)),0))</x:f>
        <x:v>10</x:v>
      </x:c>
    </x:row>
    <x:row r="118">
      <x:c r="A118" s="10" t="s">
        <x:v>857</x:v>
      </x:c>
      <x:c r="B118" s="10" t="s">
        <x:v>1147</x:v>
      </x:c>
      <x:c r="C118" s="10" t="s">
        <x:v>1148</x:v>
      </x:c>
      <x:c r="D118" s="16" t="s">
        <x:v>1149</x:v>
      </x:c>
      <x:c r="E118" s="10">
        <x:v>1</x:v>
      </x:c>
      <x:c r="F118" s="10" t="s">
        <x:v>1140</x:v>
      </x:c>
      <x:c r="G118" s="10" t="b">
        <x:v>1</x:v>
      </x:c>
      <x:c r="H118" s="86" t="n">
        <x:f>IF(E118="","",E118*IF(F118="fen",0.1,IF(F118="qian",1,IF(F118="liang",10,IF(F118="jin",160,0)))))</x:f>
        <x:v>1</x:v>
      </x:c>
      <x:c r="I118" s="86" t="n">
        <x:f>IF(H118="","",H118*IFERROR(INDEX('Herb'!$L$2:$L$115,MATCH(C118,'Herb'!$A$2:$A$115,0)),0))</x:f>
        <x:v>2</x:v>
      </x:c>
      <x:c r="J118" s="86" t="n">
        <x:f>IF(H118="","",H118*IFERROR(INDEX('Herb'!$M$2:$M$115,MATCH(C118,'Herb'!$A$2:$A$115,0)),0))</x:f>
        <x:v>4</x:v>
      </x:c>
    </x:row>
    <x:row r="119">
      <x:c r="A119" s="10" t="s">
        <x:v>862</x:v>
      </x:c>
      <x:c r="B119" s="10" t="s">
        <x:v>1249</x:v>
      </x:c>
      <x:c r="C119" s="10" t="s">
        <x:v>1250</x:v>
      </x:c>
      <x:c r="D119" s="13" t="s">
        <x:v>1139</x:v>
      </x:c>
      <x:c r="E119" s="10">
        <x:v>5</x:v>
      </x:c>
      <x:c r="F119" s="10" t="s">
        <x:v>1140</x:v>
      </x:c>
      <x:c r="G119" s="10" t="b">
        <x:v>1</x:v>
      </x:c>
      <x:c r="H119" s="86" t="n">
        <x:f>IF(E119="","",E119*IF(F119="fen",0.1,IF(F119="qian",1,IF(F119="liang",10,IF(F119="jin",160,0)))))</x:f>
        <x:v>5</x:v>
      </x:c>
      <x:c r="I119" s="86" t="n">
        <x:f>IF(H119="","",H119*IFERROR(INDEX('Herb'!$L$2:$L$115,MATCH(C119,'Herb'!$A$2:$A$115,0)),0))</x:f>
        <x:v>15</x:v>
      </x:c>
      <x:c r="J119" s="86" t="n">
        <x:f>IF(H119="","",H119*IFERROR(INDEX('Herb'!$M$2:$M$115,MATCH(C119,'Herb'!$A$2:$A$115,0)),0))</x:f>
        <x:v>30</x:v>
      </x:c>
    </x:row>
    <x:row r="120">
      <x:c r="A120" s="10" t="s">
        <x:v>862</x:v>
      </x:c>
      <x:c r="B120" s="10" t="s">
        <x:v>306</x:v>
      </x:c>
      <x:c r="C120" s="10" t="s">
        <x:v>1224</x:v>
      </x:c>
      <x:c r="D120" s="14" t="s">
        <x:v>1143</x:v>
      </x:c>
      <x:c r="E120" s="10">
        <x:v>5</x:v>
      </x:c>
      <x:c r="F120" s="10" t="s">
        <x:v>1140</x:v>
      </x:c>
      <x:c r="G120" s="10" t="b">
        <x:v>1</x:v>
      </x:c>
      <x:c r="H120" s="86" t="n">
        <x:f>IF(E120="","",E120*IF(F120="fen",0.1,IF(F120="qian",1,IF(F120="liang",10,IF(F120="jin",160,0)))))</x:f>
        <x:v>5</x:v>
      </x:c>
      <x:c r="I120" s="86" t="n">
        <x:f>IF(H120="","",H120*IFERROR(INDEX('Herb'!$L$2:$L$115,MATCH(C120,'Herb'!$A$2:$A$115,0)),0))</x:f>
        <x:v>300</x:v>
      </x:c>
      <x:c r="J120" s="86" t="n">
        <x:f>IF(H120="","",H120*IFERROR(INDEX('Herb'!$M$2:$M$115,MATCH(C120,'Herb'!$A$2:$A$115,0)),0))</x:f>
        <x:v>385</x:v>
      </x:c>
    </x:row>
    <x:row r="121">
      <x:c r="A121" s="10" t="s">
        <x:v>862</x:v>
      </x:c>
      <x:c r="B121" s="10" t="s">
        <x:v>1195</x:v>
      </x:c>
      <x:c r="C121" s="10" t="s">
        <x:v>1196</x:v>
      </x:c>
      <x:c r="D121" s="15" t="s">
        <x:v>1146</x:v>
      </x:c>
      <x:c r="E121" s="10">
        <x:v>5</x:v>
      </x:c>
      <x:c r="F121" s="10" t="s">
        <x:v>1140</x:v>
      </x:c>
      <x:c r="G121" s="10" t="b">
        <x:v>1</x:v>
      </x:c>
      <x:c r="H121" s="86" t="n">
        <x:f>IF(E121="","",E121*IF(F121="fen",0.1,IF(F121="qian",1,IF(F121="liang",10,IF(F121="jin",160,0)))))</x:f>
        <x:v>5</x:v>
      </x:c>
      <x:c r="I121" s="86" t="n">
        <x:f>IF(H121="","",H121*IFERROR(INDEX('Herb'!$L$2:$L$115,MATCH(C121,'Herb'!$A$2:$A$115,0)),0))</x:f>
        <x:v>30</x:v>
      </x:c>
      <x:c r="J121" s="86" t="n">
        <x:f>IF(H121="","",H121*IFERROR(INDEX('Herb'!$M$2:$M$115,MATCH(C121,'Herb'!$A$2:$A$115,0)),0))</x:f>
        <x:v>50</x:v>
      </x:c>
    </x:row>
    <x:row r="122">
      <x:c r="A122" s="10" t="s">
        <x:v>862</x:v>
      </x:c>
      <x:c r="B122" s="10" t="s">
        <x:v>1147</x:v>
      </x:c>
      <x:c r="C122" s="10" t="s">
        <x:v>1148</x:v>
      </x:c>
      <x:c r="D122" s="16" t="s">
        <x:v>1149</x:v>
      </x:c>
      <x:c r="E122" s="10">
        <x:v>5</x:v>
      </x:c>
      <x:c r="F122" s="10" t="s">
        <x:v>1140</x:v>
      </x:c>
      <x:c r="G122" s="10" t="b">
        <x:v>1</x:v>
      </x:c>
      <x:c r="H122" s="86" t="n">
        <x:f>IF(E122="","",E122*IF(F122="fen",0.1,IF(F122="qian",1,IF(F122="liang",10,IF(F122="jin",160,0)))))</x:f>
        <x:v>5</x:v>
      </x:c>
      <x:c r="I122" s="86" t="n">
        <x:f>IF(H122="","",H122*IFERROR(INDEX('Herb'!$L$2:$L$115,MATCH(C122,'Herb'!$A$2:$A$115,0)),0))</x:f>
        <x:v>10</x:v>
      </x:c>
      <x:c r="J122" s="86" t="n">
        <x:f>IF(H122="","",H122*IFERROR(INDEX('Herb'!$M$2:$M$115,MATCH(C122,'Herb'!$A$2:$A$115,0)),0))</x:f>
        <x:v>20</x:v>
      </x:c>
    </x:row>
    <x:row r="123">
      <x:c r="A123" s="10" t="s">
        <x:v>865</x:v>
      </x:c>
      <x:c r="B123" s="10" t="s">
        <x:v>306</x:v>
      </x:c>
      <x:c r="C123" s="10" t="s">
        <x:v>1224</x:v>
      </x:c>
      <x:c r="D123" s="13" t="s">
        <x:v>1139</x:v>
      </x:c>
      <x:c r="E123" s="10">
        <x:v>5</x:v>
      </x:c>
      <x:c r="F123" s="10" t="s">
        <x:v>1140</x:v>
      </x:c>
      <x:c r="G123" s="10" t="b">
        <x:v>1</x:v>
      </x:c>
      <x:c r="H123" s="86" t="n">
        <x:f>IF(E123="","",E123*IF(F123="fen",0.1,IF(F123="qian",1,IF(F123="liang",10,IF(F123="jin",160,0)))))</x:f>
        <x:v>5</x:v>
      </x:c>
      <x:c r="I123" s="86" t="n">
        <x:f>IF(H123="","",H123*IFERROR(INDEX('Herb'!$L$2:$L$115,MATCH(C123,'Herb'!$A$2:$A$115,0)),0))</x:f>
        <x:v>300</x:v>
      </x:c>
      <x:c r="J123" s="86" t="n">
        <x:f>IF(H123="","",H123*IFERROR(INDEX('Herb'!$M$2:$M$115,MATCH(C123,'Herb'!$A$2:$A$115,0)),0))</x:f>
        <x:v>385</x:v>
      </x:c>
    </x:row>
    <x:row r="124">
      <x:c r="A124" s="10" t="s">
        <x:v>865</x:v>
      </x:c>
      <x:c r="B124" s="10" t="s">
        <x:v>1189</x:v>
      </x:c>
      <x:c r="C124" s="10" t="s">
        <x:v>1190</x:v>
      </x:c>
      <x:c r="D124" s="13" t="s">
        <x:v>1139</x:v>
      </x:c>
      <x:c r="E124" s="10">
        <x:v>5</x:v>
      </x:c>
      <x:c r="F124" s="10" t="s">
        <x:v>1140</x:v>
      </x:c>
      <x:c r="G124" s="10" t="b">
        <x:v>1</x:v>
      </x:c>
      <x:c r="H124" s="86" t="n">
        <x:f>IF(E124="","",E124*IF(F124="fen",0.1,IF(F124="qian",1,IF(F124="liang",10,IF(F124="jin",160,0)))))</x:f>
        <x:v>5</x:v>
      </x:c>
      <x:c r="I124" s="86" t="n">
        <x:f>IF(H124="","",H124*IFERROR(INDEX('Herb'!$L$2:$L$115,MATCH(C124,'Herb'!$A$2:$A$115,0)),0))</x:f>
        <x:v>25</x:v>
      </x:c>
      <x:c r="J124" s="86" t="n">
        <x:f>IF(H124="","",H124*IFERROR(INDEX('Herb'!$M$2:$M$115,MATCH(C124,'Herb'!$A$2:$A$115,0)),0))</x:f>
        <x:v>40</x:v>
      </x:c>
    </x:row>
    <x:row r="125">
      <x:c r="A125" s="10" t="s">
        <x:v>865</x:v>
      </x:c>
      <x:c r="B125" s="10" t="s">
        <x:v>1195</x:v>
      </x:c>
      <x:c r="C125" s="10" t="s">
        <x:v>1196</x:v>
      </x:c>
      <x:c r="D125" s="13" t="s">
        <x:v>1139</x:v>
      </x:c>
      <x:c r="E125" s="10">
        <x:v>5</x:v>
      </x:c>
      <x:c r="F125" s="10" t="s">
        <x:v>1140</x:v>
      </x:c>
      <x:c r="G125" s="10" t="b">
        <x:v>1</x:v>
      </x:c>
      <x:c r="H125" s="86" t="n">
        <x:f>IF(E125="","",E125*IF(F125="fen",0.1,IF(F125="qian",1,IF(F125="liang",10,IF(F125="jin",160,0)))))</x:f>
        <x:v>5</x:v>
      </x:c>
      <x:c r="I125" s="86" t="n">
        <x:f>IF(H125="","",H125*IFERROR(INDEX('Herb'!$L$2:$L$115,MATCH(C125,'Herb'!$A$2:$A$115,0)),0))</x:f>
        <x:v>30</x:v>
      </x:c>
      <x:c r="J125" s="86" t="n">
        <x:f>IF(H125="","",H125*IFERROR(INDEX('Herb'!$M$2:$M$115,MATCH(C125,'Herb'!$A$2:$A$115,0)),0))</x:f>
        <x:v>50</x:v>
      </x:c>
    </x:row>
    <x:row r="126">
      <x:c r="A126" s="10" t="s">
        <x:v>865</x:v>
      </x:c>
      <x:c r="B126" s="10" t="s">
        <x:v>1257</x:v>
      </x:c>
      <x:c r="C126" s="10" t="s">
        <x:v>1258</x:v>
      </x:c>
      <x:c r="D126" s="14" t="s">
        <x:v>1143</x:v>
      </x:c>
      <x:c r="E126" s="10">
        <x:v>5</x:v>
      </x:c>
      <x:c r="F126" s="10" t="s">
        <x:v>1140</x:v>
      </x:c>
      <x:c r="G126" s="10" t="b">
        <x:v>1</x:v>
      </x:c>
      <x:c r="H126" s="86" t="n">
        <x:f>IF(E126="","",E126*IF(F126="fen",0.1,IF(F126="qian",1,IF(F126="liang",10,IF(F126="jin",160,0)))))</x:f>
        <x:v>5</x:v>
      </x:c>
      <x:c r="I126" s="86" t="n">
        <x:f>IF(H126="","",H126*IFERROR(INDEX('Herb'!$L$2:$L$115,MATCH(C126,'Herb'!$A$2:$A$115,0)),0))</x:f>
        <x:v>20</x:v>
      </x:c>
      <x:c r="J126" s="86" t="n">
        <x:f>IF(H126="","",H126*IFERROR(INDEX('Herb'!$M$2:$M$115,MATCH(C126,'Herb'!$A$2:$A$115,0)),0))</x:f>
        <x:v>35</x:v>
      </x:c>
    </x:row>
    <x:row r="127">
      <x:c r="A127" s="10" t="s">
        <x:v>865</x:v>
      </x:c>
      <x:c r="B127" s="10" t="s">
        <x:v>1259</x:v>
      </x:c>
      <x:c r="C127" s="10" t="s">
        <x:v>1260</x:v>
      </x:c>
      <x:c r="D127" s="14" t="s">
        <x:v>1143</x:v>
      </x:c>
      <x:c r="E127" s="10">
        <x:v>3</x:v>
      </x:c>
      <x:c r="F127" s="10" t="s">
        <x:v>1140</x:v>
      </x:c>
      <x:c r="G127" s="10" t="b">
        <x:v>1</x:v>
      </x:c>
      <x:c r="H127" s="86" t="n">
        <x:f>IF(E127="","",E127*IF(F127="fen",0.1,IF(F127="qian",1,IF(F127="liang",10,IF(F127="jin",160,0)))))</x:f>
        <x:v>3</x:v>
      </x:c>
      <x:c r="I127" s="86" t="n">
        <x:f>IF(H127="","",H127*IFERROR(INDEX('Herb'!$L$2:$L$115,MATCH(C127,'Herb'!$A$2:$A$115,0)),0))</x:f>
        <x:v>15</x:v>
      </x:c>
      <x:c r="J127" s="86" t="n">
        <x:f>IF(H127="","",H127*IFERROR(INDEX('Herb'!$M$2:$M$115,MATCH(C127,'Herb'!$A$2:$A$115,0)),0))</x:f>
        <x:v>27</x:v>
      </x:c>
    </x:row>
    <x:row r="128">
      <x:c r="A128" s="10" t="s">
        <x:v>865</x:v>
      </x:c>
      <x:c r="B128" s="10" t="s">
        <x:v>1239</x:v>
      </x:c>
      <x:c r="C128" s="10" t="s">
        <x:v>1240</x:v>
      </x:c>
      <x:c r="D128" s="14" t="s">
        <x:v>1143</x:v>
      </x:c>
      <x:c r="E128" s="10">
        <x:v>3</x:v>
      </x:c>
      <x:c r="F128" s="10" t="s">
        <x:v>1140</x:v>
      </x:c>
      <x:c r="G128" s="10" t="b">
        <x:v>1</x:v>
      </x:c>
      <x:c r="H128" s="86" t="n">
        <x:f>IF(E128="","",E128*IF(F128="fen",0.1,IF(F128="qian",1,IF(F128="liang",10,IF(F128="jin",160,0)))))</x:f>
        <x:v>3</x:v>
      </x:c>
      <x:c r="I128" s="86" t="n">
        <x:f>IF(H128="","",H128*IFERROR(INDEX('Herb'!$L$2:$L$115,MATCH(C128,'Herb'!$A$2:$A$115,0)),0))</x:f>
        <x:v>6</x:v>
      </x:c>
      <x:c r="J128" s="86" t="n">
        <x:f>IF(H128="","",H128*IFERROR(INDEX('Herb'!$M$2:$M$115,MATCH(C128,'Herb'!$A$2:$A$115,0)),0))</x:f>
        <x:v>12</x:v>
      </x:c>
    </x:row>
    <x:row r="129">
      <x:c r="A129" s="10" t="s">
        <x:v>865</x:v>
      </x:c>
      <x:c r="B129" s="10" t="s">
        <x:v>1210</x:v>
      </x:c>
      <x:c r="C129" s="10" t="s">
        <x:v>1211</x:v>
      </x:c>
      <x:c r="D129" s="14" t="s">
        <x:v>1143</x:v>
      </x:c>
      <x:c r="E129" s="10">
        <x:v>7</x:v>
      </x:c>
      <x:c r="F129" s="10" t="s">
        <x:v>1140</x:v>
      </x:c>
      <x:c r="G129" s="10" t="b">
        <x:v>1</x:v>
      </x:c>
      <x:c r="H129" s="86" t="n">
        <x:f>IF(E129="","",E129*IF(F129="fen",0.1,IF(F129="qian",1,IF(F129="liang",10,IF(F129="jin",160,0)))))</x:f>
        <x:v>7</x:v>
      </x:c>
      <x:c r="I129" s="86" t="n">
        <x:f>IF(H129="","",H129*IFERROR(INDEX('Herb'!$L$2:$L$115,MATCH(C129,'Herb'!$A$2:$A$115,0)),0))</x:f>
        <x:v>14</x:v>
      </x:c>
      <x:c r="J129" s="86" t="n">
        <x:f>IF(H129="","",H129*IFERROR(INDEX('Herb'!$M$2:$M$115,MATCH(C129,'Herb'!$A$2:$A$115,0)),0))</x:f>
        <x:v>28</x:v>
      </x:c>
    </x:row>
    <x:row r="130">
      <x:c r="A130" s="10" t="s">
        <x:v>865</x:v>
      </x:c>
      <x:c r="B130" s="10" t="s">
        <x:v>1261</x:v>
      </x:c>
      <x:c r="C130" s="10" t="s">
        <x:v>1262</x:v>
      </x:c>
      <x:c r="D130" s="15" t="s">
        <x:v>1146</x:v>
      </x:c>
      <x:c r="E130" s="10">
        <x:v>2</x:v>
      </x:c>
      <x:c r="F130" s="10" t="s">
        <x:v>1140</x:v>
      </x:c>
      <x:c r="G130" s="10" t="b">
        <x:v>1</x:v>
      </x:c>
      <x:c r="H130" s="86" t="n">
        <x:f>IF(E130="","",E130*IF(F130="fen",0.1,IF(F130="qian",1,IF(F130="liang",10,IF(F130="jin",160,0)))))</x:f>
        <x:v>2</x:v>
      </x:c>
      <x:c r="I130" s="86" t="n">
        <x:f>IF(H130="","",H130*IFERROR(INDEX('Herb'!$L$2:$L$115,MATCH(C130,'Herb'!$A$2:$A$115,0)),0))</x:f>
        <x:v>20</x:v>
      </x:c>
      <x:c r="J130" s="86" t="n">
        <x:f>IF(H130="","",H130*IFERROR(INDEX('Herb'!$M$2:$M$115,MATCH(C130,'Herb'!$A$2:$A$115,0)),0))</x:f>
        <x:v>34</x:v>
      </x:c>
    </x:row>
    <x:row r="131">
      <x:c r="A131" s="10" t="s">
        <x:v>865</x:v>
      </x:c>
      <x:c r="B131" s="10" t="s">
        <x:v>1169</x:v>
      </x:c>
      <x:c r="C131" s="10" t="s">
        <x:v>1170</x:v>
      </x:c>
      <x:c r="D131" s="15" t="s">
        <x:v>1146</x:v>
      </x:c>
      <x:c r="E131" s="10">
        <x:v>2</x:v>
      </x:c>
      <x:c r="F131" s="10" t="s">
        <x:v>1140</x:v>
      </x:c>
      <x:c r="G131" s="10" t="b">
        <x:v>1</x:v>
      </x:c>
      <x:c r="H131" s="86" t="n">
        <x:f>IF(E131="","",E131*IF(F131="fen",0.1,IF(F131="qian",1,IF(F131="liang",10,IF(F131="jin",160,0)))))</x:f>
        <x:v>2</x:v>
      </x:c>
      <x:c r="I131" s="86" t="n">
        <x:f>IF(H131="","",H131*IFERROR(INDEX('Herb'!$L$2:$L$115,MATCH(C131,'Herb'!$A$2:$A$115,0)),0))</x:f>
        <x:v>8</x:v>
      </x:c>
      <x:c r="J131" s="86" t="n">
        <x:f>IF(H131="","",H131*IFERROR(INDEX('Herb'!$M$2:$M$115,MATCH(C131,'Herb'!$A$2:$A$115,0)),0))</x:f>
        <x:v>14</x:v>
      </x:c>
    </x:row>
    <x:row r="132">
      <x:c r="A132" s="10" t="s">
        <x:v>865</x:v>
      </x:c>
      <x:c r="B132" s="10" t="s">
        <x:v>1147</x:v>
      </x:c>
      <x:c r="C132" s="10" t="s">
        <x:v>1148</x:v>
      </x:c>
      <x:c r="D132" s="16" t="s">
        <x:v>1149</x:v>
      </x:c>
      <x:c r="E132" s="10">
        <x:v>2</x:v>
      </x:c>
      <x:c r="F132" s="10" t="s">
        <x:v>1140</x:v>
      </x:c>
      <x:c r="G132" s="10" t="b">
        <x:v>1</x:v>
      </x:c>
      <x:c r="H132" s="86" t="n">
        <x:f>IF(E132="","",E132*IF(F132="fen",0.1,IF(F132="qian",1,IF(F132="liang",10,IF(F132="jin",160,0)))))</x:f>
        <x:v>2</x:v>
      </x:c>
      <x:c r="I132" s="86" t="n">
        <x:f>IF(H132="","",H132*IFERROR(INDEX('Herb'!$L$2:$L$115,MATCH(C132,'Herb'!$A$2:$A$115,0)),0))</x:f>
        <x:v>4</x:v>
      </x:c>
      <x:c r="J132" s="86" t="n">
        <x:f>IF(H132="","",H132*IFERROR(INDEX('Herb'!$M$2:$M$115,MATCH(C132,'Herb'!$A$2:$A$115,0)),0))</x:f>
        <x:v>8</x:v>
      </x:c>
    </x:row>
    <x:row r="133">
      <x:c r="A133" s="10" t="s">
        <x:v>870</x:v>
      </x:c>
      <x:c r="B133" s="10" t="s">
        <x:v>1263</x:v>
      </x:c>
      <x:c r="C133" s="10" t="s">
        <x:v>1264</x:v>
      </x:c>
      <x:c r="D133" s="13" t="s">
        <x:v>1139</x:v>
      </x:c>
      <x:c r="E133" s="10">
        <x:v>5</x:v>
      </x:c>
      <x:c r="F133" s="10" t="s">
        <x:v>1140</x:v>
      </x:c>
      <x:c r="G133" s="10" t="b">
        <x:v>1</x:v>
      </x:c>
      <x:c r="H133" s="86" t="n">
        <x:f>IF(E133="","",E133*IF(F133="fen",0.1,IF(F133="qian",1,IF(F133="liang",10,IF(F133="jin",160,0)))))</x:f>
        <x:v>5</x:v>
      </x:c>
      <x:c r="I133" s="86" t="n">
        <x:f>IF(H133="","",H133*IFERROR(INDEX('Herb'!$L$2:$L$115,MATCH(C133,'Herb'!$A$2:$A$115,0)),0))</x:f>
        <x:v>25</x:v>
      </x:c>
      <x:c r="J133" s="86" t="n">
        <x:f>IF(H133="","",H133*IFERROR(INDEX('Herb'!$M$2:$M$115,MATCH(C133,'Herb'!$A$2:$A$115,0)),0))</x:f>
        <x:v>45</x:v>
      </x:c>
    </x:row>
    <x:row r="134">
      <x:c r="A134" s="10" t="s">
        <x:v>870</x:v>
      </x:c>
      <x:c r="B134" s="10" t="s">
        <x:v>1185</x:v>
      </x:c>
      <x:c r="C134" s="10" t="s">
        <x:v>1186</x:v>
      </x:c>
      <x:c r="D134" s="14" t="s">
        <x:v>1143</x:v>
      </x:c>
      <x:c r="E134" s="10">
        <x:v>3</x:v>
      </x:c>
      <x:c r="F134" s="10" t="s">
        <x:v>1140</x:v>
      </x:c>
      <x:c r="G134" s="10" t="b">
        <x:v>1</x:v>
      </x:c>
      <x:c r="H134" s="86" t="n">
        <x:f>IF(E134="","",E134*IF(F134="fen",0.1,IF(F134="qian",1,IF(F134="liang",10,IF(F134="jin",160,0)))))</x:f>
        <x:v>3</x:v>
      </x:c>
      <x:c r="I134" s="86" t="n">
        <x:f>IF(H134="","",H134*IFERROR(INDEX('Herb'!$L$2:$L$115,MATCH(C134,'Herb'!$A$2:$A$115,0)),0))</x:f>
        <x:v>9</x:v>
      </x:c>
      <x:c r="J134" s="86" t="n">
        <x:f>IF(H134="","",H134*IFERROR(INDEX('Herb'!$M$2:$M$115,MATCH(C134,'Herb'!$A$2:$A$115,0)),0))</x:f>
        <x:v>18</x:v>
      </x:c>
    </x:row>
    <x:row r="135">
      <x:c r="A135" s="10" t="s">
        <x:v>870</x:v>
      </x:c>
      <x:c r="B135" s="10" t="s">
        <x:v>1265</x:v>
      </x:c>
      <x:c r="C135" s="10" t="s">
        <x:v>1266</x:v>
      </x:c>
      <x:c r="D135" s="14" t="s">
        <x:v>1143</x:v>
      </x:c>
      <x:c r="E135" s="10">
        <x:v>3</x:v>
      </x:c>
      <x:c r="F135" s="10" t="s">
        <x:v>1140</x:v>
      </x:c>
      <x:c r="G135" s="10" t="b">
        <x:v>1</x:v>
      </x:c>
      <x:c r="H135" s="86" t="n">
        <x:f>IF(E135="","",E135*IF(F135="fen",0.1,IF(F135="qian",1,IF(F135="liang",10,IF(F135="jin",160,0)))))</x:f>
        <x:v>3</x:v>
      </x:c>
      <x:c r="I135" s="86" t="n">
        <x:f>IF(H135="","",H135*IFERROR(INDEX('Herb'!$L$2:$L$115,MATCH(C135,'Herb'!$A$2:$A$115,0)),0))</x:f>
        <x:v>15</x:v>
      </x:c>
      <x:c r="J135" s="86" t="n">
        <x:f>IF(H135="","",H135*IFERROR(INDEX('Herb'!$M$2:$M$115,MATCH(C135,'Herb'!$A$2:$A$115,0)),0))</x:f>
        <x:v>27</x:v>
      </x:c>
    </x:row>
    <x:row r="136">
      <x:c r="A136" s="10" t="s">
        <x:v>870</x:v>
      </x:c>
      <x:c r="B136" s="10" t="s">
        <x:v>25</x:v>
      </x:c>
      <x:c r="C136" s="10" t="s">
        <x:v>24</x:v>
      </x:c>
      <x:c r="D136" s="14" t="s">
        <x:v>1143</x:v>
      </x:c>
      <x:c r="E136" s="10">
        <x:v>4</x:v>
      </x:c>
      <x:c r="F136" s="10" t="s">
        <x:v>1140</x:v>
      </x:c>
      <x:c r="G136" s="10" t="b">
        <x:v>1</x:v>
      </x:c>
      <x:c r="H136" s="86" t="n">
        <x:f>IF(E136="","",E136*IF(F136="fen",0.1,IF(F136="qian",1,IF(F136="liang",10,IF(F136="jin",160,0)))))</x:f>
        <x:v>4</x:v>
      </x:c>
      <x:c r="I136" s="86" t="n">
        <x:f>IF(H136="","",H136*IFERROR(INDEX('Herb'!$L$2:$L$115,MATCH(C136,'Herb'!$A$2:$A$115,0)),0))</x:f>
        <x:v>20</x:v>
      </x:c>
      <x:c r="J136" s="86" t="n">
        <x:f>IF(H136="","",H136*IFERROR(INDEX('Herb'!$M$2:$M$115,MATCH(C136,'Herb'!$A$2:$A$115,0)),0))</x:f>
        <x:v>36</x:v>
      </x:c>
    </x:row>
    <x:row r="137">
      <x:c r="A137" s="10" t="s">
        <x:v>870</x:v>
      </x:c>
      <x:c r="B137" s="10" t="s">
        <x:v>1255</x:v>
      </x:c>
      <x:c r="C137" s="10" t="s">
        <x:v>1256</x:v>
      </x:c>
      <x:c r="D137" s="14" t="s">
        <x:v>1143</x:v>
      </x:c>
      <x:c r="E137" s="10">
        <x:v>4</x:v>
      </x:c>
      <x:c r="F137" s="10" t="s">
        <x:v>1140</x:v>
      </x:c>
      <x:c r="G137" s="10" t="b">
        <x:v>1</x:v>
      </x:c>
      <x:c r="H137" s="86" t="n">
        <x:f>IF(E137="","",E137*IF(F137="fen",0.1,IF(F137="qian",1,IF(F137="liang",10,IF(F137="jin",160,0)))))</x:f>
        <x:v>4</x:v>
      </x:c>
      <x:c r="I137" s="86" t="n">
        <x:f>IF(H137="","",H137*IFERROR(INDEX('Herb'!$L$2:$L$115,MATCH(C137,'Herb'!$A$2:$A$115,0)),0))</x:f>
        <x:v>28</x:v>
      </x:c>
      <x:c r="J137" s="86" t="n">
        <x:f>IF(H137="","",H137*IFERROR(INDEX('Herb'!$M$2:$M$115,MATCH(C137,'Herb'!$A$2:$A$115,0)),0))</x:f>
        <x:v>48</x:v>
      </x:c>
    </x:row>
    <x:row r="138">
      <x:c r="A138" s="10" t="s">
        <x:v>870</x:v>
      </x:c>
      <x:c r="B138" s="10" t="s">
        <x:v>1195</x:v>
      </x:c>
      <x:c r="C138" s="10" t="s">
        <x:v>1196</x:v>
      </x:c>
      <x:c r="D138" s="15" t="s">
        <x:v>1146</x:v>
      </x:c>
      <x:c r="E138" s="10">
        <x:v>4</x:v>
      </x:c>
      <x:c r="F138" s="10" t="s">
        <x:v>1140</x:v>
      </x:c>
      <x:c r="G138" s="10" t="b">
        <x:v>1</x:v>
      </x:c>
      <x:c r="H138" s="86" t="n">
        <x:f>IF(E138="","",E138*IF(F138="fen",0.1,IF(F138="qian",1,IF(F138="liang",10,IF(F138="jin",160,0)))))</x:f>
        <x:v>4</x:v>
      </x:c>
      <x:c r="I138" s="86" t="n">
        <x:f>IF(H138="","",H138*IFERROR(INDEX('Herb'!$L$2:$L$115,MATCH(C138,'Herb'!$A$2:$A$115,0)),0))</x:f>
        <x:v>24</x:v>
      </x:c>
      <x:c r="J138" s="86" t="n">
        <x:f>IF(H138="","",H138*IFERROR(INDEX('Herb'!$M$2:$M$115,MATCH(C138,'Herb'!$A$2:$A$115,0)),0))</x:f>
        <x:v>40</x:v>
      </x:c>
    </x:row>
    <x:row r="139">
      <x:c r="A139" s="10" t="s">
        <x:v>870</x:v>
      </x:c>
      <x:c r="B139" s="10" t="s">
        <x:v>1253</x:v>
      </x:c>
      <x:c r="C139" s="10" t="s">
        <x:v>1254</x:v>
      </x:c>
      <x:c r="D139" s="15" t="s">
        <x:v>1146</x:v>
      </x:c>
      <x:c r="E139" s="10">
        <x:v>4</x:v>
      </x:c>
      <x:c r="F139" s="10" t="s">
        <x:v>1140</x:v>
      </x:c>
      <x:c r="G139" s="10" t="b">
        <x:v>1</x:v>
      </x:c>
      <x:c r="H139" s="86" t="n">
        <x:f>IF(E139="","",E139*IF(F139="fen",0.1,IF(F139="qian",1,IF(F139="liang",10,IF(F139="jin",160,0)))))</x:f>
        <x:v>4</x:v>
      </x:c>
      <x:c r="I139" s="86" t="n">
        <x:f>IF(H139="","",H139*IFERROR(INDEX('Herb'!$L$2:$L$115,MATCH(C139,'Herb'!$A$2:$A$115,0)),0))</x:f>
        <x:v>20</x:v>
      </x:c>
      <x:c r="J139" s="86" t="n">
        <x:f>IF(H139="","",H139*IFERROR(INDEX('Herb'!$M$2:$M$115,MATCH(C139,'Herb'!$A$2:$A$115,0)),0))</x:f>
        <x:v>36</x:v>
      </x:c>
    </x:row>
    <x:row r="140">
      <x:c r="A140" s="10" t="s">
        <x:v>870</x:v>
      </x:c>
      <x:c r="B140" s="10" t="s">
        <x:v>23</x:v>
      </x:c>
      <x:c r="C140" s="10" t="s">
        <x:v>22</x:v>
      </x:c>
      <x:c r="D140" s="15" t="s">
        <x:v>1146</x:v>
      </x:c>
      <x:c r="E140" s="10">
        <x:v>3</x:v>
      </x:c>
      <x:c r="F140" s="10" t="s">
        <x:v>1140</x:v>
      </x:c>
      <x:c r="G140" s="10" t="b">
        <x:v>1</x:v>
      </x:c>
      <x:c r="H140" s="86" t="n">
        <x:f>IF(E140="","",E140*IF(F140="fen",0.1,IF(F140="qian",1,IF(F140="liang",10,IF(F140="jin",160,0)))))</x:f>
        <x:v>3</x:v>
      </x:c>
      <x:c r="I140" s="86" t="n">
        <x:f>IF(H140="","",H140*IFERROR(INDEX('Herb'!$L$2:$L$115,MATCH(C140,'Herb'!$A$2:$A$115,0)),0))</x:f>
        <x:v>9</x:v>
      </x:c>
      <x:c r="J140" s="86" t="n">
        <x:f>IF(H140="","",H140*IFERROR(INDEX('Herb'!$M$2:$M$115,MATCH(C140,'Herb'!$A$2:$A$115,0)),0))</x:f>
        <x:v>15</x:v>
      </x:c>
    </x:row>
    <x:row r="141">
      <x:c r="A141" s="10" t="s">
        <x:v>870</x:v>
      </x:c>
      <x:c r="B141" s="10" t="s">
        <x:v>1189</x:v>
      </x:c>
      <x:c r="C141" s="10" t="s">
        <x:v>1190</x:v>
      </x:c>
      <x:c r="D141" s="15" t="s">
        <x:v>1146</x:v>
      </x:c>
      <x:c r="E141" s="10">
        <x:v>5</x:v>
      </x:c>
      <x:c r="F141" s="10" t="s">
        <x:v>1140</x:v>
      </x:c>
      <x:c r="G141" s="10" t="b">
        <x:v>1</x:v>
      </x:c>
      <x:c r="H141" s="86" t="n">
        <x:f>IF(E141="","",E141*IF(F141="fen",0.1,IF(F141="qian",1,IF(F141="liang",10,IF(F141="jin",160,0)))))</x:f>
        <x:v>5</x:v>
      </x:c>
      <x:c r="I141" s="86" t="n">
        <x:f>IF(H141="","",H141*IFERROR(INDEX('Herb'!$L$2:$L$115,MATCH(C141,'Herb'!$A$2:$A$115,0)),0))</x:f>
        <x:v>25</x:v>
      </x:c>
      <x:c r="J141" s="86" t="n">
        <x:f>IF(H141="","",H141*IFERROR(INDEX('Herb'!$M$2:$M$115,MATCH(C141,'Herb'!$A$2:$A$115,0)),0))</x:f>
        <x:v>40</x:v>
      </x:c>
    </x:row>
    <x:row r="142">
      <x:c r="A142" s="10" t="s">
        <x:v>870</x:v>
      </x:c>
      <x:c r="B142" s="10" t="s">
        <x:v>1267</x:v>
      </x:c>
      <x:c r="C142" s="10" t="s">
        <x:v>1268</x:v>
      </x:c>
      <x:c r="D142" s="15" t="s">
        <x:v>1146</x:v>
      </x:c>
      <x:c r="E142" s="10">
        <x:v>5</x:v>
      </x:c>
      <x:c r="F142" s="10" t="s">
        <x:v>1140</x:v>
      </x:c>
      <x:c r="G142" s="10" t="b">
        <x:v>1</x:v>
      </x:c>
      <x:c r="H142" s="86" t="n">
        <x:f>IF(E142="","",E142*IF(F142="fen",0.1,IF(F142="qian",1,IF(F142="liang",10,IF(F142="jin",160,0)))))</x:f>
        <x:v>5</x:v>
      </x:c>
      <x:c r="I142" s="86" t="n">
        <x:f>IF(H142="","",H142*IFERROR(INDEX('Herb'!$L$2:$L$115,MATCH(C142,'Herb'!$A$2:$A$115,0)),0))</x:f>
        <x:v>15</x:v>
      </x:c>
      <x:c r="J142" s="86" t="n">
        <x:f>IF(H142="","",H142*IFERROR(INDEX('Herb'!$M$2:$M$115,MATCH(C142,'Herb'!$A$2:$A$115,0)),0))</x:f>
        <x:v>30</x:v>
      </x:c>
    </x:row>
    <x:row r="143">
      <x:c r="A143" s="10" t="s">
        <x:v>870</x:v>
      </x:c>
      <x:c r="B143" s="10" t="s">
        <x:v>1169</x:v>
      </x:c>
      <x:c r="C143" s="10" t="s">
        <x:v>1170</x:v>
      </x:c>
      <x:c r="D143" s="15" t="s">
        <x:v>1146</x:v>
      </x:c>
      <x:c r="E143" s="10">
        <x:v>2</x:v>
      </x:c>
      <x:c r="F143" s="10" t="s">
        <x:v>1140</x:v>
      </x:c>
      <x:c r="G143" s="10" t="b">
        <x:v>1</x:v>
      </x:c>
      <x:c r="H143" s="86" t="n">
        <x:f>IF(E143="","",E143*IF(F143="fen",0.1,IF(F143="qian",1,IF(F143="liang",10,IF(F143="jin",160,0)))))</x:f>
        <x:v>2</x:v>
      </x:c>
      <x:c r="I143" s="86" t="n">
        <x:f>IF(H143="","",H143*IFERROR(INDEX('Herb'!$L$2:$L$115,MATCH(C143,'Herb'!$A$2:$A$115,0)),0))</x:f>
        <x:v>8</x:v>
      </x:c>
      <x:c r="J143" s="86" t="n">
        <x:f>IF(H143="","",H143*IFERROR(INDEX('Herb'!$M$2:$M$115,MATCH(C143,'Herb'!$A$2:$A$115,0)),0))</x:f>
        <x:v>14</x:v>
      </x:c>
    </x:row>
    <x:row r="144">
      <x:c r="A144" s="10" t="s">
        <x:v>870</x:v>
      </x:c>
      <x:c r="B144" s="10" t="s">
        <x:v>1147</x:v>
      </x:c>
      <x:c r="C144" s="10" t="s">
        <x:v>1148</x:v>
      </x:c>
      <x:c r="D144" s="16" t="s">
        <x:v>1149</x:v>
      </x:c>
      <x:c r="E144" s="10">
        <x:v>2</x:v>
      </x:c>
      <x:c r="F144" s="10" t="s">
        <x:v>1140</x:v>
      </x:c>
      <x:c r="G144" s="10" t="b">
        <x:v>1</x:v>
      </x:c>
      <x:c r="H144" s="86" t="n">
        <x:f>IF(E144="","",E144*IF(F144="fen",0.1,IF(F144="qian",1,IF(F144="liang",10,IF(F144="jin",160,0)))))</x:f>
        <x:v>2</x:v>
      </x:c>
      <x:c r="I144" s="86" t="n">
        <x:f>IF(H144="","",H144*IFERROR(INDEX('Herb'!$L$2:$L$115,MATCH(C144,'Herb'!$A$2:$A$115,0)),0))</x:f>
        <x:v>4</x:v>
      </x:c>
      <x:c r="J144" s="86" t="n">
        <x:f>IF(H144="","",H144*IFERROR(INDEX('Herb'!$M$2:$M$115,MATCH(C144,'Herb'!$A$2:$A$115,0)),0))</x:f>
        <x:v>8</x:v>
      </x:c>
    </x:row>
    <x:row r="145">
      <x:c r="A145" s="10" t="s">
        <x:v>870</x:v>
      </x:c>
      <x:c r="B145" s="10" t="s">
        <x:v>1152</x:v>
      </x:c>
      <x:c r="C145" s="10" t="s">
        <x:v>1153</x:v>
      </x:c>
      <x:c r="D145" s="16" t="s">
        <x:v>1149</x:v>
      </x:c>
      <x:c r="E145" s="10">
        <x:v>2</x:v>
      </x:c>
      <x:c r="F145" s="10" t="s">
        <x:v>1140</x:v>
      </x:c>
      <x:c r="G145" s="10" t="b">
        <x:v>1</x:v>
      </x:c>
      <x:c r="H145" s="86" t="n">
        <x:f>IF(E145="","",E145*IF(F145="fen",0.1,IF(F145="qian",1,IF(F145="liang",10,IF(F145="jin",160,0)))))</x:f>
        <x:v>2</x:v>
      </x:c>
      <x:c r="I145" s="86" t="n">
        <x:f>IF(H145="","",H145*IFERROR(INDEX('Herb'!$L$2:$L$115,MATCH(C145,'Herb'!$A$2:$A$115,0)),0))</x:f>
        <x:v>2</x:v>
      </x:c>
      <x:c r="J145" s="86" t="n">
        <x:f>IF(H145="","",H145*IFERROR(INDEX('Herb'!$M$2:$M$115,MATCH(C145,'Herb'!$A$2:$A$115,0)),0))</x:f>
        <x:v>4</x:v>
      </x:c>
    </x:row>
    <x:row r="146">
      <x:c r="A146" s="10" t="s">
        <x:v>870</x:v>
      </x:c>
      <x:c r="B146" s="10" t="s">
        <x:v>1154</x:v>
      </x:c>
      <x:c r="C146" s="10" t="s">
        <x:v>1155</x:v>
      </x:c>
      <x:c r="D146" s="16" t="s">
        <x:v>1149</x:v>
      </x:c>
      <x:c r="E146" s="10">
        <x:v>2</x:v>
      </x:c>
      <x:c r="F146" s="10" t="s">
        <x:v>1140</x:v>
      </x:c>
      <x:c r="G146" s="10" t="b">
        <x:v>1</x:v>
      </x:c>
      <x:c r="H146" s="86" t="n">
        <x:f>IF(E146="","",E146*IF(F146="fen",0.1,IF(F146="qian",1,IF(F146="liang",10,IF(F146="jin",160,0)))))</x:f>
        <x:v>2</x:v>
      </x:c>
      <x:c r="I146" s="86" t="n">
        <x:f>IF(H146="","",H146*IFERROR(INDEX('Herb'!$L$2:$L$115,MATCH(C146,'Herb'!$A$2:$A$115,0)),0))</x:f>
        <x:v>4</x:v>
      </x:c>
      <x:c r="J146" s="86" t="n">
        <x:f>IF(H146="","",H146*IFERROR(INDEX('Herb'!$M$2:$M$115,MATCH(C146,'Herb'!$A$2:$A$115,0)),0))</x:f>
        <x:v>8</x:v>
      </x:c>
    </x:row>
    <x:row r="147">
      <x:c r="A147" s="10" t="s">
        <x:v>875</x:v>
      </x:c>
      <x:c r="B147" s="10" t="s">
        <x:v>1216</x:v>
      </x:c>
      <x:c r="C147" s="10" t="s">
        <x:v>1217</x:v>
      </x:c>
      <x:c r="D147" s="13" t="s">
        <x:v>1139</x:v>
      </x:c>
      <x:c r="E147" s="10">
        <x:v>4</x:v>
      </x:c>
      <x:c r="F147" s="10" t="s">
        <x:v>1140</x:v>
      </x:c>
      <x:c r="G147" s="10" t="b">
        <x:v>1</x:v>
      </x:c>
      <x:c r="H147" s="86" t="n">
        <x:f>IF(E147="","",E147*IF(F147="fen",0.1,IF(F147="qian",1,IF(F147="liang",10,IF(F147="jin",160,0)))))</x:f>
        <x:v>4</x:v>
      </x:c>
      <x:c r="I147" s="86" t="n">
        <x:f>IF(H147="","",H147*IFERROR(INDEX('Herb'!$L$2:$L$115,MATCH(C147,'Herb'!$A$2:$A$115,0)),0))</x:f>
        <x:v>32</x:v>
      </x:c>
      <x:c r="J147" s="86" t="n">
        <x:f>IF(H147="","",H147*IFERROR(INDEX('Herb'!$M$2:$M$115,MATCH(C147,'Herb'!$A$2:$A$115,0)),0))</x:f>
        <x:v>48</x:v>
      </x:c>
    </x:row>
    <x:row r="148">
      <x:c r="A148" s="10" t="s">
        <x:v>875</x:v>
      </x:c>
      <x:c r="B148" s="10" t="s">
        <x:v>1141</x:v>
      </x:c>
      <x:c r="C148" s="10" t="s">
        <x:v>1142</x:v>
      </x:c>
      <x:c r="D148" s="14" t="s">
        <x:v>1143</x:v>
      </x:c>
      <x:c r="E148" s="10">
        <x:v>3</x:v>
      </x:c>
      <x:c r="F148" s="10" t="s">
        <x:v>1140</x:v>
      </x:c>
      <x:c r="G148" s="10" t="b">
        <x:v>1</x:v>
      </x:c>
      <x:c r="H148" s="86" t="n">
        <x:f>IF(E148="","",E148*IF(F148="fen",0.1,IF(F148="qian",1,IF(F148="liang",10,IF(F148="jin",160,0)))))</x:f>
        <x:v>3</x:v>
      </x:c>
      <x:c r="I148" s="86" t="n">
        <x:f>IF(H148="","",H148*IFERROR(INDEX('Herb'!$L$2:$L$115,MATCH(C148,'Herb'!$A$2:$A$115,0)),0))</x:f>
        <x:v>12</x:v>
      </x:c>
      <x:c r="J148" s="86" t="n">
        <x:f>IF(H148="","",H148*IFERROR(INDEX('Herb'!$M$2:$M$115,MATCH(C148,'Herb'!$A$2:$A$115,0)),0))</x:f>
        <x:v>18</x:v>
      </x:c>
    </x:row>
    <x:row r="149">
      <x:c r="A149" s="10" t="s">
        <x:v>875</x:v>
      </x:c>
      <x:c r="B149" s="10" t="s">
        <x:v>1150</x:v>
      </x:c>
      <x:c r="C149" s="10" t="s">
        <x:v>1151</x:v>
      </x:c>
      <x:c r="D149" s="14" t="s">
        <x:v>1143</x:v>
      </x:c>
      <x:c r="E149" s="10">
        <x:v>3</x:v>
      </x:c>
      <x:c r="F149" s="10" t="s">
        <x:v>1140</x:v>
      </x:c>
      <x:c r="G149" s="10" t="b">
        <x:v>1</x:v>
      </x:c>
      <x:c r="H149" s="86" t="n">
        <x:f>IF(E149="","",E149*IF(F149="fen",0.1,IF(F149="qian",1,IF(F149="liang",10,IF(F149="jin",160,0)))))</x:f>
        <x:v>3</x:v>
      </x:c>
      <x:c r="I149" s="86" t="n">
        <x:f>IF(H149="","",H149*IFERROR(INDEX('Herb'!$L$2:$L$115,MATCH(C149,'Herb'!$A$2:$A$115,0)),0))</x:f>
        <x:v>15</x:v>
      </x:c>
      <x:c r="J149" s="86" t="n">
        <x:f>IF(H149="","",H149*IFERROR(INDEX('Herb'!$M$2:$M$115,MATCH(C149,'Herb'!$A$2:$A$115,0)),0))</x:f>
        <x:v>24</x:v>
      </x:c>
    </x:row>
    <x:row r="150">
      <x:c r="A150" s="10" t="s">
        <x:v>875</x:v>
      </x:c>
      <x:c r="B150" s="10" t="s">
        <x:v>1251</x:v>
      </x:c>
      <x:c r="C150" s="10" t="s">
        <x:v>1252</x:v>
      </x:c>
      <x:c r="D150" s="15" t="s">
        <x:v>1146</x:v>
      </x:c>
      <x:c r="E150" s="10">
        <x:v>1</x:v>
      </x:c>
      <x:c r="F150" s="10" t="s">
        <x:v>1140</x:v>
      </x:c>
      <x:c r="G150" s="10" t="b">
        <x:v>1</x:v>
      </x:c>
      <x:c r="H150" s="86" t="n">
        <x:f>IF(E150="","",E150*IF(F150="fen",0.1,IF(F150="qian",1,IF(F150="liang",10,IF(F150="jin",160,0)))))</x:f>
        <x:v>1</x:v>
      </x:c>
      <x:c r="I150" s="86" t="n">
        <x:f>IF(H150="","",H150*IFERROR(INDEX('Herb'!$L$2:$L$115,MATCH(C150,'Herb'!$A$2:$A$115,0)),0))</x:f>
        <x:v>8</x:v>
      </x:c>
      <x:c r="J150" s="86" t="n">
        <x:f>IF(H150="","",H150*IFERROR(INDEX('Herb'!$M$2:$M$115,MATCH(C150,'Herb'!$A$2:$A$115,0)),0))</x:f>
        <x:v>14</x:v>
      </x:c>
    </x:row>
    <x:row r="151">
      <x:c r="A151" s="10" t="s">
        <x:v>875</x:v>
      </x:c>
      <x:c r="B151" s="10" t="s">
        <x:v>1269</x:v>
      </x:c>
      <x:c r="C151" s="10" t="s">
        <x:v>1270</x:v>
      </x:c>
      <x:c r="D151" s="15" t="s">
        <x:v>1146</x:v>
      </x:c>
      <x:c r="E151" s="10">
        <x:v>2</x:v>
      </x:c>
      <x:c r="F151" s="10" t="s">
        <x:v>1140</x:v>
      </x:c>
      <x:c r="G151" s="10" t="b">
        <x:v>1</x:v>
      </x:c>
      <x:c r="H151" s="86" t="n">
        <x:f>IF(E151="","",E151*IF(F151="fen",0.1,IF(F151="qian",1,IF(F151="liang",10,IF(F151="jin",160,0)))))</x:f>
        <x:v>2</x:v>
      </x:c>
      <x:c r="I151" s="86" t="n">
        <x:f>IF(H151="","",H151*IFERROR(INDEX('Herb'!$L$2:$L$115,MATCH(C151,'Herb'!$A$2:$A$115,0)),0))</x:f>
        <x:v>12</x:v>
      </x:c>
      <x:c r="J151" s="86" t="n">
        <x:f>IF(H151="","",H151*IFERROR(INDEX('Herb'!$M$2:$M$115,MATCH(C151,'Herb'!$A$2:$A$115,0)),0))</x:f>
        <x:v>22</x:v>
      </x:c>
    </x:row>
    <x:row r="152">
      <x:c r="A152" s="10" t="s">
        <x:v>875</x:v>
      </x:c>
      <x:c r="B152" s="10" t="s">
        <x:v>1147</x:v>
      </x:c>
      <x:c r="C152" s="10" t="s">
        <x:v>1148</x:v>
      </x:c>
      <x:c r="D152" s="16" t="s">
        <x:v>1149</x:v>
      </x:c>
      <x:c r="E152" s="10">
        <x:v>2</x:v>
      </x:c>
      <x:c r="F152" s="10" t="s">
        <x:v>1140</x:v>
      </x:c>
      <x:c r="G152" s="10" t="b">
        <x:v>1</x:v>
      </x:c>
      <x:c r="H152" s="86" t="n">
        <x:f>IF(E152="","",E152*IF(F152="fen",0.1,IF(F152="qian",1,IF(F152="liang",10,IF(F152="jin",160,0)))))</x:f>
        <x:v>2</x:v>
      </x:c>
      <x:c r="I152" s="86" t="n">
        <x:f>IF(H152="","",H152*IFERROR(INDEX('Herb'!$L$2:$L$115,MATCH(C152,'Herb'!$A$2:$A$115,0)),0))</x:f>
        <x:v>4</x:v>
      </x:c>
      <x:c r="J152" s="86" t="n">
        <x:f>IF(H152="","",H152*IFERROR(INDEX('Herb'!$M$2:$M$115,MATCH(C152,'Herb'!$A$2:$A$115,0)),0))</x:f>
        <x:v>8</x:v>
      </x:c>
    </x:row>
    <x:row r="153">
      <x:c r="A153" s="10" t="s">
        <x:v>875</x:v>
      </x:c>
      <x:c r="B153" s="10" t="s">
        <x:v>1154</x:v>
      </x:c>
      <x:c r="C153" s="10" t="s">
        <x:v>1155</x:v>
      </x:c>
      <x:c r="D153" s="16" t="s">
        <x:v>1149</x:v>
      </x:c>
      <x:c r="E153" s="10">
        <x:v>2</x:v>
      </x:c>
      <x:c r="F153" s="10" t="s">
        <x:v>1140</x:v>
      </x:c>
      <x:c r="G153" s="10" t="b">
        <x:v>1</x:v>
      </x:c>
      <x:c r="H153" s="86" t="n">
        <x:f>IF(E153="","",E153*IF(F153="fen",0.1,IF(F153="qian",1,IF(F153="liang",10,IF(F153="jin",160,0)))))</x:f>
        <x:v>2</x:v>
      </x:c>
      <x:c r="I153" s="86" t="n">
        <x:f>IF(H153="","",H153*IFERROR(INDEX('Herb'!$L$2:$L$115,MATCH(C153,'Herb'!$A$2:$A$115,0)),0))</x:f>
        <x:v>4</x:v>
      </x:c>
      <x:c r="J153" s="86" t="n">
        <x:f>IF(H153="","",H153*IFERROR(INDEX('Herb'!$M$2:$M$115,MATCH(C153,'Herb'!$A$2:$A$115,0)),0))</x:f>
        <x:v>8</x:v>
      </x:c>
    </x:row>
    <x:row r="154">
      <x:c r="A154" s="10" t="s">
        <x:v>880</x:v>
      </x:c>
      <x:c r="B154" s="10" t="s">
        <x:v>1271</x:v>
      </x:c>
      <x:c r="C154" s="10" t="s">
        <x:v>1272</x:v>
      </x:c>
      <x:c r="D154" s="13" t="s">
        <x:v>1139</x:v>
      </x:c>
      <x:c r="E154" s="10">
        <x:v>2</x:v>
      </x:c>
      <x:c r="F154" s="10" t="s">
        <x:v>1140</x:v>
      </x:c>
      <x:c r="G154" s="10" t="b">
        <x:v>1</x:v>
      </x:c>
      <x:c r="H154" s="86" t="n">
        <x:f>IF(E154="","",E154*IF(F154="fen",0.1,IF(F154="qian",1,IF(F154="liang",10,IF(F154="jin",160,0)))))</x:f>
        <x:v>2</x:v>
      </x:c>
      <x:c r="I154" s="86" t="n">
        <x:f>IF(H154="","",H154*IFERROR(INDEX('Herb'!$L$2:$L$115,MATCH(C154,'Herb'!$A$2:$A$115,0)),0))</x:f>
        <x:v>16</x:v>
      </x:c>
      <x:c r="J154" s="86" t="n">
        <x:f>IF(H154="","",H154*IFERROR(INDEX('Herb'!$M$2:$M$115,MATCH(C154,'Herb'!$A$2:$A$115,0)),0))</x:f>
        <x:v>26</x:v>
      </x:c>
    </x:row>
    <x:row r="155">
      <x:c r="A155" s="10" t="s">
        <x:v>880</x:v>
      </x:c>
      <x:c r="B155" s="10" t="s">
        <x:v>1269</x:v>
      </x:c>
      <x:c r="C155" s="10" t="s">
        <x:v>1270</x:v>
      </x:c>
      <x:c r="D155" s="13" t="s">
        <x:v>1139</x:v>
      </x:c>
      <x:c r="E155" s="10">
        <x:v>2</x:v>
      </x:c>
      <x:c r="F155" s="10" t="s">
        <x:v>1140</x:v>
      </x:c>
      <x:c r="G155" s="10" t="b">
        <x:v>1</x:v>
      </x:c>
      <x:c r="H155" s="86" t="n">
        <x:f>IF(E155="","",E155*IF(F155="fen",0.1,IF(F155="qian",1,IF(F155="liang",10,IF(F155="jin",160,0)))))</x:f>
        <x:v>2</x:v>
      </x:c>
      <x:c r="I155" s="86" t="n">
        <x:f>IF(H155="","",H155*IFERROR(INDEX('Herb'!$L$2:$L$115,MATCH(C155,'Herb'!$A$2:$A$115,0)),0))</x:f>
        <x:v>12</x:v>
      </x:c>
      <x:c r="J155" s="86" t="n">
        <x:f>IF(H155="","",H155*IFERROR(INDEX('Herb'!$M$2:$M$115,MATCH(C155,'Herb'!$A$2:$A$115,0)),0))</x:f>
        <x:v>22</x:v>
      </x:c>
    </x:row>
    <x:row r="156">
      <x:c r="A156" s="10" t="s">
        <x:v>880</x:v>
      </x:c>
      <x:c r="B156" s="10" t="s">
        <x:v>1173</x:v>
      </x:c>
      <x:c r="C156" s="10" t="s">
        <x:v>1174</x:v>
      </x:c>
      <x:c r="D156" s="14" t="s">
        <x:v>1143</x:v>
      </x:c>
      <x:c r="E156" s="10">
        <x:v>2</x:v>
      </x:c>
      <x:c r="F156" s="10" t="s">
        <x:v>1140</x:v>
      </x:c>
      <x:c r="G156" s="10" t="b">
        <x:v>1</x:v>
      </x:c>
      <x:c r="H156" s="86" t="n">
        <x:f>IF(E156="","",E156*IF(F156="fen",0.1,IF(F156="qian",1,IF(F156="liang",10,IF(F156="jin",160,0)))))</x:f>
        <x:v>2</x:v>
      </x:c>
      <x:c r="I156" s="86" t="n">
        <x:f>IF(H156="","",H156*IFERROR(INDEX('Herb'!$L$2:$L$115,MATCH(C156,'Herb'!$A$2:$A$115,0)),0))</x:f>
        <x:v>4</x:v>
      </x:c>
      <x:c r="J156" s="86" t="n">
        <x:f>IF(H156="","",H156*IFERROR(INDEX('Herb'!$M$2:$M$115,MATCH(C156,'Herb'!$A$2:$A$115,0)),0))</x:f>
        <x:v>8</x:v>
      </x:c>
    </x:row>
    <x:row r="157">
      <x:c r="A157" s="10" t="s">
        <x:v>880</x:v>
      </x:c>
      <x:c r="B157" s="10" t="s">
        <x:v>1147</x:v>
      </x:c>
      <x:c r="C157" s="10" t="s">
        <x:v>1148</x:v>
      </x:c>
      <x:c r="D157" s="15" t="s">
        <x:v>1146</x:v>
      </x:c>
      <x:c r="E157" s="10">
        <x:v>2</x:v>
      </x:c>
      <x:c r="F157" s="10" t="s">
        <x:v>1140</x:v>
      </x:c>
      <x:c r="G157" s="10" t="b">
        <x:v>1</x:v>
      </x:c>
      <x:c r="H157" s="86" t="n">
        <x:f>IF(E157="","",E157*IF(F157="fen",0.1,IF(F157="qian",1,IF(F157="liang",10,IF(F157="jin",160,0)))))</x:f>
        <x:v>2</x:v>
      </x:c>
      <x:c r="I157" s="86" t="n">
        <x:f>IF(H157="","",H157*IFERROR(INDEX('Herb'!$L$2:$L$115,MATCH(C157,'Herb'!$A$2:$A$115,0)),0))</x:f>
        <x:v>4</x:v>
      </x:c>
      <x:c r="J157" s="86" t="n">
        <x:f>IF(H157="","",H157*IFERROR(INDEX('Herb'!$M$2:$M$115,MATCH(C157,'Herb'!$A$2:$A$115,0)),0))</x:f>
        <x:v>8</x:v>
      </x:c>
    </x:row>
    <x:row r="158">
      <x:c r="A158" s="10" t="s">
        <x:v>885</x:v>
      </x:c>
      <x:c r="B158" s="10" t="s">
        <x:v>25</x:v>
      </x:c>
      <x:c r="C158" s="10" t="s">
        <x:v>24</x:v>
      </x:c>
      <x:c r="D158" s="13" t="s">
        <x:v>1139</x:v>
      </x:c>
      <x:c r="E158" s="10">
        <x:v>2.5</x:v>
      </x:c>
      <x:c r="F158" s="10" t="s">
        <x:v>1140</x:v>
      </x:c>
      <x:c r="G158" s="10" t="b">
        <x:v>1</x:v>
      </x:c>
      <x:c r="H158" s="86" t="n">
        <x:f>IF(E158="","",E158*IF(F158="fen",0.1,IF(F158="qian",1,IF(F158="liang",10,IF(F158="jin",160,0)))))</x:f>
        <x:v>2.5</x:v>
      </x:c>
      <x:c r="I158" s="86" t="n">
        <x:f>IF(H158="","",H158*IFERROR(INDEX('Herb'!$L$2:$L$115,MATCH(C158,'Herb'!$A$2:$A$115,0)),0))</x:f>
        <x:v>12.5</x:v>
      </x:c>
      <x:c r="J158" s="86" t="n">
        <x:f>IF(H158="","",H158*IFERROR(INDEX('Herb'!$M$2:$M$115,MATCH(C158,'Herb'!$A$2:$A$115,0)),0))</x:f>
        <x:v>22.5</x:v>
      </x:c>
    </x:row>
    <x:row r="159">
      <x:c r="A159" s="10" t="s">
        <x:v>885</x:v>
      </x:c>
      <x:c r="B159" s="10" t="s">
        <x:v>1241</x:v>
      </x:c>
      <x:c r="C159" s="10" t="s">
        <x:v>1242</x:v>
      </x:c>
      <x:c r="D159" s="13" t="s">
        <x:v>1139</x:v>
      </x:c>
      <x:c r="E159" s="10">
        <x:v>2.5</x:v>
      </x:c>
      <x:c r="F159" s="10" t="s">
        <x:v>1140</x:v>
      </x:c>
      <x:c r="G159" s="10" t="b">
        <x:v>1</x:v>
      </x:c>
      <x:c r="H159" s="86" t="n">
        <x:f>IF(E159="","",E159*IF(F159="fen",0.1,IF(F159="qian",1,IF(F159="liang",10,IF(F159="jin",160,0)))))</x:f>
        <x:v>2.5</x:v>
      </x:c>
      <x:c r="I159" s="86" t="n">
        <x:f>IF(H159="","",H159*IFERROR(INDEX('Herb'!$L$2:$L$115,MATCH(C159,'Herb'!$A$2:$A$115,0)),0))</x:f>
        <x:v>20</x:v>
      </x:c>
      <x:c r="J159" s="86" t="n">
        <x:f>IF(H159="","",H159*IFERROR(INDEX('Herb'!$M$2:$M$115,MATCH(C159,'Herb'!$A$2:$A$115,0)),0))</x:f>
        <x:v>35</x:v>
      </x:c>
    </x:row>
    <x:row r="160">
      <x:c r="A160" s="10" t="s">
        <x:v>885</x:v>
      </x:c>
      <x:c r="B160" s="10" t="s">
        <x:v>1247</x:v>
      </x:c>
      <x:c r="C160" s="10" t="s">
        <x:v>1248</x:v>
      </x:c>
      <x:c r="D160" s="14" t="s">
        <x:v>1143</x:v>
      </x:c>
      <x:c r="E160" s="10">
        <x:v>2</x:v>
      </x:c>
      <x:c r="F160" s="10" t="s">
        <x:v>1140</x:v>
      </x:c>
      <x:c r="G160" s="10" t="b">
        <x:v>1</x:v>
      </x:c>
      <x:c r="H160" s="86" t="n">
        <x:f>IF(E160="","",E160*IF(F160="fen",0.1,IF(F160="qian",1,IF(F160="liang",10,IF(F160="jin",160,0)))))</x:f>
        <x:v>2</x:v>
      </x:c>
      <x:c r="I160" s="86" t="n">
        <x:f>IF(H160="","",H160*IFERROR(INDEX('Herb'!$L$2:$L$115,MATCH(C160,'Herb'!$A$2:$A$115,0)),0))</x:f>
        <x:v>10</x:v>
      </x:c>
      <x:c r="J160" s="86" t="n">
        <x:f>IF(H160="","",H160*IFERROR(INDEX('Herb'!$M$2:$M$115,MATCH(C160,'Herb'!$A$2:$A$115,0)),0))</x:f>
        <x:v>18</x:v>
      </x:c>
    </x:row>
    <x:row r="161">
      <x:c r="A161" s="10" t="s">
        <x:v>885</x:v>
      </x:c>
      <x:c r="B161" s="10" t="s">
        <x:v>23</x:v>
      </x:c>
      <x:c r="C161" s="10" t="s">
        <x:v>22</x:v>
      </x:c>
      <x:c r="D161" s="14" t="s">
        <x:v>1143</x:v>
      </x:c>
      <x:c r="E161" s="10">
        <x:v>1.5</x:v>
      </x:c>
      <x:c r="F161" s="10" t="s">
        <x:v>1140</x:v>
      </x:c>
      <x:c r="G161" s="10" t="b">
        <x:v>1</x:v>
      </x:c>
      <x:c r="H161" s="86" t="n">
        <x:f>IF(E161="","",E161*IF(F161="fen",0.1,IF(F161="qian",1,IF(F161="liang",10,IF(F161="jin",160,0)))))</x:f>
        <x:v>1.5</x:v>
      </x:c>
      <x:c r="I161" s="86" t="n">
        <x:f>IF(H161="","",H161*IFERROR(INDEX('Herb'!$L$2:$L$115,MATCH(C161,'Herb'!$A$2:$A$115,0)),0))</x:f>
        <x:v>4.5</x:v>
      </x:c>
      <x:c r="J161" s="86" t="n">
        <x:f>IF(H161="","",H161*IFERROR(INDEX('Herb'!$M$2:$M$115,MATCH(C161,'Herb'!$A$2:$A$115,0)),0))</x:f>
        <x:v>7.5</x:v>
      </x:c>
    </x:row>
    <x:row r="162">
      <x:c r="A162" s="10" t="s">
        <x:v>885</x:v>
      </x:c>
      <x:c r="B162" s="10" t="s">
        <x:v>1273</x:v>
      </x:c>
      <x:c r="C162" s="10" t="s">
        <x:v>1274</x:v>
      </x:c>
      <x:c r="D162" s="15" t="s">
        <x:v>1146</x:v>
      </x:c>
      <x:c r="E162" s="10">
        <x:v>1</x:v>
      </x:c>
      <x:c r="F162" s="10" t="s">
        <x:v>1140</x:v>
      </x:c>
      <x:c r="G162" s="10" t="b">
        <x:v>1</x:v>
      </x:c>
      <x:c r="H162" s="86" t="n">
        <x:f>IF(E162="","",E162*IF(F162="fen",0.1,IF(F162="qian",1,IF(F162="liang",10,IF(F162="jin",160,0)))))</x:f>
        <x:v>1</x:v>
      </x:c>
      <x:c r="I162" s="86" t="n">
        <x:f>IF(H162="","",H162*IFERROR(INDEX('Herb'!$L$2:$L$115,MATCH(C162,'Herb'!$A$2:$A$115,0)),0))</x:f>
        <x:v>4</x:v>
      </x:c>
      <x:c r="J162" s="86" t="n">
        <x:f>IF(H162="","",H162*IFERROR(INDEX('Herb'!$M$2:$M$115,MATCH(C162,'Herb'!$A$2:$A$115,0)),0))</x:f>
        <x:v>7</x:v>
      </x:c>
    </x:row>
    <x:row r="163">
      <x:c r="A163" s="10" t="s">
        <x:v>885</x:v>
      </x:c>
      <x:c r="B163" s="10" t="s">
        <x:v>1189</x:v>
      </x:c>
      <x:c r="C163" s="10" t="s">
        <x:v>1190</x:v>
      </x:c>
      <x:c r="D163" s="15" t="s">
        <x:v>1146</x:v>
      </x:c>
      <x:c r="E163" s="10">
        <x:v>2</x:v>
      </x:c>
      <x:c r="F163" s="10" t="s">
        <x:v>1140</x:v>
      </x:c>
      <x:c r="G163" s="10" t="b">
        <x:v>1</x:v>
      </x:c>
      <x:c r="H163" s="86" t="n">
        <x:f>IF(E163="","",E163*IF(F163="fen",0.1,IF(F163="qian",1,IF(F163="liang",10,IF(F163="jin",160,0)))))</x:f>
        <x:v>2</x:v>
      </x:c>
      <x:c r="I163" s="86" t="n">
        <x:f>IF(H163="","",H163*IFERROR(INDEX('Herb'!$L$2:$L$115,MATCH(C163,'Herb'!$A$2:$A$115,0)),0))</x:f>
        <x:v>10</x:v>
      </x:c>
      <x:c r="J163" s="86" t="n">
        <x:f>IF(H163="","",H163*IFERROR(INDEX('Herb'!$M$2:$M$115,MATCH(C163,'Herb'!$A$2:$A$115,0)),0))</x:f>
        <x:v>16</x:v>
      </x:c>
    </x:row>
    <x:row r="164">
      <x:c r="A164" s="10" t="s">
        <x:v>885</x:v>
      </x:c>
      <x:c r="B164" s="10" t="s">
        <x:v>1275</x:v>
      </x:c>
      <x:c r="C164" s="10" t="s">
        <x:v>1276</x:v>
      </x:c>
      <x:c r="D164" s="15" t="s">
        <x:v>1146</x:v>
      </x:c>
      <x:c r="E164" s="10">
        <x:v>1</x:v>
      </x:c>
      <x:c r="F164" s="10" t="s">
        <x:v>1140</x:v>
      </x:c>
      <x:c r="G164" s="10" t="b">
        <x:v>1</x:v>
      </x:c>
      <x:c r="H164" s="86" t="n">
        <x:f>IF(E164="","",E164*IF(F164="fen",0.1,IF(F164="qian",1,IF(F164="liang",10,IF(F164="jin",160,0)))))</x:f>
        <x:v>1</x:v>
      </x:c>
      <x:c r="I164" s="86" t="n">
        <x:f>IF(H164="","",H164*IFERROR(INDEX('Herb'!$L$2:$L$115,MATCH(C164,'Herb'!$A$2:$A$115,0)),0))</x:f>
        <x:v>9</x:v>
      </x:c>
      <x:c r="J164" s="86" t="n">
        <x:f>IF(H164="","",H164*IFERROR(INDEX('Herb'!$M$2:$M$115,MATCH(C164,'Herb'!$A$2:$A$115,0)),0))</x:f>
        <x:v>16</x:v>
      </x:c>
    </x:row>
    <x:row r="165">
      <x:c r="A165" s="10" t="s">
        <x:v>885</x:v>
      </x:c>
      <x:c r="B165" s="10" t="s">
        <x:v>306</x:v>
      </x:c>
      <x:c r="C165" s="10" t="s">
        <x:v>1224</x:v>
      </x:c>
      <x:c r="D165" s="15" t="s">
        <x:v>1146</x:v>
      </x:c>
      <x:c r="E165" s="10">
        <x:v>1</x:v>
      </x:c>
      <x:c r="F165" s="10" t="s">
        <x:v>1140</x:v>
      </x:c>
      <x:c r="G165" s="10" t="b">
        <x:v>1</x:v>
      </x:c>
      <x:c r="H165" s="86" t="n">
        <x:f>IF(E165="","",E165*IF(F165="fen",0.1,IF(F165="qian",1,IF(F165="liang",10,IF(F165="jin",160,0)))))</x:f>
        <x:v>1</x:v>
      </x:c>
      <x:c r="I165" s="86" t="n">
        <x:f>IF(H165="","",H165*IFERROR(INDEX('Herb'!$L$2:$L$115,MATCH(C165,'Herb'!$A$2:$A$115,0)),0))</x:f>
        <x:v>60</x:v>
      </x:c>
      <x:c r="J165" s="86" t="n">
        <x:f>IF(H165="","",H165*IFERROR(INDEX('Herb'!$M$2:$M$115,MATCH(C165,'Herb'!$A$2:$A$115,0)),0))</x:f>
        <x:v>77</x:v>
      </x:c>
    </x:row>
    <x:row r="166">
      <x:c r="A166" s="10" t="s">
        <x:v>885</x:v>
      </x:c>
      <x:c r="B166" s="10" t="s">
        <x:v>1152</x:v>
      </x:c>
      <x:c r="C166" s="10" t="s">
        <x:v>1153</x:v>
      </x:c>
      <x:c r="D166" s="16" t="s">
        <x:v>1149</x:v>
      </x:c>
      <x:c r="E166" s="10">
        <x:v>1</x:v>
      </x:c>
      <x:c r="F166" s="10" t="s">
        <x:v>1140</x:v>
      </x:c>
      <x:c r="G166" s="10" t="b">
        <x:v>1</x:v>
      </x:c>
      <x:c r="H166" s="86" t="n">
        <x:f>IF(E166="","",E166*IF(F166="fen",0.1,IF(F166="qian",1,IF(F166="liang",10,IF(F166="jin",160,0)))))</x:f>
        <x:v>1</x:v>
      </x:c>
      <x:c r="I166" s="86" t="n">
        <x:f>IF(H166="","",H166*IFERROR(INDEX('Herb'!$L$2:$L$115,MATCH(C166,'Herb'!$A$2:$A$115,0)),0))</x:f>
        <x:v>1</x:v>
      </x:c>
      <x:c r="J166" s="86" t="n">
        <x:f>IF(H166="","",H166*IFERROR(INDEX('Herb'!$M$2:$M$115,MATCH(C166,'Herb'!$A$2:$A$115,0)),0))</x:f>
        <x:v>2</x:v>
      </x:c>
    </x:row>
    <x:row r="167">
      <x:c r="A167" s="10" t="s">
        <x:v>885</x:v>
      </x:c>
      <x:c r="B167" s="10" t="s">
        <x:v>1147</x:v>
      </x:c>
      <x:c r="C167" s="10" t="s">
        <x:v>1148</x:v>
      </x:c>
      <x:c r="D167" s="16" t="s">
        <x:v>1149</x:v>
      </x:c>
      <x:c r="E167" s="10">
        <x:v>1</x:v>
      </x:c>
      <x:c r="F167" s="10" t="s">
        <x:v>1140</x:v>
      </x:c>
      <x:c r="G167" s="10" t="b">
        <x:v>1</x:v>
      </x:c>
      <x:c r="H167" s="86" t="n">
        <x:f>IF(E167="","",E167*IF(F167="fen",0.1,IF(F167="qian",1,IF(F167="liang",10,IF(F167="jin",160,0)))))</x:f>
        <x:v>1</x:v>
      </x:c>
      <x:c r="I167" s="86" t="n">
        <x:f>IF(H167="","",H167*IFERROR(INDEX('Herb'!$L$2:$L$115,MATCH(C167,'Herb'!$A$2:$A$115,0)),0))</x:f>
        <x:v>2</x:v>
      </x:c>
      <x:c r="J167" s="86" t="n">
        <x:f>IF(H167="","",H167*IFERROR(INDEX('Herb'!$M$2:$M$115,MATCH(C167,'Herb'!$A$2:$A$115,0)),0))</x:f>
        <x:v>4</x:v>
      </x:c>
    </x:row>
    <x:row r="168">
      <x:c r="A168" s="10" t="s">
        <x:v>889</x:v>
      </x:c>
      <x:c r="B168" s="10" t="s">
        <x:v>1193</x:v>
      </x:c>
      <x:c r="C168" s="10" t="s">
        <x:v>1194</x:v>
      </x:c>
      <x:c r="D168" s="13" t="s">
        <x:v>1139</x:v>
      </x:c>
      <x:c r="E168" s="10">
        <x:v>5</x:v>
      </x:c>
      <x:c r="F168" s="10" t="s">
        <x:v>1140</x:v>
      </x:c>
      <x:c r="G168" s="10" t="b">
        <x:v>1</x:v>
      </x:c>
      <x:c r="H168" s="86" t="n">
        <x:f>IF(E168="","",E168*IF(F168="fen",0.1,IF(F168="qian",1,IF(F168="liang",10,IF(F168="jin",160,0)))))</x:f>
        <x:v>5</x:v>
      </x:c>
      <x:c r="I168" s="86" t="n">
        <x:f>IF(H168="","",H168*IFERROR(INDEX('Herb'!$L$2:$L$115,MATCH(C168,'Herb'!$A$2:$A$115,0)),0))</x:f>
        <x:v>35</x:v>
      </x:c>
      <x:c r="J168" s="86" t="n">
        <x:f>IF(H168="","",H168*IFERROR(INDEX('Herb'!$M$2:$M$115,MATCH(C168,'Herb'!$A$2:$A$115,0)),0))</x:f>
        <x:v>55</x:v>
      </x:c>
    </x:row>
    <x:row r="169">
      <x:c r="A169" s="10" t="s">
        <x:v>889</x:v>
      </x:c>
      <x:c r="B169" s="10" t="s">
        <x:v>306</x:v>
      </x:c>
      <x:c r="C169" s="10" t="s">
        <x:v>1224</x:v>
      </x:c>
      <x:c r="D169" s="13" t="s">
        <x:v>1139</x:v>
      </x:c>
      <x:c r="E169" s="10">
        <x:v>3</x:v>
      </x:c>
      <x:c r="F169" s="10" t="s">
        <x:v>1140</x:v>
      </x:c>
      <x:c r="G169" s="10" t="b">
        <x:v>1</x:v>
      </x:c>
      <x:c r="H169" s="86" t="n">
        <x:f>IF(E169="","",E169*IF(F169="fen",0.1,IF(F169="qian",1,IF(F169="liang",10,IF(F169="jin",160,0)))))</x:f>
        <x:v>3</x:v>
      </x:c>
      <x:c r="I169" s="86" t="n">
        <x:f>IF(H169="","",H169*IFERROR(INDEX('Herb'!$L$2:$L$115,MATCH(C169,'Herb'!$A$2:$A$115,0)),0))</x:f>
        <x:v>180</x:v>
      </x:c>
      <x:c r="J169" s="86" t="n">
        <x:f>IF(H169="","",H169*IFERROR(INDEX('Herb'!$M$2:$M$115,MATCH(C169,'Herb'!$A$2:$A$115,0)),0))</x:f>
        <x:v>231</x:v>
      </x:c>
    </x:row>
    <x:row r="170">
      <x:c r="A170" s="10" t="s">
        <x:v>889</x:v>
      </x:c>
      <x:c r="B170" s="10" t="s">
        <x:v>1216</x:v>
      </x:c>
      <x:c r="C170" s="10" t="s">
        <x:v>1217</x:v>
      </x:c>
      <x:c r="D170" s="14" t="s">
        <x:v>1143</x:v>
      </x:c>
      <x:c r="E170" s="10">
        <x:v>5</x:v>
      </x:c>
      <x:c r="F170" s="10" t="s">
        <x:v>1140</x:v>
      </x:c>
      <x:c r="G170" s="10" t="b">
        <x:v>1</x:v>
      </x:c>
      <x:c r="H170" s="86" t="n">
        <x:f>IF(E170="","",E170*IF(F170="fen",0.1,IF(F170="qian",1,IF(F170="liang",10,IF(F170="jin",160,0)))))</x:f>
        <x:v>5</x:v>
      </x:c>
      <x:c r="I170" s="86" t="n">
        <x:f>IF(H170="","",H170*IFERROR(INDEX('Herb'!$L$2:$L$115,MATCH(C170,'Herb'!$A$2:$A$115,0)),0))</x:f>
        <x:v>40</x:v>
      </x:c>
      <x:c r="J170" s="86" t="n">
        <x:f>IF(H170="","",H170*IFERROR(INDEX('Herb'!$M$2:$M$115,MATCH(C170,'Herb'!$A$2:$A$115,0)),0))</x:f>
        <x:v>60</x:v>
      </x:c>
    </x:row>
    <x:row r="171">
      <x:c r="A171" s="10" t="s">
        <x:v>889</x:v>
      </x:c>
      <x:c r="B171" s="10" t="s">
        <x:v>1277</x:v>
      </x:c>
      <x:c r="C171" s="10" t="s">
        <x:v>1278</x:v>
      </x:c>
      <x:c r="D171" s="14" t="s">
        <x:v>1143</x:v>
      </x:c>
      <x:c r="E171" s="10">
        <x:v>5</x:v>
      </x:c>
      <x:c r="F171" s="10" t="s">
        <x:v>1140</x:v>
      </x:c>
      <x:c r="G171" s="10" t="b">
        <x:v>1</x:v>
      </x:c>
      <x:c r="H171" s="86" t="n">
        <x:f>IF(E171="","",E171*IF(F171="fen",0.1,IF(F171="qian",1,IF(F171="liang",10,IF(F171="jin",160,0)))))</x:f>
        <x:v>5</x:v>
      </x:c>
      <x:c r="I171" s="86" t="n">
        <x:f>IF(H171="","",H171*IFERROR(INDEX('Herb'!$L$2:$L$115,MATCH(C171,'Herb'!$A$2:$A$115,0)),0))</x:f>
        <x:v>40</x:v>
      </x:c>
      <x:c r="J171" s="86" t="n">
        <x:f>IF(H171="","",H171*IFERROR(INDEX('Herb'!$M$2:$M$115,MATCH(C171,'Herb'!$A$2:$A$115,0)),0))</x:f>
        <x:v>65</x:v>
      </x:c>
    </x:row>
    <x:row r="172">
      <x:c r="A172" s="10" t="s">
        <x:v>889</x:v>
      </x:c>
      <x:c r="B172" s="10" t="s">
        <x:v>1189</x:v>
      </x:c>
      <x:c r="C172" s="10" t="s">
        <x:v>1190</x:v>
      </x:c>
      <x:c r="D172" s="14" t="s">
        <x:v>1143</x:v>
      </x:c>
      <x:c r="E172" s="10">
        <x:v>5</x:v>
      </x:c>
      <x:c r="F172" s="10" t="s">
        <x:v>1140</x:v>
      </x:c>
      <x:c r="G172" s="10" t="b">
        <x:v>1</x:v>
      </x:c>
      <x:c r="H172" s="86" t="n">
        <x:f>IF(E172="","",E172*IF(F172="fen",0.1,IF(F172="qian",1,IF(F172="liang",10,IF(F172="jin",160,0)))))</x:f>
        <x:v>5</x:v>
      </x:c>
      <x:c r="I172" s="86" t="n">
        <x:f>IF(H172="","",H172*IFERROR(INDEX('Herb'!$L$2:$L$115,MATCH(C172,'Herb'!$A$2:$A$115,0)),0))</x:f>
        <x:v>25</x:v>
      </x:c>
      <x:c r="J172" s="86" t="n">
        <x:f>IF(H172="","",H172*IFERROR(INDEX('Herb'!$M$2:$M$115,MATCH(C172,'Herb'!$A$2:$A$115,0)),0))</x:f>
        <x:v>40</x:v>
      </x:c>
    </x:row>
    <x:row r="173">
      <x:c r="A173" s="10" t="s">
        <x:v>889</x:v>
      </x:c>
      <x:c r="B173" s="10" t="s">
        <x:v>1279</x:v>
      </x:c>
      <x:c r="C173" s="10" t="s">
        <x:v>1280</x:v>
      </x:c>
      <x:c r="D173" s="15" t="s">
        <x:v>1146</x:v>
      </x:c>
      <x:c r="E173" s="10">
        <x:v>3</x:v>
      </x:c>
      <x:c r="F173" s="10" t="s">
        <x:v>1140</x:v>
      </x:c>
      <x:c r="G173" s="10" t="b">
        <x:v>1</x:v>
      </x:c>
      <x:c r="H173" s="86" t="n">
        <x:f>IF(E173="","",E173*IF(F173="fen",0.1,IF(F173="qian",1,IF(F173="liang",10,IF(F173="jin",160,0)))))</x:f>
        <x:v>3</x:v>
      </x:c>
      <x:c r="I173" s="86" t="n">
        <x:f>IF(H173="","",H173*IFERROR(INDEX('Herb'!$L$2:$L$115,MATCH(C173,'Herb'!$A$2:$A$115,0)),0))</x:f>
        <x:v>42</x:v>
      </x:c>
      <x:c r="J173" s="86" t="n">
        <x:f>IF(H173="","",H173*IFERROR(INDEX('Herb'!$M$2:$M$115,MATCH(C173,'Herb'!$A$2:$A$115,0)),0))</x:f>
        <x:v>63</x:v>
      </x:c>
    </x:row>
    <x:row r="174">
      <x:c r="A174" s="10" t="s">
        <x:v>889</x:v>
      </x:c>
      <x:c r="B174" s="10" t="s">
        <x:v>1281</x:v>
      </x:c>
      <x:c r="C174" s="10" t="s">
        <x:v>1282</x:v>
      </x:c>
      <x:c r="D174" s="15" t="s">
        <x:v>1146</x:v>
      </x:c>
      <x:c r="E174" s="10">
        <x:v>3</x:v>
      </x:c>
      <x:c r="F174" s="10" t="s">
        <x:v>1140</x:v>
      </x:c>
      <x:c r="G174" s="10" t="b">
        <x:v>1</x:v>
      </x:c>
      <x:c r="H174" s="86" t="n">
        <x:f>IF(E174="","",E174*IF(F174="fen",0.1,IF(F174="qian",1,IF(F174="liang",10,IF(F174="jin",160,0)))))</x:f>
        <x:v>3</x:v>
      </x:c>
      <x:c r="I174" s="86" t="n">
        <x:f>IF(H174="","",H174*IFERROR(INDEX('Herb'!$L$2:$L$115,MATCH(C174,'Herb'!$A$2:$A$115,0)),0))</x:f>
        <x:v>39</x:v>
      </x:c>
      <x:c r="J174" s="86" t="n">
        <x:f>IF(H174="","",H174*IFERROR(INDEX('Herb'!$M$2:$M$115,MATCH(C174,'Herb'!$A$2:$A$115,0)),0))</x:f>
        <x:v>60</x:v>
      </x:c>
    </x:row>
    <x:row r="175">
      <x:c r="A175" s="10" t="s">
        <x:v>889</x:v>
      </x:c>
      <x:c r="B175" s="10" t="s">
        <x:v>1283</x:v>
      </x:c>
      <x:c r="C175" s="10" t="s">
        <x:v>1284</x:v>
      </x:c>
      <x:c r="D175" s="15" t="s">
        <x:v>1146</x:v>
      </x:c>
      <x:c r="E175" s="10">
        <x:v>3</x:v>
      </x:c>
      <x:c r="F175" s="10" t="s">
        <x:v>1140</x:v>
      </x:c>
      <x:c r="G175" s="10" t="b">
        <x:v>1</x:v>
      </x:c>
      <x:c r="H175" s="86" t="n">
        <x:f>IF(E175="","",E175*IF(F175="fen",0.1,IF(F175="qian",1,IF(F175="liang",10,IF(F175="jin",160,0)))))</x:f>
        <x:v>3</x:v>
      </x:c>
      <x:c r="I175" s="86" t="n">
        <x:f>IF(H175="","",H175*IFERROR(INDEX('Herb'!$L$2:$L$115,MATCH(C175,'Herb'!$A$2:$A$115,0)),0))</x:f>
        <x:v>27</x:v>
      </x:c>
      <x:c r="J175" s="86" t="n">
        <x:f>IF(H175="","",H175*IFERROR(INDEX('Herb'!$M$2:$M$115,MATCH(C175,'Herb'!$A$2:$A$115,0)),0))</x:f>
        <x:v>45</x:v>
      </x:c>
    </x:row>
    <x:row r="176">
      <x:c r="A176" s="10" t="s">
        <x:v>889</x:v>
      </x:c>
      <x:c r="B176" s="10" t="s">
        <x:v>1227</x:v>
      </x:c>
      <x:c r="C176" s="10" t="s">
        <x:v>1228</x:v>
      </x:c>
      <x:c r="D176" s="15" t="s">
        <x:v>1146</x:v>
      </x:c>
      <x:c r="E176" s="10">
        <x:v>3</x:v>
      </x:c>
      <x:c r="F176" s="10" t="s">
        <x:v>1140</x:v>
      </x:c>
      <x:c r="G176" s="10" t="b">
        <x:v>1</x:v>
      </x:c>
      <x:c r="H176" s="86" t="n">
        <x:f>IF(E176="","",E176*IF(F176="fen",0.1,IF(F176="qian",1,IF(F176="liang",10,IF(F176="jin",160,0)))))</x:f>
        <x:v>3</x:v>
      </x:c>
      <x:c r="I176" s="86" t="n">
        <x:f>IF(H176="","",H176*IFERROR(INDEX('Herb'!$L$2:$L$115,MATCH(C176,'Herb'!$A$2:$A$115,0)),0))</x:f>
        <x:v>24</x:v>
      </x:c>
      <x:c r="J176" s="86" t="n">
        <x:f>IF(H176="","",H176*IFERROR(INDEX('Herb'!$M$2:$M$115,MATCH(C176,'Herb'!$A$2:$A$115,0)),0))</x:f>
        <x:v>39</x:v>
      </x:c>
    </x:row>
    <x:row r="177">
      <x:c r="A177" s="10" t="s">
        <x:v>889</x:v>
      </x:c>
      <x:c r="B177" s="10" t="s">
        <x:v>1218</x:v>
      </x:c>
      <x:c r="C177" s="10" t="s">
        <x:v>1219</x:v>
      </x:c>
      <x:c r="D177" s="15" t="s">
        <x:v>1146</x:v>
      </x:c>
      <x:c r="E177" s="10">
        <x:v>5</x:v>
      </x:c>
      <x:c r="F177" s="10" t="s">
        <x:v>1140</x:v>
      </x:c>
      <x:c r="G177" s="10" t="b">
        <x:v>1</x:v>
      </x:c>
      <x:c r="H177" s="86" t="n">
        <x:f>IF(E177="","",E177*IF(F177="fen",0.1,IF(F177="qian",1,IF(F177="liang",10,IF(F177="jin",160,0)))))</x:f>
        <x:v>5</x:v>
      </x:c>
      <x:c r="I177" s="86" t="n">
        <x:f>IF(H177="","",H177*IFERROR(INDEX('Herb'!$L$2:$L$115,MATCH(C177,'Herb'!$A$2:$A$115,0)),0))</x:f>
        <x:v>35</x:v>
      </x:c>
      <x:c r="J177" s="86" t="n">
        <x:f>IF(H177="","",H177*IFERROR(INDEX('Herb'!$M$2:$M$115,MATCH(C177,'Herb'!$A$2:$A$115,0)),0))</x:f>
        <x:v>55</x:v>
      </x:c>
    </x:row>
    <x:row r="178">
      <x:c r="A178" s="10" t="s">
        <x:v>889</x:v>
      </x:c>
      <x:c r="B178" s="10" t="s">
        <x:v>25</x:v>
      </x:c>
      <x:c r="C178" s="10" t="s">
        <x:v>24</x:v>
      </x:c>
      <x:c r="D178" s="15" t="s">
        <x:v>1146</x:v>
      </x:c>
      <x:c r="E178" s="10">
        <x:v>5</x:v>
      </x:c>
      <x:c r="F178" s="10" t="s">
        <x:v>1140</x:v>
      </x:c>
      <x:c r="G178" s="10" t="b">
        <x:v>1</x:v>
      </x:c>
      <x:c r="H178" s="86" t="n">
        <x:f>IF(E178="","",E178*IF(F178="fen",0.1,IF(F178="qian",1,IF(F178="liang",10,IF(F178="jin",160,0)))))</x:f>
        <x:v>5</x:v>
      </x:c>
      <x:c r="I178" s="86" t="n">
        <x:f>IF(H178="","",H178*IFERROR(INDEX('Herb'!$L$2:$L$115,MATCH(C178,'Herb'!$A$2:$A$115,0)),0))</x:f>
        <x:v>25</x:v>
      </x:c>
      <x:c r="J178" s="86" t="n">
        <x:f>IF(H178="","",H178*IFERROR(INDEX('Herb'!$M$2:$M$115,MATCH(C178,'Herb'!$A$2:$A$115,0)),0))</x:f>
        <x:v>45</x:v>
      </x:c>
    </x:row>
    <x:row r="179">
      <x:c r="A179" s="10" t="s">
        <x:v>889</x:v>
      </x:c>
      <x:c r="B179" s="10" t="s">
        <x:v>1285</x:v>
      </x:c>
      <x:c r="C179" s="10" t="s">
        <x:v>1286</x:v>
      </x:c>
      <x:c r="D179" s="15" t="s">
        <x:v>1146</x:v>
      </x:c>
      <x:c r="E179" s="10">
        <x:v>3</x:v>
      </x:c>
      <x:c r="F179" s="10" t="s">
        <x:v>1140</x:v>
      </x:c>
      <x:c r="G179" s="10" t="b">
        <x:v>1</x:v>
      </x:c>
      <x:c r="H179" s="86" t="n">
        <x:f>IF(E179="","",E179*IF(F179="fen",0.1,IF(F179="qian",1,IF(F179="liang",10,IF(F179="jin",160,0)))))</x:f>
        <x:v>3</x:v>
      </x:c>
      <x:c r="I179" s="86" t="n">
        <x:f>IF(H179="","",H179*IFERROR(INDEX('Herb'!$L$2:$L$115,MATCH(C179,'Herb'!$A$2:$A$115,0)),0))</x:f>
        <x:v>36</x:v>
      </x:c>
      <x:c r="J179" s="86" t="n">
        <x:f>IF(H179="","",H179*IFERROR(INDEX('Herb'!$M$2:$M$115,MATCH(C179,'Herb'!$A$2:$A$115,0)),0))</x:f>
        <x:v>60</x:v>
      </x:c>
    </x:row>
    <x:row r="180">
      <x:c r="A180" s="10" t="s">
        <x:v>889</x:v>
      </x:c>
      <x:c r="B180" s="10" t="s">
        <x:v>1147</x:v>
      </x:c>
      <x:c r="C180" s="10" t="s">
        <x:v>1148</x:v>
      </x:c>
      <x:c r="D180" s="16" t="s">
        <x:v>1149</x:v>
      </x:c>
      <x:c r="E180" s="10">
        <x:v>4</x:v>
      </x:c>
      <x:c r="F180" s="10" t="s">
        <x:v>1140</x:v>
      </x:c>
      <x:c r="G180" s="10" t="b">
        <x:v>1</x:v>
      </x:c>
      <x:c r="H180" s="86" t="n">
        <x:f>IF(E180="","",E180*IF(F180="fen",0.1,IF(F180="qian",1,IF(F180="liang",10,IF(F180="jin",160,0)))))</x:f>
        <x:v>4</x:v>
      </x:c>
      <x:c r="I180" s="86" t="n">
        <x:f>IF(H180="","",H180*IFERROR(INDEX('Herb'!$L$2:$L$115,MATCH(C180,'Herb'!$A$2:$A$115,0)),0))</x:f>
        <x:v>8</x:v>
      </x:c>
      <x:c r="J180" s="86" t="n">
        <x:f>IF(H180="","",H180*IFERROR(INDEX('Herb'!$M$2:$M$115,MATCH(C180,'Herb'!$A$2:$A$115,0)),0))</x:f>
        <x:v>16</x:v>
      </x:c>
    </x:row>
    <x:row r="181">
      <x:c r="A181" s="10" t="s">
        <x:v>889</x:v>
      </x:c>
      <x:c r="B181" s="10" t="s">
        <x:v>1152</x:v>
      </x:c>
      <x:c r="C181" s="10" t="s">
        <x:v>1153</x:v>
      </x:c>
      <x:c r="D181" s="16" t="s">
        <x:v>1149</x:v>
      </x:c>
      <x:c r="E181" s="10">
        <x:v>1</x:v>
      </x:c>
      <x:c r="F181" s="10" t="s">
        <x:v>1140</x:v>
      </x:c>
      <x:c r="G181" s="10" t="b">
        <x:v>1</x:v>
      </x:c>
      <x:c r="H181" s="86" t="n">
        <x:f>IF(E181="","",E181*IF(F181="fen",0.1,IF(F181="qian",1,IF(F181="liang",10,IF(F181="jin",160,0)))))</x:f>
        <x:v>1</x:v>
      </x:c>
      <x:c r="I181" s="86" t="n">
        <x:f>IF(H181="","",H181*IFERROR(INDEX('Herb'!$L$2:$L$115,MATCH(C181,'Herb'!$A$2:$A$115,0)),0))</x:f>
        <x:v>1</x:v>
      </x:c>
      <x:c r="J181" s="86" t="n">
        <x:f>IF(H181="","",H181*IFERROR(INDEX('Herb'!$M$2:$M$115,MATCH(C181,'Herb'!$A$2:$A$115,0)),0))</x:f>
        <x:v>2</x:v>
      </x:c>
    </x:row>
    <x:row r="182">
      <x:c r="A182" s="10" t="s">
        <x:v>889</x:v>
      </x:c>
      <x:c r="B182" s="10" t="s">
        <x:v>1154</x:v>
      </x:c>
      <x:c r="C182" s="10" t="s">
        <x:v>1155</x:v>
      </x:c>
      <x:c r="D182" s="16" t="s">
        <x:v>1149</x:v>
      </x:c>
      <x:c r="E182" s="10">
        <x:v>1</x:v>
      </x:c>
      <x:c r="F182" s="10" t="s">
        <x:v>1140</x:v>
      </x:c>
      <x:c r="G182" s="10" t="b">
        <x:v>1</x:v>
      </x:c>
      <x:c r="H182" s="86" t="n">
        <x:f>IF(E182="","",E182*IF(F182="fen",0.1,IF(F182="qian",1,IF(F182="liang",10,IF(F182="jin",160,0)))))</x:f>
        <x:v>1</x:v>
      </x:c>
      <x:c r="I182" s="86" t="n">
        <x:f>IF(H182="","",H182*IFERROR(INDEX('Herb'!$L$2:$L$115,MATCH(C182,'Herb'!$A$2:$A$115,0)),0))</x:f>
        <x:v>2</x:v>
      </x:c>
      <x:c r="J182" s="86" t="n">
        <x:f>IF(H182="","",H182*IFERROR(INDEX('Herb'!$M$2:$M$115,MATCH(C182,'Herb'!$A$2:$A$115,0)),0))</x:f>
        <x:v>4</x:v>
      </x:c>
    </x:row>
    <x:row r="183">
      <x:c r="A183" s="10" t="s">
        <x:v>894</x:v>
      </x:c>
      <x:c r="B183" s="10" t="s">
        <x:v>1287</x:v>
      </x:c>
      <x:c r="C183" s="47" t="s">
        <x:v>1288</x:v>
      </x:c>
      <x:c r="D183" s="13" t="s">
        <x:v>1139</x:v>
      </x:c>
      <x:c r="E183" s="10">
        <x:v>4</x:v>
      </x:c>
      <x:c r="F183" s="10" t="s">
        <x:v>1140</x:v>
      </x:c>
      <x:c r="G183" s="10" t="b">
        <x:v>1</x:v>
      </x:c>
      <x:c r="H183" s="86" t="n">
        <x:f>IF(E183="","",E183*IF(F183="fen",0.1,IF(F183="qian",1,IF(F183="liang",10,IF(F183="jin",160,0)))))</x:f>
        <x:v>4</x:v>
      </x:c>
      <x:c r="I183" s="86" t="n">
        <x:f>IF(H183="","",H183*IFERROR(INDEX('Herb'!$L$2:$L$115,MATCH(C183,'Herb'!$A$2:$A$115,0)),0))</x:f>
        <x:v>24</x:v>
      </x:c>
      <x:c r="J183" s="86" t="n">
        <x:f>IF(H183="","",H183*IFERROR(INDEX('Herb'!$M$2:$M$115,MATCH(C183,'Herb'!$A$2:$A$115,0)),0))</x:f>
        <x:v>44</x:v>
      </x:c>
    </x:row>
    <x:row r="184">
      <x:c r="A184" s="10" t="s">
        <x:v>894</x:v>
      </x:c>
      <x:c r="B184" s="10" t="s">
        <x:v>1289</x:v>
      </x:c>
      <x:c r="C184" s="47" t="s">
        <x:v>1290</x:v>
      </x:c>
      <x:c r="D184" s="13" t="s">
        <x:v>1139</x:v>
      </x:c>
      <x:c r="E184" s="10">
        <x:v>3</x:v>
      </x:c>
      <x:c r="F184" s="10" t="s">
        <x:v>1140</x:v>
      </x:c>
      <x:c r="G184" s="10" t="b">
        <x:v>1</x:v>
      </x:c>
      <x:c r="H184" s="86" t="n">
        <x:f>IF(E184="","",E184*IF(F184="fen",0.1,IF(F184="qian",1,IF(F184="liang",10,IF(F184="jin",160,0)))))</x:f>
        <x:v>3</x:v>
      </x:c>
      <x:c r="I184" s="86" t="n">
        <x:f>IF(H184="","",H184*IFERROR(INDEX('Herb'!$L$2:$L$115,MATCH(C184,'Herb'!$A$2:$A$115,0)),0))</x:f>
        <x:v>21</x:v>
      </x:c>
      <x:c r="J184" s="86" t="n">
        <x:f>IF(H184="","",H184*IFERROR(INDEX('Herb'!$M$2:$M$115,MATCH(C184,'Herb'!$A$2:$A$115,0)),0))</x:f>
        <x:v>36</x:v>
      </x:c>
    </x:row>
    <x:row r="185">
      <x:c r="A185" s="10" t="s">
        <x:v>894</x:v>
      </x:c>
      <x:c r="B185" s="10" t="s">
        <x:v>1291</x:v>
      </x:c>
      <x:c r="C185" s="47" t="s">
        <x:v>1292</x:v>
      </x:c>
      <x:c r="D185" s="14" t="s">
        <x:v>1143</x:v>
      </x:c>
      <x:c r="E185" s="10">
        <x:v>2</x:v>
      </x:c>
      <x:c r="F185" s="10" t="s">
        <x:v>1140</x:v>
      </x:c>
      <x:c r="G185" s="10" t="b">
        <x:v>1</x:v>
      </x:c>
      <x:c r="H185" s="86" t="n">
        <x:f>IF(E185="","",E185*IF(F185="fen",0.1,IF(F185="qian",1,IF(F185="liang",10,IF(F185="jin",160,0)))))</x:f>
        <x:v>2</x:v>
      </x:c>
      <x:c r="I185" s="86" t="n">
        <x:f>IF(H185="","",H185*IFERROR(INDEX('Herb'!$L$2:$L$115,MATCH(C185,'Herb'!$A$2:$A$115,0)),0))</x:f>
        <x:v>12</x:v>
      </x:c>
      <x:c r="J185" s="86" t="n">
        <x:f>IF(H185="","",H185*IFERROR(INDEX('Herb'!$M$2:$M$115,MATCH(C185,'Herb'!$A$2:$A$115,0)),0))</x:f>
        <x:v>22</x:v>
      </x:c>
    </x:row>
    <x:row r="186">
      <x:c r="A186" s="10" t="s">
        <x:v>894</x:v>
      </x:c>
      <x:c r="B186" s="10" t="s">
        <x:v>1218</x:v>
      </x:c>
      <x:c r="C186" s="47" t="s">
        <x:v>1219</x:v>
      </x:c>
      <x:c r="D186" s="14" t="s">
        <x:v>1143</x:v>
      </x:c>
      <x:c r="E186" s="10">
        <x:v>2</x:v>
      </x:c>
      <x:c r="F186" s="10" t="s">
        <x:v>1140</x:v>
      </x:c>
      <x:c r="G186" s="10" t="b">
        <x:v>1</x:v>
      </x:c>
      <x:c r="H186" s="86" t="n">
        <x:f>IF(E186="","",E186*IF(F186="fen",0.1,IF(F186="qian",1,IF(F186="liang",10,IF(F186="jin",160,0)))))</x:f>
        <x:v>2</x:v>
      </x:c>
      <x:c r="I186" s="86" t="n">
        <x:f>IF(H186="","",H186*IFERROR(INDEX('Herb'!$L$2:$L$115,MATCH(C186,'Herb'!$A$2:$A$115,0)),0))</x:f>
        <x:v>14</x:v>
      </x:c>
      <x:c r="J186" s="86" t="n">
        <x:f>IF(H186="","",H186*IFERROR(INDEX('Herb'!$M$2:$M$115,MATCH(C186,'Herb'!$A$2:$A$115,0)),0))</x:f>
        <x:v>22</x:v>
      </x:c>
    </x:row>
    <x:row r="187">
      <x:c r="A187" s="10" t="s">
        <x:v>894</x:v>
      </x:c>
      <x:c r="B187" s="10" t="s">
        <x:v>1293</x:v>
      </x:c>
      <x:c r="C187" s="47" t="s">
        <x:v>1294</x:v>
      </x:c>
      <x:c r="D187" s="14" t="s">
        <x:v>1143</x:v>
      </x:c>
      <x:c r="E187" s="10">
        <x:v>3</x:v>
      </x:c>
      <x:c r="F187" s="10" t="s">
        <x:v>1140</x:v>
      </x:c>
      <x:c r="G187" s="10" t="b">
        <x:v>1</x:v>
      </x:c>
      <x:c r="H187" s="86" t="n">
        <x:f>IF(E187="","",E187*IF(F187="fen",0.1,IF(F187="qian",1,IF(F187="liang",10,IF(F187="jin",160,0)))))</x:f>
        <x:v>3</x:v>
      </x:c>
      <x:c r="I187" s="86" t="n">
        <x:f>IF(H187="","",H187*IFERROR(INDEX('Herb'!$L$2:$L$115,MATCH(C187,'Herb'!$A$2:$A$115,0)),0))</x:f>
        <x:v>21</x:v>
      </x:c>
      <x:c r="J187" s="86" t="n">
        <x:f>IF(H187="","",H187*IFERROR(INDEX('Herb'!$M$2:$M$115,MATCH(C187,'Herb'!$A$2:$A$115,0)),0))</x:f>
        <x:v>36</x:v>
      </x:c>
    </x:row>
    <x:row r="188">
      <x:c r="A188" s="10" t="s">
        <x:v>894</x:v>
      </x:c>
      <x:c r="B188" s="10" t="s">
        <x:v>1216</x:v>
      </x:c>
      <x:c r="C188" s="47" t="s">
        <x:v>1217</x:v>
      </x:c>
      <x:c r="D188" s="15" t="s">
        <x:v>1146</x:v>
      </x:c>
      <x:c r="E188" s="10">
        <x:v>3</x:v>
      </x:c>
      <x:c r="F188" s="10" t="s">
        <x:v>1140</x:v>
      </x:c>
      <x:c r="G188" s="10" t="b">
        <x:v>1</x:v>
      </x:c>
      <x:c r="H188" s="86" t="n">
        <x:f>IF(E188="","",E188*IF(F188="fen",0.1,IF(F188="qian",1,IF(F188="liang",10,IF(F188="jin",160,0)))))</x:f>
        <x:v>3</x:v>
      </x:c>
      <x:c r="I188" s="86" t="n">
        <x:f>IF(H188="","",H188*IFERROR(INDEX('Herb'!$L$2:$L$115,MATCH(C188,'Herb'!$A$2:$A$115,0)),0))</x:f>
        <x:v>24</x:v>
      </x:c>
      <x:c r="J188" s="86" t="n">
        <x:f>IF(H188="","",H188*IFERROR(INDEX('Herb'!$M$2:$M$115,MATCH(C188,'Herb'!$A$2:$A$115,0)),0))</x:f>
        <x:v>36</x:v>
      </x:c>
    </x:row>
    <x:row r="189">
      <x:c r="A189" s="10" t="s">
        <x:v>894</x:v>
      </x:c>
      <x:c r="B189" s="10" t="s">
        <x:v>1271</x:v>
      </x:c>
      <x:c r="C189" s="47" t="s">
        <x:v>1272</x:v>
      </x:c>
      <x:c r="D189" s="15" t="s">
        <x:v>1146</x:v>
      </x:c>
      <x:c r="E189" s="10">
        <x:v>3</x:v>
      </x:c>
      <x:c r="F189" s="10" t="s">
        <x:v>1140</x:v>
      </x:c>
      <x:c r="G189" s="10" t="b">
        <x:v>1</x:v>
      </x:c>
      <x:c r="H189" s="86" t="n">
        <x:f>IF(E189="","",E189*IF(F189="fen",0.1,IF(F189="qian",1,IF(F189="liang",10,IF(F189="jin",160,0)))))</x:f>
        <x:v>3</x:v>
      </x:c>
      <x:c r="I189" s="86" t="n">
        <x:f>IF(H189="","",H189*IFERROR(INDEX('Herb'!$L$2:$L$115,MATCH(C189,'Herb'!$A$2:$A$115,0)),0))</x:f>
        <x:v>24</x:v>
      </x:c>
      <x:c r="J189" s="86" t="n">
        <x:f>IF(H189="","",H189*IFERROR(INDEX('Herb'!$M$2:$M$115,MATCH(C189,'Herb'!$A$2:$A$115,0)),0))</x:f>
        <x:v>39</x:v>
      </x:c>
    </x:row>
    <x:row r="190">
      <x:c r="A190" s="10" t="s">
        <x:v>894</x:v>
      </x:c>
      <x:c r="B190" s="10" t="s">
        <x:v>1169</x:v>
      </x:c>
      <x:c r="C190" s="47" t="s">
        <x:v>1170</x:v>
      </x:c>
      <x:c r="D190" s="15" t="s">
        <x:v>1146</x:v>
      </x:c>
      <x:c r="E190" s="10">
        <x:v>2</x:v>
      </x:c>
      <x:c r="F190" s="10" t="s">
        <x:v>1140</x:v>
      </x:c>
      <x:c r="G190" s="10" t="b">
        <x:v>1</x:v>
      </x:c>
      <x:c r="H190" s="86" t="n">
        <x:f>IF(E190="","",E190*IF(F190="fen",0.1,IF(F190="qian",1,IF(F190="liang",10,IF(F190="jin",160,0)))))</x:f>
        <x:v>2</x:v>
      </x:c>
      <x:c r="I190" s="86" t="n">
        <x:f>IF(H190="","",H190*IFERROR(INDEX('Herb'!$L$2:$L$115,MATCH(C190,'Herb'!$A$2:$A$115,0)),0))</x:f>
        <x:v>8</x:v>
      </x:c>
      <x:c r="J190" s="86" t="n">
        <x:f>IF(H190="","",H190*IFERROR(INDEX('Herb'!$M$2:$M$115,MATCH(C190,'Herb'!$A$2:$A$115,0)),0))</x:f>
        <x:v>14</x:v>
      </x:c>
    </x:row>
    <x:row r="191">
      <x:c r="A191" s="10" t="s">
        <x:v>894</x:v>
      </x:c>
      <x:c r="B191" s="10" t="s">
        <x:v>1191</x:v>
      </x:c>
      <x:c r="C191" s="47" t="s">
        <x:v>1192</x:v>
      </x:c>
      <x:c r="D191" s="15" t="s">
        <x:v>1146</x:v>
      </x:c>
      <x:c r="E191" s="10">
        <x:v>3</x:v>
      </x:c>
      <x:c r="F191" s="10" t="s">
        <x:v>1140</x:v>
      </x:c>
      <x:c r="G191" s="10" t="b">
        <x:v>1</x:v>
      </x:c>
      <x:c r="H191" s="86" t="n">
        <x:f>IF(E191="","",E191*IF(F191="fen",0.1,IF(F191="qian",1,IF(F191="liang",10,IF(F191="jin",160,0)))))</x:f>
        <x:v>3</x:v>
      </x:c>
      <x:c r="I191" s="86" t="n">
        <x:f>IF(H191="","",H191*IFERROR(INDEX('Herb'!$L$2:$L$115,MATCH(C191,'Herb'!$A$2:$A$115,0)),0))</x:f>
        <x:v>12</x:v>
      </x:c>
      <x:c r="J191" s="86" t="n">
        <x:f>IF(H191="","",H191*IFERROR(INDEX('Herb'!$M$2:$M$115,MATCH(C191,'Herb'!$A$2:$A$115,0)),0))</x:f>
        <x:v>21</x:v>
      </x:c>
    </x:row>
    <x:row r="192">
      <x:c r="A192" s="10" t="s">
        <x:v>894</x:v>
      </x:c>
      <x:c r="B192" s="10" t="s">
        <x:v>1295</x:v>
      </x:c>
      <x:c r="C192" s="47" t="s">
        <x:v>1296</x:v>
      </x:c>
      <x:c r="D192" s="15" t="s">
        <x:v>1146</x:v>
      </x:c>
      <x:c r="E192" s="10">
        <x:v>1</x:v>
      </x:c>
      <x:c r="F192" s="10" t="s">
        <x:v>1140</x:v>
      </x:c>
      <x:c r="G192" s="10" t="b">
        <x:v>1</x:v>
      </x:c>
      <x:c r="H192" s="86" t="n">
        <x:f>IF(E192="","",E192*IF(F192="fen",0.1,IF(F192="qian",1,IF(F192="liang",10,IF(F192="jin",160,0)))))</x:f>
        <x:v>1</x:v>
      </x:c>
      <x:c r="I192" s="86" t="n">
        <x:f>IF(H192="","",H192*IFERROR(INDEX('Herb'!$L$2:$L$115,MATCH(C192,'Herb'!$A$2:$A$115,0)),0))</x:f>
        <x:v>6</x:v>
      </x:c>
      <x:c r="J192" s="86" t="n">
        <x:f>IF(H192="","",H192*IFERROR(INDEX('Herb'!$M$2:$M$115,MATCH(C192,'Herb'!$A$2:$A$115,0)),0))</x:f>
        <x:v>11</x:v>
      </x:c>
    </x:row>
    <x:row r="193">
      <x:c r="A193" s="10" t="s">
        <x:v>894</x:v>
      </x:c>
      <x:c r="B193" s="10" t="s">
        <x:v>1147</x:v>
      </x:c>
      <x:c r="C193" s="47" t="s">
        <x:v>1148</x:v>
      </x:c>
      <x:c r="D193" s="16" t="s">
        <x:v>1149</x:v>
      </x:c>
      <x:c r="E193" s="10">
        <x:v>2</x:v>
      </x:c>
      <x:c r="F193" s="10" t="s">
        <x:v>1140</x:v>
      </x:c>
      <x:c r="G193" s="10" t="b">
        <x:v>1</x:v>
      </x:c>
      <x:c r="H193" s="86" t="n">
        <x:f>IF(E193="","",E193*IF(F193="fen",0.1,IF(F193="qian",1,IF(F193="liang",10,IF(F193="jin",160,0)))))</x:f>
        <x:v>2</x:v>
      </x:c>
      <x:c r="I193" s="86" t="n">
        <x:f>IF(H193="","",H193*IFERROR(INDEX('Herb'!$L$2:$L$115,MATCH(C193,'Herb'!$A$2:$A$115,0)),0))</x:f>
        <x:v>4</x:v>
      </x:c>
      <x:c r="J193" s="86" t="n">
        <x:f>IF(H193="","",H193*IFERROR(INDEX('Herb'!$M$2:$M$115,MATCH(C193,'Herb'!$A$2:$A$115,0)),0))</x:f>
        <x:v>8</x:v>
      </x:c>
    </x:row>
    <x:row r="194">
      <x:c r="A194" s="10" t="s">
        <x:v>898</x:v>
      </x:c>
      <x:c r="B194" s="10" t="s">
        <x:v>1271</x:v>
      </x:c>
      <x:c r="C194" s="10" t="s">
        <x:v>1272</x:v>
      </x:c>
      <x:c r="D194" s="13" t="s">
        <x:v>1139</x:v>
      </x:c>
      <x:c r="E194" s="10">
        <x:v>4</x:v>
      </x:c>
      <x:c r="F194" s="10" t="s">
        <x:v>1158</x:v>
      </x:c>
      <x:c r="G194" s="10" t="b">
        <x:v>1</x:v>
      </x:c>
      <x:c r="H194" s="86" t="n">
        <x:f>IF(E194="","",E194*IF(F194="fen",0.1,IF(F194="qian",1,IF(F194="liang",10,IF(F194="jin",160,0)))))</x:f>
        <x:v>40</x:v>
      </x:c>
      <x:c r="I194" s="86" t="n">
        <x:f>IF(H194="","",H194*IFERROR(INDEX('Herb'!$L$2:$L$115,MATCH(C194,'Herb'!$A$2:$A$115,0)),0))</x:f>
        <x:v>320</x:v>
      </x:c>
      <x:c r="J194" s="86" t="n">
        <x:f>IF(H194="","",H194*IFERROR(INDEX('Herb'!$M$2:$M$115,MATCH(C194,'Herb'!$A$2:$A$115,0)),0))</x:f>
        <x:v>520</x:v>
      </x:c>
    </x:row>
    <x:row r="195">
      <x:c r="A195" s="10" t="s">
        <x:v>898</x:v>
      </x:c>
      <x:c r="B195" s="10" t="s">
        <x:v>1297</x:v>
      </x:c>
      <x:c r="C195" s="10" t="s">
        <x:v>1298</x:v>
      </x:c>
      <x:c r="D195" s="14" t="s">
        <x:v>1143</x:v>
      </x:c>
      <x:c r="E195" s="10">
        <x:v>1</x:v>
      </x:c>
      <x:c r="F195" s="10" t="s">
        <x:v>1158</x:v>
      </x:c>
      <x:c r="G195" s="10" t="b">
        <x:v>1</x:v>
      </x:c>
      <x:c r="H195" s="86" t="n">
        <x:f>IF(E195="","",E195*IF(F195="fen",0.1,IF(F195="qian",1,IF(F195="liang",10,IF(F195="jin",160,0)))))</x:f>
        <x:v>10</x:v>
      </x:c>
      <x:c r="I195" s="86" t="n">
        <x:f>IF(H195="","",H195*IFERROR(INDEX('Herb'!$L$2:$L$115,MATCH(C195,'Herb'!$A$2:$A$115,0)),0))</x:f>
        <x:v>100</x:v>
      </x:c>
      <x:c r="J195" s="86" t="n">
        <x:f>IF(H195="","",H195*IFERROR(INDEX('Herb'!$M$2:$M$115,MATCH(C195,'Herb'!$A$2:$A$115,0)),0))</x:f>
        <x:v>170</x:v>
      </x:c>
    </x:row>
    <x:row r="196">
      <x:c r="A196" s="10" t="s">
        <x:v>898</x:v>
      </x:c>
      <x:c r="B196" s="10" t="s">
        <x:v>1233</x:v>
      </x:c>
      <x:c r="C196" s="10" t="s">
        <x:v>1234</x:v>
      </x:c>
      <x:c r="D196" s="14" t="s">
        <x:v>1143</x:v>
      </x:c>
      <x:c r="E196" s="10">
        <x:v>1</x:v>
      </x:c>
      <x:c r="F196" s="10" t="s">
        <x:v>1158</x:v>
      </x:c>
      <x:c r="G196" s="10" t="b">
        <x:v>1</x:v>
      </x:c>
      <x:c r="H196" s="86" t="n">
        <x:f>IF(E196="","",E196*IF(F196="fen",0.1,IF(F196="qian",1,IF(F196="liang",10,IF(F196="jin",160,0)))))</x:f>
        <x:v>10</x:v>
      </x:c>
      <x:c r="I196" s="86" t="n">
        <x:f>IF(H196="","",H196*IFERROR(INDEX('Herb'!$L$2:$L$115,MATCH(C196,'Herb'!$A$2:$A$115,0)),0))</x:f>
        <x:v>90</x:v>
      </x:c>
      <x:c r="J196" s="86" t="n">
        <x:f>IF(H196="","",H196*IFERROR(INDEX('Herb'!$M$2:$M$115,MATCH(C196,'Herb'!$A$2:$A$115,0)),0))</x:f>
        <x:v>150</x:v>
      </x:c>
    </x:row>
    <x:row r="197">
      <x:c r="A197" s="10" t="s">
        <x:v>898</x:v>
      </x:c>
      <x:c r="B197" s="10" t="s">
        <x:v>1279</x:v>
      </x:c>
      <x:c r="C197" s="10" t="s">
        <x:v>1280</x:v>
      </x:c>
      <x:c r="D197" s="14" t="s">
        <x:v>1143</x:v>
      </x:c>
      <x:c r="E197" s="10">
        <x:v>1</x:v>
      </x:c>
      <x:c r="F197" s="10" t="s">
        <x:v>1158</x:v>
      </x:c>
      <x:c r="G197" s="10" t="b">
        <x:v>1</x:v>
      </x:c>
      <x:c r="H197" s="86" t="n">
        <x:f>IF(E197="","",E197*IF(F197="fen",0.1,IF(F197="qian",1,IF(F197="liang",10,IF(F197="jin",160,0)))))</x:f>
        <x:v>10</x:v>
      </x:c>
      <x:c r="I197" s="86" t="n">
        <x:f>IF(H197="","",H197*IFERROR(INDEX('Herb'!$L$2:$L$115,MATCH(C197,'Herb'!$A$2:$A$115,0)),0))</x:f>
        <x:v>140</x:v>
      </x:c>
      <x:c r="J197" s="86" t="n">
        <x:f>IF(H197="","",H197*IFERROR(INDEX('Herb'!$M$2:$M$115,MATCH(C197,'Herb'!$A$2:$A$115,0)),0))</x:f>
        <x:v>210</x:v>
      </x:c>
    </x:row>
    <x:row r="198">
      <x:c r="A198" s="10" t="s">
        <x:v>898</x:v>
      </x:c>
      <x:c r="B198" s="10" t="s">
        <x:v>1281</x:v>
      </x:c>
      <x:c r="C198" s="10" t="s">
        <x:v>1282</x:v>
      </x:c>
      <x:c r="D198" s="14" t="s">
        <x:v>1143</x:v>
      </x:c>
      <x:c r="E198" s="10">
        <x:v>1</x:v>
      </x:c>
      <x:c r="F198" s="10" t="s">
        <x:v>1158</x:v>
      </x:c>
      <x:c r="G198" s="10" t="b">
        <x:v>1</x:v>
      </x:c>
      <x:c r="H198" s="86" t="n">
        <x:f>IF(E198="","",E198*IF(F198="fen",0.1,IF(F198="qian",1,IF(F198="liang",10,IF(F198="jin",160,0)))))</x:f>
        <x:v>10</x:v>
      </x:c>
      <x:c r="I198" s="86" t="n">
        <x:f>IF(H198="","",H198*IFERROR(INDEX('Herb'!$L$2:$L$115,MATCH(C198,'Herb'!$A$2:$A$115,0)),0))</x:f>
        <x:v>130</x:v>
      </x:c>
      <x:c r="J198" s="86" t="n">
        <x:f>IF(H198="","",H198*IFERROR(INDEX('Herb'!$M$2:$M$115,MATCH(C198,'Herb'!$A$2:$A$115,0)),0))</x:f>
        <x:v>200</x:v>
      </x:c>
    </x:row>
    <x:row r="199">
      <x:c r="A199" s="10" t="s">
        <x:v>898</x:v>
      </x:c>
      <x:c r="B199" s="10" t="s">
        <x:v>1216</x:v>
      </x:c>
      <x:c r="C199" s="10" t="s">
        <x:v>1217</x:v>
      </x:c>
      <x:c r="D199" s="14" t="s">
        <x:v>1143</x:v>
      </x:c>
      <x:c r="E199" s="10">
        <x:v>1</x:v>
      </x:c>
      <x:c r="F199" s="10" t="s">
        <x:v>1158</x:v>
      </x:c>
      <x:c r="G199" s="10" t="b">
        <x:v>1</x:v>
      </x:c>
      <x:c r="H199" s="86" t="n">
        <x:f>IF(E199="","",E199*IF(F199="fen",0.1,IF(F199="qian",1,IF(F199="liang",10,IF(F199="jin",160,0)))))</x:f>
        <x:v>10</x:v>
      </x:c>
      <x:c r="I199" s="86" t="n">
        <x:f>IF(H199="","",H199*IFERROR(INDEX('Herb'!$L$2:$L$115,MATCH(C199,'Herb'!$A$2:$A$115,0)),0))</x:f>
        <x:v>80</x:v>
      </x:c>
      <x:c r="J199" s="86" t="n">
        <x:f>IF(H199="","",H199*IFERROR(INDEX('Herb'!$M$2:$M$115,MATCH(C199,'Herb'!$A$2:$A$115,0)),0))</x:f>
        <x:v>120</x:v>
      </x:c>
    </x:row>
    <x:row r="200">
      <x:c r="A200" s="10" t="s">
        <x:v>898</x:v>
      </x:c>
      <x:c r="B200" s="10" t="s">
        <x:v>306</x:v>
      </x:c>
      <x:c r="C200" s="10" t="s">
        <x:v>1224</x:v>
      </x:c>
      <x:c r="D200" s="15" t="s">
        <x:v>1146</x:v>
      </x:c>
      <x:c r="E200" s="10">
        <x:v>5</x:v>
      </x:c>
      <x:c r="F200" s="10" t="s">
        <x:v>1140</x:v>
      </x:c>
      <x:c r="G200" s="10" t="b">
        <x:v>1</x:v>
      </x:c>
      <x:c r="H200" s="86" t="n">
        <x:f>IF(E200="","",E200*IF(F200="fen",0.1,IF(F200="qian",1,IF(F200="liang",10,IF(F200="jin",160,0)))))</x:f>
        <x:v>5</x:v>
      </x:c>
      <x:c r="I200" s="86" t="n">
        <x:f>IF(H200="","",H200*IFERROR(INDEX('Herb'!$L$2:$L$115,MATCH(C200,'Herb'!$A$2:$A$115,0)),0))</x:f>
        <x:v>300</x:v>
      </x:c>
      <x:c r="J200" s="86" t="n">
        <x:f>IF(H200="","",H200*IFERROR(INDEX('Herb'!$M$2:$M$115,MATCH(C200,'Herb'!$A$2:$A$115,0)),0))</x:f>
        <x:v>385</x:v>
      </x:c>
    </x:row>
    <x:row r="201">
      <x:c r="A201" s="10" t="s">
        <x:v>898</x:v>
      </x:c>
      <x:c r="B201" s="10" t="s">
        <x:v>1189</x:v>
      </x:c>
      <x:c r="C201" s="10" t="s">
        <x:v>1190</x:v>
      </x:c>
      <x:c r="D201" s="15" t="s">
        <x:v>1146</x:v>
      </x:c>
      <x:c r="E201" s="10">
        <x:v>5</x:v>
      </x:c>
      <x:c r="F201" s="10" t="s">
        <x:v>1140</x:v>
      </x:c>
      <x:c r="G201" s="10" t="b">
        <x:v>1</x:v>
      </x:c>
      <x:c r="H201" s="86" t="n">
        <x:f>IF(E201="","",E201*IF(F201="fen",0.1,IF(F201="qian",1,IF(F201="liang",10,IF(F201="jin",160,0)))))</x:f>
        <x:v>5</x:v>
      </x:c>
      <x:c r="I201" s="86" t="n">
        <x:f>IF(H201="","",H201*IFERROR(INDEX('Herb'!$L$2:$L$115,MATCH(C201,'Herb'!$A$2:$A$115,0)),0))</x:f>
        <x:v>25</x:v>
      </x:c>
      <x:c r="J201" s="86" t="n">
        <x:f>IF(H201="","",H201*IFERROR(INDEX('Herb'!$M$2:$M$115,MATCH(C201,'Herb'!$A$2:$A$115,0)),0))</x:f>
        <x:v>40</x:v>
      </x:c>
    </x:row>
    <x:row r="202">
      <x:c r="A202" s="10" t="s">
        <x:v>898</x:v>
      </x:c>
      <x:c r="B202" s="10" t="s">
        <x:v>1299</x:v>
      </x:c>
      <x:c r="C202" s="10" t="s">
        <x:v>1300</x:v>
      </x:c>
      <x:c r="D202" s="15" t="s">
        <x:v>1146</x:v>
      </x:c>
      <x:c r="E202" s="10">
        <x:v>5</x:v>
      </x:c>
      <x:c r="F202" s="10" t="s">
        <x:v>1140</x:v>
      </x:c>
      <x:c r="G202" s="10" t="b">
        <x:v>1</x:v>
      </x:c>
      <x:c r="H202" s="86" t="n">
        <x:f>IF(E202="","",E202*IF(F202="fen",0.1,IF(F202="qian",1,IF(F202="liang",10,IF(F202="jin",160,0)))))</x:f>
        <x:v>5</x:v>
      </x:c>
      <x:c r="I202" s="86" t="n">
        <x:f>IF(H202="","",H202*IFERROR(INDEX('Herb'!$L$2:$L$115,MATCH(C202,'Herb'!$A$2:$A$115,0)),0))</x:f>
        <x:v>40</x:v>
      </x:c>
      <x:c r="J202" s="86" t="n">
        <x:f>IF(H202="","",H202*IFERROR(INDEX('Herb'!$M$2:$M$115,MATCH(C202,'Herb'!$A$2:$A$115,0)),0))</x:f>
        <x:v>70</x:v>
      </x:c>
    </x:row>
    <x:row r="203">
      <x:c r="A203" s="10" t="s">
        <x:v>898</x:v>
      </x:c>
      <x:c r="B203" s="10" t="s">
        <x:v>1301</x:v>
      </x:c>
      <x:c r="C203" s="10" t="s">
        <x:v>1302</x:v>
      </x:c>
      <x:c r="D203" s="15" t="s">
        <x:v>1146</x:v>
      </x:c>
      <x:c r="E203" s="10">
        <x:v>5</x:v>
      </x:c>
      <x:c r="F203" s="10" t="s">
        <x:v>1140</x:v>
      </x:c>
      <x:c r="G203" s="10" t="b">
        <x:v>1</x:v>
      </x:c>
      <x:c r="H203" s="86" t="n">
        <x:f>IF(E203="","",E203*IF(F203="fen",0.1,IF(F203="qian",1,IF(F203="liang",10,IF(F203="jin",160,0)))))</x:f>
        <x:v>5</x:v>
      </x:c>
      <x:c r="I203" s="86" t="n">
        <x:f>IF(H203="","",H203*IFERROR(INDEX('Herb'!$L$2:$L$115,MATCH(C203,'Herb'!$A$2:$A$115,0)),0))</x:f>
        <x:v>40</x:v>
      </x:c>
      <x:c r="J203" s="86" t="n">
        <x:f>IF(H203="","",H203*IFERROR(INDEX('Herb'!$M$2:$M$115,MATCH(C203,'Herb'!$A$2:$A$115,0)),0))</x:f>
        <x:v>70</x:v>
      </x:c>
    </x:row>
    <x:row r="204">
      <x:c r="A204" s="10" t="s">
        <x:v>898</x:v>
      </x:c>
      <x:c r="B204" s="10" t="s">
        <x:v>1283</x:v>
      </x:c>
      <x:c r="C204" s="10" t="s">
        <x:v>1284</x:v>
      </x:c>
      <x:c r="D204" s="15" t="s">
        <x:v>1146</x:v>
      </x:c>
      <x:c r="E204" s="10">
        <x:v>5</x:v>
      </x:c>
      <x:c r="F204" s="10" t="s">
        <x:v>1140</x:v>
      </x:c>
      <x:c r="G204" s="10" t="b">
        <x:v>1</x:v>
      </x:c>
      <x:c r="H204" s="86" t="n">
        <x:f>IF(E204="","",E204*IF(F204="fen",0.1,IF(F204="qian",1,IF(F204="liang",10,IF(F204="jin",160,0)))))</x:f>
        <x:v>5</x:v>
      </x:c>
      <x:c r="I204" s="86" t="n">
        <x:f>IF(H204="","",H204*IFERROR(INDEX('Herb'!$L$2:$L$115,MATCH(C204,'Herb'!$A$2:$A$115,0)),0))</x:f>
        <x:v>45</x:v>
      </x:c>
      <x:c r="J204" s="86" t="n">
        <x:f>IF(H204="","",H204*IFERROR(INDEX('Herb'!$M$2:$M$115,MATCH(C204,'Herb'!$A$2:$A$115,0)),0))</x:f>
        <x:v>75</x:v>
      </x:c>
    </x:row>
    <x:row r="205">
      <x:c r="A205" s="10" t="s">
        <x:v>898</x:v>
      </x:c>
      <x:c r="B205" s="10" t="s">
        <x:v>1227</x:v>
      </x:c>
      <x:c r="C205" s="10" t="s">
        <x:v>1228</x:v>
      </x:c>
      <x:c r="D205" s="15" t="s">
        <x:v>1146</x:v>
      </x:c>
      <x:c r="E205" s="10">
        <x:v>5</x:v>
      </x:c>
      <x:c r="F205" s="10" t="s">
        <x:v>1140</x:v>
      </x:c>
      <x:c r="G205" s="10" t="b">
        <x:v>1</x:v>
      </x:c>
      <x:c r="H205" s="86" t="n">
        <x:f>IF(E205="","",E205*IF(F205="fen",0.1,IF(F205="qian",1,IF(F205="liang",10,IF(F205="jin",160,0)))))</x:f>
        <x:v>5</x:v>
      </x:c>
      <x:c r="I205" s="86" t="n">
        <x:f>IF(H205="","",H205*IFERROR(INDEX('Herb'!$L$2:$L$115,MATCH(C205,'Herb'!$A$2:$A$115,0)),0))</x:f>
        <x:v>40</x:v>
      </x:c>
      <x:c r="J205" s="86" t="n">
        <x:f>IF(H205="","",H205*IFERROR(INDEX('Herb'!$M$2:$M$115,MATCH(C205,'Herb'!$A$2:$A$115,0)),0))</x:f>
        <x:v>65</x:v>
      </x:c>
    </x:row>
    <x:row r="206">
      <x:c r="A206" s="10" t="s">
        <x:v>898</x:v>
      </x:c>
      <x:c r="B206" s="10" t="s">
        <x:v>1169</x:v>
      </x:c>
      <x:c r="C206" s="10" t="s">
        <x:v>1170</x:v>
      </x:c>
      <x:c r="D206" s="16" t="s">
        <x:v>1149</x:v>
      </x:c>
      <x:c r="E206" s="10">
        <x:v>5</x:v>
      </x:c>
      <x:c r="F206" s="10" t="s">
        <x:v>1140</x:v>
      </x:c>
      <x:c r="G206" s="10" t="b">
        <x:v>1</x:v>
      </x:c>
      <x:c r="H206" s="86" t="n">
        <x:f>IF(E206="","",E206*IF(F206="fen",0.1,IF(F206="qian",1,IF(F206="liang",10,IF(F206="jin",160,0)))))</x:f>
        <x:v>5</x:v>
      </x:c>
      <x:c r="I206" s="86" t="n">
        <x:f>IF(H206="","",H206*IFERROR(INDEX('Herb'!$L$2:$L$115,MATCH(C206,'Herb'!$A$2:$A$115,0)),0))</x:f>
        <x:v>20</x:v>
      </x:c>
      <x:c r="J206" s="86" t="n">
        <x:f>IF(H206="","",H206*IFERROR(INDEX('Herb'!$M$2:$M$115,MATCH(C206,'Herb'!$A$2:$A$115,0)),0))</x:f>
        <x:v>35</x:v>
      </x:c>
    </x:row>
    <x:row r="207">
      <x:c r="A207" s="10" t="s">
        <x:v>901</x:v>
      </x:c>
      <x:c r="B207" s="10" t="s">
        <x:v>1141</x:v>
      </x:c>
      <x:c r="C207" s="10" t="s">
        <x:v>1142</x:v>
      </x:c>
      <x:c r="D207" s="13" t="s">
        <x:v>1139</x:v>
      </x:c>
      <x:c r="E207" s="10">
        <x:v>4</x:v>
      </x:c>
      <x:c r="F207" s="10" t="s">
        <x:v>1140</x:v>
      </x:c>
      <x:c r="G207" s="10" t="b">
        <x:v>1</x:v>
      </x:c>
      <x:c r="H207" s="86" t="n">
        <x:f>IF(E207="","",E207*IF(F207="fen",0.1,IF(F207="qian",1,IF(F207="liang",10,IF(F207="jin",160,0)))))</x:f>
        <x:v>4</x:v>
      </x:c>
      <x:c r="I207" s="86" t="n">
        <x:f>IF(H207="","",H207*IFERROR(INDEX('Herb'!$L$2:$L$115,MATCH(C207,'Herb'!$A$2:$A$115,0)),0))</x:f>
        <x:v>16</x:v>
      </x:c>
      <x:c r="J207" s="86" t="n">
        <x:f>IF(H207="","",H207*IFERROR(INDEX('Herb'!$M$2:$M$115,MATCH(C207,'Herb'!$A$2:$A$115,0)),0))</x:f>
        <x:v>24</x:v>
      </x:c>
    </x:row>
    <x:row r="208">
      <x:c r="A208" s="10" t="s">
        <x:v>901</x:v>
      </x:c>
      <x:c r="B208" s="10" t="s">
        <x:v>1147</x:v>
      </x:c>
      <x:c r="C208" s="10" t="s">
        <x:v>1148</x:v>
      </x:c>
      <x:c r="D208" s="14" t="s">
        <x:v>1143</x:v>
      </x:c>
      <x:c r="E208" s="10">
        <x:v>2</x:v>
      </x:c>
      <x:c r="F208" s="10" t="s">
        <x:v>1140</x:v>
      </x:c>
      <x:c r="G208" s="10" t="b">
        <x:v>1</x:v>
      </x:c>
      <x:c r="H208" s="86" t="n">
        <x:f>IF(E208="","",E208*IF(F208="fen",0.1,IF(F208="qian",1,IF(F208="liang",10,IF(F208="jin",160,0)))))</x:f>
        <x:v>2</x:v>
      </x:c>
      <x:c r="I208" s="86" t="n">
        <x:f>IF(H208="","",H208*IFERROR(INDEX('Herb'!$L$2:$L$115,MATCH(C208,'Herb'!$A$2:$A$115,0)),0))</x:f>
        <x:v>4</x:v>
      </x:c>
      <x:c r="J208" s="86" t="n">
        <x:f>IF(H208="","",H208*IFERROR(INDEX('Herb'!$M$2:$M$115,MATCH(C208,'Herb'!$A$2:$A$115,0)),0))</x:f>
        <x:v>8</x:v>
      </x:c>
    </x:row>
    <x:row r="209">
      <x:c r="A209" s="10" t="s">
        <x:v>904</x:v>
      </x:c>
      <x:c r="B209" s="10" t="s">
        <x:v>1303</x:v>
      </x:c>
      <x:c r="C209" s="10" t="s">
        <x:v>1304</x:v>
      </x:c>
      <x:c r="D209" s="13" t="s">
        <x:v>1139</x:v>
      </x:c>
      <x:c r="E209" s="10">
        <x:v>3</x:v>
      </x:c>
      <x:c r="F209" s="10" t="s">
        <x:v>1140</x:v>
      </x:c>
      <x:c r="G209" s="10" t="b">
        <x:v>1</x:v>
      </x:c>
      <x:c r="H209" s="86" t="n">
        <x:f>IF(E209="","",E209*IF(F209="fen",0.1,IF(F209="qian",1,IF(F209="liang",10,IF(F209="jin",160,0)))))</x:f>
        <x:v>3</x:v>
      </x:c>
      <x:c r="I209" s="86" t="n">
        <x:f>IF(H209="","",H209*IFERROR(INDEX('Herb'!$L$2:$L$115,MATCH(C209,'Herb'!$A$2:$A$115,0)),0))</x:f>
        <x:v>36</x:v>
      </x:c>
      <x:c r="J209" s="86" t="n">
        <x:f>IF(H209="","",H209*IFERROR(INDEX('Herb'!$M$2:$M$115,MATCH(C209,'Herb'!$A$2:$A$115,0)),0))</x:f>
        <x:v>60</x:v>
      </x:c>
    </x:row>
    <x:row r="210">
      <x:c r="A210" s="10" t="s">
        <x:v>904</x:v>
      </x:c>
      <x:c r="B210" s="10" t="s">
        <x:v>25</x:v>
      </x:c>
      <x:c r="C210" s="10" t="s">
        <x:v>24</x:v>
      </x:c>
      <x:c r="D210" s="14" t="s">
        <x:v>1143</x:v>
      </x:c>
      <x:c r="E210" s="10">
        <x:v>4</x:v>
      </x:c>
      <x:c r="F210" s="10" t="s">
        <x:v>1140</x:v>
      </x:c>
      <x:c r="G210" s="10" t="b">
        <x:v>1</x:v>
      </x:c>
      <x:c r="H210" s="86" t="n">
        <x:f>IF(E210="","",E210*IF(F210="fen",0.1,IF(F210="qian",1,IF(F210="liang",10,IF(F210="jin",160,0)))))</x:f>
        <x:v>4</x:v>
      </x:c>
      <x:c r="I210" s="86" t="n">
        <x:f>IF(H210="","",H210*IFERROR(INDEX('Herb'!$L$2:$L$115,MATCH(C210,'Herb'!$A$2:$A$115,0)),0))</x:f>
        <x:v>20</x:v>
      </x:c>
      <x:c r="J210" s="86" t="n">
        <x:f>IF(H210="","",H210*IFERROR(INDEX('Herb'!$M$2:$M$115,MATCH(C210,'Herb'!$A$2:$A$115,0)),0))</x:f>
        <x:v>36</x:v>
      </x:c>
    </x:row>
    <x:row r="211">
      <x:c r="A211" s="10" t="s">
        <x:v>904</x:v>
      </x:c>
      <x:c r="B211" s="10" t="s">
        <x:v>1273</x:v>
      </x:c>
      <x:c r="C211" s="10" t="s">
        <x:v>1274</x:v>
      </x:c>
      <x:c r="D211" s="14" t="s">
        <x:v>1143</x:v>
      </x:c>
      <x:c r="E211" s="10">
        <x:v>5</x:v>
      </x:c>
      <x:c r="F211" s="10" t="s">
        <x:v>1140</x:v>
      </x:c>
      <x:c r="G211" s="10" t="b">
        <x:v>1</x:v>
      </x:c>
      <x:c r="H211" s="86" t="n">
        <x:f>IF(E211="","",E211*IF(F211="fen",0.1,IF(F211="qian",1,IF(F211="liang",10,IF(F211="jin",160,0)))))</x:f>
        <x:v>5</x:v>
      </x:c>
      <x:c r="I211" s="86" t="n">
        <x:f>IF(H211="","",H211*IFERROR(INDEX('Herb'!$L$2:$L$115,MATCH(C211,'Herb'!$A$2:$A$115,0)),0))</x:f>
        <x:v>20</x:v>
      </x:c>
      <x:c r="J211" s="86" t="n">
        <x:f>IF(H211="","",H211*IFERROR(INDEX('Herb'!$M$2:$M$115,MATCH(C211,'Herb'!$A$2:$A$115,0)),0))</x:f>
        <x:v>35</x:v>
      </x:c>
    </x:row>
    <x:row r="212">
      <x:c r="A212" s="10" t="s">
        <x:v>904</x:v>
      </x:c>
      <x:c r="B212" s="10" t="s">
        <x:v>23</x:v>
      </x:c>
      <x:c r="C212" s="10" t="s">
        <x:v>22</x:v>
      </x:c>
      <x:c r="D212" s="15" t="s">
        <x:v>1146</x:v>
      </x:c>
      <x:c r="E212" s="10">
        <x:v>4</x:v>
      </x:c>
      <x:c r="F212" s="10" t="s">
        <x:v>1140</x:v>
      </x:c>
      <x:c r="G212" s="10" t="b">
        <x:v>1</x:v>
      </x:c>
      <x:c r="H212" s="86" t="n">
        <x:f>IF(E212="","",E212*IF(F212="fen",0.1,IF(F212="qian",1,IF(F212="liang",10,IF(F212="jin",160,0)))))</x:f>
        <x:v>4</x:v>
      </x:c>
      <x:c r="I212" s="86" t="n">
        <x:f>IF(H212="","",H212*IFERROR(INDEX('Herb'!$L$2:$L$115,MATCH(C212,'Herb'!$A$2:$A$115,0)),0))</x:f>
        <x:v>12</x:v>
      </x:c>
      <x:c r="J212" s="86" t="n">
        <x:f>IF(H212="","",H212*IFERROR(INDEX('Herb'!$M$2:$M$115,MATCH(C212,'Herb'!$A$2:$A$115,0)),0))</x:f>
        <x:v>20</x:v>
      </x:c>
    </x:row>
    <x:row r="213">
      <x:c r="A213" s="10" t="s">
        <x:v>904</x:v>
      </x:c>
      <x:c r="B213" s="10" t="s">
        <x:v>1247</x:v>
      </x:c>
      <x:c r="C213" s="10" t="s">
        <x:v>1248</x:v>
      </x:c>
      <x:c r="D213" s="15" t="s">
        <x:v>1146</x:v>
      </x:c>
      <x:c r="E213" s="10">
        <x:v>4</x:v>
      </x:c>
      <x:c r="F213" s="10" t="s">
        <x:v>1140</x:v>
      </x:c>
      <x:c r="G213" s="10" t="b">
        <x:v>1</x:v>
      </x:c>
      <x:c r="H213" s="86" t="n">
        <x:f>IF(E213="","",E213*IF(F213="fen",0.1,IF(F213="qian",1,IF(F213="liang",10,IF(F213="jin",160,0)))))</x:f>
        <x:v>4</x:v>
      </x:c>
      <x:c r="I213" s="86" t="n">
        <x:f>IF(H213="","",H213*IFERROR(INDEX('Herb'!$L$2:$L$115,MATCH(C213,'Herb'!$A$2:$A$115,0)),0))</x:f>
        <x:v>20</x:v>
      </x:c>
      <x:c r="J213" s="86" t="n">
        <x:f>IF(H213="","",H213*IFERROR(INDEX('Herb'!$M$2:$M$115,MATCH(C213,'Herb'!$A$2:$A$115,0)),0))</x:f>
        <x:v>36</x:v>
      </x:c>
    </x:row>
    <x:row r="214">
      <x:c r="A214" s="10" t="s">
        <x:v>904</x:v>
      </x:c>
      <x:c r="B214" s="10" t="s">
        <x:v>1189</x:v>
      </x:c>
      <x:c r="C214" s="10" t="s">
        <x:v>1190</x:v>
      </x:c>
      <x:c r="D214" s="15" t="s">
        <x:v>1146</x:v>
      </x:c>
      <x:c r="E214" s="10">
        <x:v>4</x:v>
      </x:c>
      <x:c r="F214" s="10" t="s">
        <x:v>1140</x:v>
      </x:c>
      <x:c r="G214" s="10" t="b">
        <x:v>1</x:v>
      </x:c>
      <x:c r="H214" s="86" t="n">
        <x:f>IF(E214="","",E214*IF(F214="fen",0.1,IF(F214="qian",1,IF(F214="liang",10,IF(F214="jin",160,0)))))</x:f>
        <x:v>4</x:v>
      </x:c>
      <x:c r="I214" s="86" t="n">
        <x:f>IF(H214="","",H214*IFERROR(INDEX('Herb'!$L$2:$L$115,MATCH(C214,'Herb'!$A$2:$A$115,0)),0))</x:f>
        <x:v>20</x:v>
      </x:c>
      <x:c r="J214" s="86" t="n">
        <x:f>IF(H214="","",H214*IFERROR(INDEX('Herb'!$M$2:$M$115,MATCH(C214,'Herb'!$A$2:$A$115,0)),0))</x:f>
        <x:v>32</x:v>
      </x:c>
    </x:row>
    <x:row r="215">
      <x:c r="A215" s="10" t="s">
        <x:v>904</x:v>
      </x:c>
      <x:c r="B215" s="10" t="s">
        <x:v>1147</x:v>
      </x:c>
      <x:c r="C215" s="10" t="s">
        <x:v>1148</x:v>
      </x:c>
      <x:c r="D215" s="16" t="s">
        <x:v>1149</x:v>
      </x:c>
      <x:c r="E215" s="10">
        <x:v>2</x:v>
      </x:c>
      <x:c r="F215" s="10" t="s">
        <x:v>1140</x:v>
      </x:c>
      <x:c r="G215" s="10" t="b">
        <x:v>1</x:v>
      </x:c>
      <x:c r="H215" s="86" t="n">
        <x:f>IF(E215="","",E215*IF(F215="fen",0.1,IF(F215="qian",1,IF(F215="liang",10,IF(F215="jin",160,0)))))</x:f>
        <x:v>2</x:v>
      </x:c>
      <x:c r="I215" s="86" t="n">
        <x:f>IF(H215="","",H215*IFERROR(INDEX('Herb'!$L$2:$L$115,MATCH(C215,'Herb'!$A$2:$A$115,0)),0))</x:f>
        <x:v>4</x:v>
      </x:c>
      <x:c r="J215" s="86" t="n">
        <x:f>IF(H215="","",H215*IFERROR(INDEX('Herb'!$M$2:$M$115,MATCH(C215,'Herb'!$A$2:$A$115,0)),0))</x:f>
        <x:v>8</x:v>
      </x:c>
    </x:row>
    <x:row r="216">
      <x:c r="A216" s="10" t="s">
        <x:v>904</x:v>
      </x:c>
      <x:c r="B216" s="10" t="s">
        <x:v>1152</x:v>
      </x:c>
      <x:c r="C216" s="10" t="s">
        <x:v>1153</x:v>
      </x:c>
      <x:c r="D216" s="16" t="s">
        <x:v>1149</x:v>
      </x:c>
      <x:c r="E216" s="10">
        <x:v>1</x:v>
      </x:c>
      <x:c r="F216" s="10" t="s">
        <x:v>1140</x:v>
      </x:c>
      <x:c r="G216" s="10" t="b">
        <x:v>1</x:v>
      </x:c>
      <x:c r="H216" s="86" t="n">
        <x:f>IF(E216="","",E216*IF(F216="fen",0.1,IF(F216="qian",1,IF(F216="liang",10,IF(F216="jin",160,0)))))</x:f>
        <x:v>1</x:v>
      </x:c>
      <x:c r="I216" s="86" t="n">
        <x:f>IF(H216="","",H216*IFERROR(INDEX('Herb'!$L$2:$L$115,MATCH(C216,'Herb'!$A$2:$A$115,0)),0))</x:f>
        <x:v>1</x:v>
      </x:c>
      <x:c r="J216" s="86" t="n">
        <x:f>IF(H216="","",H216*IFERROR(INDEX('Herb'!$M$2:$M$115,MATCH(C216,'Herb'!$A$2:$A$115,0)),0))</x:f>
        <x:v>2</x:v>
      </x:c>
    </x:row>
    <x:row r="217">
      <x:c r="A217" s="10" t="s">
        <x:v>904</x:v>
      </x:c>
      <x:c r="B217" s="10" t="s">
        <x:v>1154</x:v>
      </x:c>
      <x:c r="C217" s="10" t="s">
        <x:v>1155</x:v>
      </x:c>
      <x:c r="D217" s="16" t="s">
        <x:v>1149</x:v>
      </x:c>
      <x:c r="E217" s="10">
        <x:v>1</x:v>
      </x:c>
      <x:c r="F217" s="10" t="s">
        <x:v>1140</x:v>
      </x:c>
      <x:c r="G217" s="10" t="b">
        <x:v>1</x:v>
      </x:c>
      <x:c r="H217" s="86" t="n">
        <x:f>IF(E217="","",E217*IF(F217="fen",0.1,IF(F217="qian",1,IF(F217="liang",10,IF(F217="jin",160,0)))))</x:f>
        <x:v>1</x:v>
      </x:c>
      <x:c r="I217" s="86" t="n">
        <x:f>IF(H217="","",H217*IFERROR(INDEX('Herb'!$L$2:$L$115,MATCH(C217,'Herb'!$A$2:$A$115,0)),0))</x:f>
        <x:v>2</x:v>
      </x:c>
      <x:c r="J217" s="86" t="n">
        <x:f>IF(H217="","",H217*IFERROR(INDEX('Herb'!$M$2:$M$115,MATCH(C217,'Herb'!$A$2:$A$115,0)),0))</x:f>
        <x:v>4</x:v>
      </x:c>
    </x:row>
    <x:row r="218">
      <x:c r="A218" s="10" t="s">
        <x:v>908</x:v>
      </x:c>
      <x:c r="B218" s="10" t="s">
        <x:v>1193</x:v>
      </x:c>
      <x:c r="C218" s="10" t="s">
        <x:v>1194</x:v>
      </x:c>
      <x:c r="D218" s="13" t="s">
        <x:v>1139</x:v>
      </x:c>
      <x:c r="E218" s="10">
        <x:v>1</x:v>
      </x:c>
      <x:c r="F218" s="10" t="s">
        <x:v>1158</x:v>
      </x:c>
      <x:c r="G218" s="10" t="b">
        <x:v>1</x:v>
      </x:c>
      <x:c r="H218" s="86" t="n">
        <x:f>IF(E218="","",E218*IF(F218="fen",0.1,IF(F218="qian",1,IF(F218="liang",10,IF(F218="jin",160,0)))))</x:f>
        <x:v>10</x:v>
      </x:c>
      <x:c r="I218" s="86" t="n">
        <x:f>IF(H218="","",H218*IFERROR(INDEX('Herb'!$L$2:$L$115,MATCH(C218,'Herb'!$A$2:$A$115,0)),0))</x:f>
        <x:v>70</x:v>
      </x:c>
      <x:c r="J218" s="86" t="n">
        <x:f>IF(H218="","",H218*IFERROR(INDEX('Herb'!$M$2:$M$115,MATCH(C218,'Herb'!$A$2:$A$115,0)),0))</x:f>
        <x:v>110</x:v>
      </x:c>
    </x:row>
    <x:row r="219">
      <x:c r="A219" s="10" t="s">
        <x:v>908</x:v>
      </x:c>
      <x:c r="B219" s="10" t="s">
        <x:v>306</x:v>
      </x:c>
      <x:c r="C219" s="10" t="s">
        <x:v>1224</x:v>
      </x:c>
      <x:c r="D219" s="13" t="s">
        <x:v>1139</x:v>
      </x:c>
      <x:c r="E219" s="10">
        <x:v>5</x:v>
      </x:c>
      <x:c r="F219" s="10" t="s">
        <x:v>1140</x:v>
      </x:c>
      <x:c r="G219" s="10" t="b">
        <x:v>1</x:v>
      </x:c>
      <x:c r="H219" s="86" t="n">
        <x:f>IF(E219="","",E219*IF(F219="fen",0.1,IF(F219="qian",1,IF(F219="liang",10,IF(F219="jin",160,0)))))</x:f>
        <x:v>5</x:v>
      </x:c>
      <x:c r="I219" s="86" t="n">
        <x:f>IF(H219="","",H219*IFERROR(INDEX('Herb'!$L$2:$L$115,MATCH(C219,'Herb'!$A$2:$A$115,0)),0))</x:f>
        <x:v>300</x:v>
      </x:c>
      <x:c r="J219" s="86" t="n">
        <x:f>IF(H219="","",H219*IFERROR(INDEX('Herb'!$M$2:$M$115,MATCH(C219,'Herb'!$A$2:$A$115,0)),0))</x:f>
        <x:v>385</x:v>
      </x:c>
    </x:row>
    <x:row r="220">
      <x:c r="A220" s="10" t="s">
        <x:v>908</x:v>
      </x:c>
      <x:c r="B220" s="10" t="s">
        <x:v>1305</x:v>
      </x:c>
      <x:c r="C220" s="10" t="s">
        <x:v>1306</x:v>
      </x:c>
      <x:c r="D220" s="14" t="s">
        <x:v>1143</x:v>
      </x:c>
      <x:c r="E220" s="10">
        <x:v>5</x:v>
      </x:c>
      <x:c r="F220" s="10" t="s">
        <x:v>1140</x:v>
      </x:c>
      <x:c r="G220" s="10" t="b">
        <x:v>1</x:v>
      </x:c>
      <x:c r="H220" s="86" t="n">
        <x:f>IF(E220="","",E220*IF(F220="fen",0.1,IF(F220="qian",1,IF(F220="liang",10,IF(F220="jin",160,0)))))</x:f>
        <x:v>5</x:v>
      </x:c>
      <x:c r="I220" s="86" t="n">
        <x:f>IF(H220="","",H220*IFERROR(INDEX('Herb'!$L$2:$L$115,MATCH(C220,'Herb'!$A$2:$A$115,0)),0))</x:f>
        <x:v>25</x:v>
      </x:c>
      <x:c r="J220" s="86" t="n">
        <x:f>IF(H220="","",H220*IFERROR(INDEX('Herb'!$M$2:$M$115,MATCH(C220,'Herb'!$A$2:$A$115,0)),0))</x:f>
        <x:v>50</x:v>
      </x:c>
    </x:row>
    <x:row r="221">
      <x:c r="A221" s="10" t="s">
        <x:v>908</x:v>
      </x:c>
      <x:c r="B221" s="10" t="s">
        <x:v>1195</x:v>
      </x:c>
      <x:c r="C221" s="10" t="s">
        <x:v>1196</x:v>
      </x:c>
      <x:c r="D221" s="14" t="s">
        <x:v>1143</x:v>
      </x:c>
      <x:c r="E221" s="10">
        <x:v>5</x:v>
      </x:c>
      <x:c r="F221" s="10" t="s">
        <x:v>1140</x:v>
      </x:c>
      <x:c r="G221" s="10" t="b">
        <x:v>1</x:v>
      </x:c>
      <x:c r="H221" s="86" t="n">
        <x:f>IF(E221="","",E221*IF(F221="fen",0.1,IF(F221="qian",1,IF(F221="liang",10,IF(F221="jin",160,0)))))</x:f>
        <x:v>5</x:v>
      </x:c>
      <x:c r="I221" s="86" t="n">
        <x:f>IF(H221="","",H221*IFERROR(INDEX('Herb'!$L$2:$L$115,MATCH(C221,'Herb'!$A$2:$A$115,0)),0))</x:f>
        <x:v>30</x:v>
      </x:c>
      <x:c r="J221" s="86" t="n">
        <x:f>IF(H221="","",H221*IFERROR(INDEX('Herb'!$M$2:$M$115,MATCH(C221,'Herb'!$A$2:$A$115,0)),0))</x:f>
        <x:v>50</x:v>
      </x:c>
    </x:row>
    <x:row r="222">
      <x:c r="A222" s="10" t="s">
        <x:v>908</x:v>
      </x:c>
      <x:c r="B222" s="10" t="s">
        <x:v>1216</x:v>
      </x:c>
      <x:c r="C222" s="10" t="s">
        <x:v>1217</x:v>
      </x:c>
      <x:c r="D222" s="14" t="s">
        <x:v>1143</x:v>
      </x:c>
      <x:c r="E222" s="10">
        <x:v>5</x:v>
      </x:c>
      <x:c r="F222" s="10" t="s">
        <x:v>1140</x:v>
      </x:c>
      <x:c r="G222" s="10" t="b">
        <x:v>1</x:v>
      </x:c>
      <x:c r="H222" s="86" t="n">
        <x:f>IF(E222="","",E222*IF(F222="fen",0.1,IF(F222="qian",1,IF(F222="liang",10,IF(F222="jin",160,0)))))</x:f>
        <x:v>5</x:v>
      </x:c>
      <x:c r="I222" s="86" t="n">
        <x:f>IF(H222="","",H222*IFERROR(INDEX('Herb'!$L$2:$L$115,MATCH(C222,'Herb'!$A$2:$A$115,0)),0))</x:f>
        <x:v>40</x:v>
      </x:c>
      <x:c r="J222" s="86" t="n">
        <x:f>IF(H222="","",H222*IFERROR(INDEX('Herb'!$M$2:$M$115,MATCH(C222,'Herb'!$A$2:$A$115,0)),0))</x:f>
        <x:v>60</x:v>
      </x:c>
    </x:row>
    <x:row r="223">
      <x:c r="A223" s="10" t="s">
        <x:v>908</x:v>
      </x:c>
      <x:c r="B223" s="10" t="s">
        <x:v>1279</x:v>
      </x:c>
      <x:c r="C223" s="10" t="s">
        <x:v>1280</x:v>
      </x:c>
      <x:c r="D223" s="14" t="s">
        <x:v>1143</x:v>
      </x:c>
      <x:c r="E223" s="10">
        <x:v>6</x:v>
      </x:c>
      <x:c r="F223" s="10" t="s">
        <x:v>1140</x:v>
      </x:c>
      <x:c r="G223" s="10" t="b">
        <x:v>1</x:v>
      </x:c>
      <x:c r="H223" s="86" t="n">
        <x:f>IF(E223="","",E223*IF(F223="fen",0.1,IF(F223="qian",1,IF(F223="liang",10,IF(F223="jin",160,0)))))</x:f>
        <x:v>6</x:v>
      </x:c>
      <x:c r="I223" s="86" t="n">
        <x:f>IF(H223="","",H223*IFERROR(INDEX('Herb'!$L$2:$L$115,MATCH(C223,'Herb'!$A$2:$A$115,0)),0))</x:f>
        <x:v>84</x:v>
      </x:c>
      <x:c r="J223" s="86" t="n">
        <x:f>IF(H223="","",H223*IFERROR(INDEX('Herb'!$M$2:$M$115,MATCH(C223,'Herb'!$A$2:$A$115,0)),0))</x:f>
        <x:v>126</x:v>
      </x:c>
    </x:row>
    <x:row r="224">
      <x:c r="A224" s="10" t="s">
        <x:v>908</x:v>
      </x:c>
      <x:c r="B224" s="10" t="s">
        <x:v>1277</x:v>
      </x:c>
      <x:c r="C224" s="10" t="s">
        <x:v>1278</x:v>
      </x:c>
      <x:c r="D224" s="15" t="s">
        <x:v>1146</x:v>
      </x:c>
      <x:c r="E224" s="10">
        <x:v>5</x:v>
      </x:c>
      <x:c r="F224" s="10" t="s">
        <x:v>1140</x:v>
      </x:c>
      <x:c r="G224" s="10" t="b">
        <x:v>1</x:v>
      </x:c>
      <x:c r="H224" s="86" t="n">
        <x:f>IF(E224="","",E224*IF(F224="fen",0.1,IF(F224="qian",1,IF(F224="liang",10,IF(F224="jin",160,0)))))</x:f>
        <x:v>5</x:v>
      </x:c>
      <x:c r="I224" s="86" t="n">
        <x:f>IF(H224="","",H224*IFERROR(INDEX('Herb'!$L$2:$L$115,MATCH(C224,'Herb'!$A$2:$A$115,0)),0))</x:f>
        <x:v>40</x:v>
      </x:c>
      <x:c r="J224" s="86" t="n">
        <x:f>IF(H224="","",H224*IFERROR(INDEX('Herb'!$M$2:$M$115,MATCH(C224,'Herb'!$A$2:$A$115,0)),0))</x:f>
        <x:v>65</x:v>
      </x:c>
    </x:row>
    <x:row r="225">
      <x:c r="A225" s="10" t="s">
        <x:v>908</x:v>
      </x:c>
      <x:c r="B225" s="10" t="s">
        <x:v>1283</x:v>
      </x:c>
      <x:c r="C225" s="10" t="s">
        <x:v>1284</x:v>
      </x:c>
      <x:c r="D225" s="15" t="s">
        <x:v>1146</x:v>
      </x:c>
      <x:c r="E225" s="10">
        <x:v>3</x:v>
      </x:c>
      <x:c r="F225" s="10" t="s">
        <x:v>1140</x:v>
      </x:c>
      <x:c r="G225" s="10" t="b">
        <x:v>1</x:v>
      </x:c>
      <x:c r="H225" s="86" t="n">
        <x:f>IF(E225="","",E225*IF(F225="fen",0.1,IF(F225="qian",1,IF(F225="liang",10,IF(F225="jin",160,0)))))</x:f>
        <x:v>3</x:v>
      </x:c>
      <x:c r="I225" s="86" t="n">
        <x:f>IF(H225="","",H225*IFERROR(INDEX('Herb'!$L$2:$L$115,MATCH(C225,'Herb'!$A$2:$A$115,0)),0))</x:f>
        <x:v>27</x:v>
      </x:c>
      <x:c r="J225" s="86" t="n">
        <x:f>IF(H225="","",H225*IFERROR(INDEX('Herb'!$M$2:$M$115,MATCH(C225,'Herb'!$A$2:$A$115,0)),0))</x:f>
        <x:v>45</x:v>
      </x:c>
    </x:row>
    <x:row r="226">
      <x:c r="A226" s="10" t="s">
        <x:v>908</x:v>
      </x:c>
      <x:c r="B226" s="10" t="s">
        <x:v>1307</x:v>
      </x:c>
      <x:c r="C226" s="10" t="s">
        <x:v>1308</x:v>
      </x:c>
      <x:c r="D226" s="15" t="s">
        <x:v>1146</x:v>
      </x:c>
      <x:c r="E226" s="10">
        <x:v>2</x:v>
      </x:c>
      <x:c r="F226" s="10" t="s">
        <x:v>1140</x:v>
      </x:c>
      <x:c r="G226" s="10" t="b">
        <x:v>1</x:v>
      </x:c>
      <x:c r="H226" s="86" t="n">
        <x:f>IF(E226="","",E226*IF(F226="fen",0.1,IF(F226="qian",1,IF(F226="liang",10,IF(F226="jin",160,0)))))</x:f>
        <x:v>2</x:v>
      </x:c>
      <x:c r="I226" s="86" t="n">
        <x:f>IF(H226="","",H226*IFERROR(INDEX('Herb'!$L$2:$L$115,MATCH(C226,'Herb'!$A$2:$A$115,0)),0))</x:f>
        <x:v>20</x:v>
      </x:c>
      <x:c r="J226" s="86" t="n">
        <x:f>IF(H226="","",H226*IFERROR(INDEX('Herb'!$M$2:$M$115,MATCH(C226,'Herb'!$A$2:$A$115,0)),0))</x:f>
        <x:v>34</x:v>
      </x:c>
    </x:row>
    <x:row r="227">
      <x:c r="A227" s="10" t="s">
        <x:v>908</x:v>
      </x:c>
      <x:c r="B227" s="10" t="s">
        <x:v>1147</x:v>
      </x:c>
      <x:c r="C227" s="10" t="s">
        <x:v>1148</x:v>
      </x:c>
      <x:c r="D227" s="16" t="s">
        <x:v>1149</x:v>
      </x:c>
      <x:c r="E227" s="10">
        <x:v>2</x:v>
      </x:c>
      <x:c r="F227" s="10" t="s">
        <x:v>1140</x:v>
      </x:c>
      <x:c r="G227" s="10" t="b">
        <x:v>1</x:v>
      </x:c>
      <x:c r="H227" s="86" t="n">
        <x:f>IF(E227="","",E227*IF(F227="fen",0.1,IF(F227="qian",1,IF(F227="liang",10,IF(F227="jin",160,0)))))</x:f>
        <x:v>2</x:v>
      </x:c>
      <x:c r="I227" s="86" t="n">
        <x:f>IF(H227="","",H227*IFERROR(INDEX('Herb'!$L$2:$L$115,MATCH(C227,'Herb'!$A$2:$A$115,0)),0))</x:f>
        <x:v>4</x:v>
      </x:c>
      <x:c r="J227" s="86" t="n">
        <x:f>IF(H227="","",H227*IFERROR(INDEX('Herb'!$M$2:$M$115,MATCH(C227,'Herb'!$A$2:$A$115,0)),0))</x:f>
        <x:v>8</x:v>
      </x:c>
    </x:row>
    <x:row r="228">
      <x:c r="A228" s="10" t="s">
        <x:v>908</x:v>
      </x:c>
      <x:c r="B228" s="10" t="s">
        <x:v>1152</x:v>
      </x:c>
      <x:c r="C228" s="10" t="s">
        <x:v>1153</x:v>
      </x:c>
      <x:c r="D228" s="16" t="s">
        <x:v>1149</x:v>
      </x:c>
      <x:c r="E228" s="10">
        <x:v>1</x:v>
      </x:c>
      <x:c r="F228" s="10" t="s">
        <x:v>1140</x:v>
      </x:c>
      <x:c r="G228" s="10" t="b">
        <x:v>1</x:v>
      </x:c>
      <x:c r="H228" s="86" t="n">
        <x:f>IF(E228="","",E228*IF(F228="fen",0.1,IF(F228="qian",1,IF(F228="liang",10,IF(F228="jin",160,0)))))</x:f>
        <x:v>1</x:v>
      </x:c>
      <x:c r="I228" s="86" t="n">
        <x:f>IF(H228="","",H228*IFERROR(INDEX('Herb'!$L$2:$L$115,MATCH(C228,'Herb'!$A$2:$A$115,0)),0))</x:f>
        <x:v>1</x:v>
      </x:c>
      <x:c r="J228" s="86" t="n">
        <x:f>IF(H228="","",H228*IFERROR(INDEX('Herb'!$M$2:$M$115,MATCH(C228,'Herb'!$A$2:$A$115,0)),0))</x:f>
        <x:v>2</x:v>
      </x:c>
    </x:row>
    <x:row r="229">
      <x:c r="A229" s="10" t="s">
        <x:v>908</x:v>
      </x:c>
      <x:c r="B229" s="10" t="s">
        <x:v>1154</x:v>
      </x:c>
      <x:c r="C229" s="10" t="s">
        <x:v>1155</x:v>
      </x:c>
      <x:c r="D229" s="16" t="s">
        <x:v>1149</x:v>
      </x:c>
      <x:c r="E229" s="10">
        <x:v>1</x:v>
      </x:c>
      <x:c r="F229" s="10" t="s">
        <x:v>1140</x:v>
      </x:c>
      <x:c r="G229" s="10" t="b">
        <x:v>1</x:v>
      </x:c>
      <x:c r="H229" s="86" t="n">
        <x:f>IF(E229="","",E229*IF(F229="fen",0.1,IF(F229="qian",1,IF(F229="liang",10,IF(F229="jin",160,0)))))</x:f>
        <x:v>1</x:v>
      </x:c>
      <x:c r="I229" s="86" t="n">
        <x:f>IF(H229="","",H229*IFERROR(INDEX('Herb'!$L$2:$L$115,MATCH(C229,'Herb'!$A$2:$A$115,0)),0))</x:f>
        <x:v>2</x:v>
      </x:c>
      <x:c r="J229" s="86" t="n">
        <x:f>IF(H229="","",H229*IFERROR(INDEX('Herb'!$M$2:$M$115,MATCH(C229,'Herb'!$A$2:$A$115,0)),0))</x:f>
        <x:v>4</x:v>
      </x:c>
    </x:row>
    <x:row r="230">
      <x:c r="A230" s="10" t="s">
        <x:v>913</x:v>
      </x:c>
      <x:c r="B230" s="10" t="s">
        <x:v>1309</x:v>
      </x:c>
      <x:c r="C230" s="10" t="s">
        <x:v>1310</x:v>
      </x:c>
      <x:c r="D230" s="13" t="s">
        <x:v>1139</x:v>
      </x:c>
      <x:c r="E230" s="10">
        <x:v>2</x:v>
      </x:c>
      <x:c r="F230" s="10" t="s">
        <x:v>1140</x:v>
      </x:c>
      <x:c r="G230" s="10" t="b">
        <x:v>1</x:v>
      </x:c>
      <x:c r="H230" s="86" t="n">
        <x:f>IF(E230="","",E230*IF(F230="fen",0.1,IF(F230="qian",1,IF(F230="liang",10,IF(F230="jin",160,0)))))</x:f>
        <x:v>2</x:v>
      </x:c>
      <x:c r="I230" s="86" t="n">
        <x:f>IF(H230="","",H230*IFERROR(INDEX('Herb'!$L$2:$L$115,MATCH(C230,'Herb'!$A$2:$A$115,0)),0))</x:f>
        <x:v>16</x:v>
      </x:c>
      <x:c r="J230" s="86" t="n">
        <x:f>IF(H230="","",H230*IFERROR(INDEX('Herb'!$M$2:$M$115,MATCH(C230,'Herb'!$A$2:$A$115,0)),0))</x:f>
        <x:v>28</x:v>
      </x:c>
    </x:row>
    <x:row r="231">
      <x:c r="A231" s="10" t="s">
        <x:v>913</x:v>
      </x:c>
      <x:c r="B231" s="10" t="s">
        <x:v>1245</x:v>
      </x:c>
      <x:c r="C231" s="10" t="s">
        <x:v>1246</x:v>
      </x:c>
      <x:c r="D231" s="14" t="s">
        <x:v>1143</x:v>
      </x:c>
      <x:c r="E231" s="10">
        <x:v>3</x:v>
      </x:c>
      <x:c r="F231" s="10" t="s">
        <x:v>1140</x:v>
      </x:c>
      <x:c r="G231" s="10" t="b">
        <x:v>1</x:v>
      </x:c>
      <x:c r="H231" s="86" t="n">
        <x:f>IF(E231="","",E231*IF(F231="fen",0.1,IF(F231="qian",1,IF(F231="liang",10,IF(F231="jin",160,0)))))</x:f>
        <x:v>3</x:v>
      </x:c>
      <x:c r="I231" s="86" t="n">
        <x:f>IF(H231="","",H231*IFERROR(INDEX('Herb'!$L$2:$L$115,MATCH(C231,'Herb'!$A$2:$A$115,0)),0))</x:f>
        <x:v>18</x:v>
      </x:c>
      <x:c r="J231" s="86" t="n">
        <x:f>IF(H231="","",H231*IFERROR(INDEX('Herb'!$M$2:$M$115,MATCH(C231,'Herb'!$A$2:$A$115,0)),0))</x:f>
        <x:v>33</x:v>
      </x:c>
    </x:row>
    <x:row r="232">
      <x:c r="A232" s="10" t="s">
        <x:v>913</x:v>
      </x:c>
      <x:c r="B232" s="10" t="s">
        <x:v>1181</x:v>
      </x:c>
      <x:c r="C232" s="10" t="s">
        <x:v>1182</x:v>
      </x:c>
      <x:c r="D232" s="14" t="s">
        <x:v>1143</x:v>
      </x:c>
      <x:c r="E232" s="10">
        <x:v>3</x:v>
      </x:c>
      <x:c r="F232" s="10" t="s">
        <x:v>1140</x:v>
      </x:c>
      <x:c r="G232" s="10" t="b">
        <x:v>1</x:v>
      </x:c>
      <x:c r="H232" s="86" t="n">
        <x:f>IF(E232="","",E232*IF(F232="fen",0.1,IF(F232="qian",1,IF(F232="liang",10,IF(F232="jin",160,0)))))</x:f>
        <x:v>3</x:v>
      </x:c>
      <x:c r="I232" s="86" t="n">
        <x:f>IF(H232="","",H232*IFERROR(INDEX('Herb'!$L$2:$L$115,MATCH(C232,'Herb'!$A$2:$A$115,0)),0))</x:f>
        <x:v>12</x:v>
      </x:c>
      <x:c r="J232" s="86" t="n">
        <x:f>IF(H232="","",H232*IFERROR(INDEX('Herb'!$M$2:$M$115,MATCH(C232,'Herb'!$A$2:$A$115,0)),0))</x:f>
        <x:v>21</x:v>
      </x:c>
    </x:row>
    <x:row r="233">
      <x:c r="A233" s="10" t="s">
        <x:v>913</x:v>
      </x:c>
      <x:c r="B233" s="10" t="s">
        <x:v>1311</x:v>
      </x:c>
      <x:c r="C233" s="10" t="s">
        <x:v>1312</x:v>
      </x:c>
      <x:c r="D233" s="15" t="s">
        <x:v>1146</x:v>
      </x:c>
      <x:c r="E233" s="10">
        <x:v>4</x:v>
      </x:c>
      <x:c r="F233" s="10" t="s">
        <x:v>1140</x:v>
      </x:c>
      <x:c r="G233" s="10" t="b">
        <x:v>1</x:v>
      </x:c>
      <x:c r="H233" s="86" t="n">
        <x:f>IF(E233="","",E233*IF(F233="fen",0.1,IF(F233="qian",1,IF(F233="liang",10,IF(F233="jin",160,0)))))</x:f>
        <x:v>4</x:v>
      </x:c>
      <x:c r="I233" s="86" t="n">
        <x:f>IF(H233="","",H233*IFERROR(INDEX('Herb'!$L$2:$L$115,MATCH(C233,'Herb'!$A$2:$A$115,0)),0))</x:f>
        <x:v>20</x:v>
      </x:c>
      <x:c r="J233" s="86" t="n">
        <x:f>IF(H233="","",H233*IFERROR(INDEX('Herb'!$M$2:$M$115,MATCH(C233,'Herb'!$A$2:$A$115,0)),0))</x:f>
        <x:v>36</x:v>
      </x:c>
    </x:row>
    <x:row r="234">
      <x:c r="A234" s="10" t="s">
        <x:v>913</x:v>
      </x:c>
      <x:c r="B234" s="10" t="s">
        <x:v>1269</x:v>
      </x:c>
      <x:c r="C234" s="10" t="s">
        <x:v>1270</x:v>
      </x:c>
      <x:c r="D234" s="15" t="s">
        <x:v>1146</x:v>
      </x:c>
      <x:c r="E234" s="10">
        <x:v>3</x:v>
      </x:c>
      <x:c r="F234" s="10" t="s">
        <x:v>1140</x:v>
      </x:c>
      <x:c r="G234" s="10" t="b">
        <x:v>1</x:v>
      </x:c>
      <x:c r="H234" s="86" t="n">
        <x:f>IF(E234="","",E234*IF(F234="fen",0.1,IF(F234="qian",1,IF(F234="liang",10,IF(F234="jin",160,0)))))</x:f>
        <x:v>3</x:v>
      </x:c>
      <x:c r="I234" s="86" t="n">
        <x:f>IF(H234="","",H234*IFERROR(INDEX('Herb'!$L$2:$L$115,MATCH(C234,'Herb'!$A$2:$A$115,0)),0))</x:f>
        <x:v>18</x:v>
      </x:c>
      <x:c r="J234" s="86" t="n">
        <x:f>IF(H234="","",H234*IFERROR(INDEX('Herb'!$M$2:$M$115,MATCH(C234,'Herb'!$A$2:$A$115,0)),0))</x:f>
        <x:v>33</x:v>
      </x:c>
    </x:row>
    <x:row r="235">
      <x:c r="A235" s="10" t="s">
        <x:v>913</x:v>
      </x:c>
      <x:c r="B235" s="10" t="s">
        <x:v>1313</x:v>
      </x:c>
      <x:c r="C235" s="10" t="s">
        <x:v>1314</x:v>
      </x:c>
      <x:c r="D235" s="15" t="s">
        <x:v>1146</x:v>
      </x:c>
      <x:c r="E235" s="10">
        <x:v>3</x:v>
      </x:c>
      <x:c r="F235" s="10" t="s">
        <x:v>1140</x:v>
      </x:c>
      <x:c r="G235" s="10" t="b">
        <x:v>1</x:v>
      </x:c>
      <x:c r="H235" s="86" t="n">
        <x:f>IF(E235="","",E235*IF(F235="fen",0.1,IF(F235="qian",1,IF(F235="liang",10,IF(F235="jin",160,0)))))</x:f>
        <x:v>3</x:v>
      </x:c>
      <x:c r="I235" s="86" t="n">
        <x:f>IF(H235="","",H235*IFERROR(INDEX('Herb'!$L$2:$L$115,MATCH(C235,'Herb'!$A$2:$A$115,0)),0))</x:f>
        <x:v>15</x:v>
      </x:c>
      <x:c r="J235" s="86" t="n">
        <x:f>IF(H235="","",H235*IFERROR(INDEX('Herb'!$M$2:$M$115,MATCH(C235,'Herb'!$A$2:$A$115,0)),0))</x:f>
        <x:v>27</x:v>
      </x:c>
    </x:row>
    <x:row r="236">
      <x:c r="A236" s="10" t="s">
        <x:v>913</x:v>
      </x:c>
      <x:c r="B236" s="10" t="s">
        <x:v>1216</x:v>
      </x:c>
      <x:c r="C236" s="10" t="s">
        <x:v>1217</x:v>
      </x:c>
      <x:c r="D236" s="15" t="s">
        <x:v>1146</x:v>
      </x:c>
      <x:c r="E236" s="10">
        <x:v>3</x:v>
      </x:c>
      <x:c r="F236" s="10" t="s">
        <x:v>1140</x:v>
      </x:c>
      <x:c r="G236" s="10" t="b">
        <x:v>1</x:v>
      </x:c>
      <x:c r="H236" s="86" t="n">
        <x:f>IF(E236="","",E236*IF(F236="fen",0.1,IF(F236="qian",1,IF(F236="liang",10,IF(F236="jin",160,0)))))</x:f>
        <x:v>3</x:v>
      </x:c>
      <x:c r="I236" s="86" t="n">
        <x:f>IF(H236="","",H236*IFERROR(INDEX('Herb'!$L$2:$L$115,MATCH(C236,'Herb'!$A$2:$A$115,0)),0))</x:f>
        <x:v>24</x:v>
      </x:c>
      <x:c r="J236" s="86" t="n">
        <x:f>IF(H236="","",H236*IFERROR(INDEX('Herb'!$M$2:$M$115,MATCH(C236,'Herb'!$A$2:$A$115,0)),0))</x:f>
        <x:v>36</x:v>
      </x:c>
    </x:row>
    <x:row r="237">
      <x:c r="A237" s="10" t="s">
        <x:v>913</x:v>
      </x:c>
      <x:c r="B237" s="10" t="s">
        <x:v>1271</x:v>
      </x:c>
      <x:c r="C237" s="10" t="s">
        <x:v>1272</x:v>
      </x:c>
      <x:c r="D237" s="15" t="s">
        <x:v>1146</x:v>
      </x:c>
      <x:c r="E237" s="10">
        <x:v>6</x:v>
      </x:c>
      <x:c r="F237" s="10" t="s">
        <x:v>1140</x:v>
      </x:c>
      <x:c r="G237" s="10" t="b">
        <x:v>1</x:v>
      </x:c>
      <x:c r="H237" s="86" t="n">
        <x:f>IF(E237="","",E237*IF(F237="fen",0.1,IF(F237="qian",1,IF(F237="liang",10,IF(F237="jin",160,0)))))</x:f>
        <x:v>6</x:v>
      </x:c>
      <x:c r="I237" s="86" t="n">
        <x:f>IF(H237="","",H237*IFERROR(INDEX('Herb'!$L$2:$L$115,MATCH(C237,'Herb'!$A$2:$A$115,0)),0))</x:f>
        <x:v>48</x:v>
      </x:c>
      <x:c r="J237" s="86" t="n">
        <x:f>IF(H237="","",H237*IFERROR(INDEX('Herb'!$M$2:$M$115,MATCH(C237,'Herb'!$A$2:$A$115,0)),0))</x:f>
        <x:v>78</x:v>
      </x:c>
    </x:row>
    <x:row r="238">
      <x:c r="A238" s="10" t="s">
        <x:v>913</x:v>
      </x:c>
      <x:c r="B238" s="10" t="s">
        <x:v>1295</x:v>
      </x:c>
      <x:c r="C238" s="10" t="s">
        <x:v>1296</x:v>
      </x:c>
      <x:c r="D238" s="15" t="s">
        <x:v>1146</x:v>
      </x:c>
      <x:c r="E238" s="10">
        <x:v>3</x:v>
      </x:c>
      <x:c r="F238" s="10" t="s">
        <x:v>1140</x:v>
      </x:c>
      <x:c r="G238" s="10" t="b">
        <x:v>1</x:v>
      </x:c>
      <x:c r="H238" s="86" t="n">
        <x:f>IF(E238="","",E238*IF(F238="fen",0.1,IF(F238="qian",1,IF(F238="liang",10,IF(F238="jin",160,0)))))</x:f>
        <x:v>3</x:v>
      </x:c>
      <x:c r="I238" s="86" t="n">
        <x:f>IF(H238="","",H238*IFERROR(INDEX('Herb'!$L$2:$L$115,MATCH(C238,'Herb'!$A$2:$A$115,0)),0))</x:f>
        <x:v>18</x:v>
      </x:c>
      <x:c r="J238" s="86" t="n">
        <x:f>IF(H238="","",H238*IFERROR(INDEX('Herb'!$M$2:$M$115,MATCH(C238,'Herb'!$A$2:$A$115,0)),0))</x:f>
        <x:v>33</x:v>
      </x:c>
    </x:row>
    <x:row r="239">
      <x:c r="A239" s="10" t="s">
        <x:v>913</x:v>
      </x:c>
      <x:c r="B239" s="10" t="s">
        <x:v>1147</x:v>
      </x:c>
      <x:c r="C239" s="10" t="s">
        <x:v>1148</x:v>
      </x:c>
      <x:c r="D239" s="16" t="s">
        <x:v>1149</x:v>
      </x:c>
      <x:c r="E239" s="10">
        <x:v>2</x:v>
      </x:c>
      <x:c r="F239" s="10" t="s">
        <x:v>1140</x:v>
      </x:c>
      <x:c r="G239" s="10" t="b">
        <x:v>1</x:v>
      </x:c>
      <x:c r="H239" s="86" t="n">
        <x:f>IF(E239="","",E239*IF(F239="fen",0.1,IF(F239="qian",1,IF(F239="liang",10,IF(F239="jin",160,0)))))</x:f>
        <x:v>2</x:v>
      </x:c>
      <x:c r="I239" s="86" t="n">
        <x:f>IF(H239="","",H239*IFERROR(INDEX('Herb'!$L$2:$L$115,MATCH(C239,'Herb'!$A$2:$A$115,0)),0))</x:f>
        <x:v>4</x:v>
      </x:c>
      <x:c r="J239" s="86" t="n">
        <x:f>IF(H239="","",H239*IFERROR(INDEX('Herb'!$M$2:$M$115,MATCH(C239,'Herb'!$A$2:$A$115,0)),0))</x:f>
        <x:v>8</x:v>
      </x:c>
    </x:row>
    <x:row r="240">
      <x:c r="A240" s="10" t="s">
        <x:v>918</x:v>
      </x:c>
      <x:c r="B240" s="10" t="s">
        <x:v>1285</x:v>
      </x:c>
      <x:c r="C240" s="10" t="s">
        <x:v>1286</x:v>
      </x:c>
      <x:c r="D240" s="13" t="s">
        <x:v>1139</x:v>
      </x:c>
      <x:c r="E240" s="10">
        <x:v>1</x:v>
      </x:c>
      <x:c r="F240" s="10" t="s">
        <x:v>1140</x:v>
      </x:c>
      <x:c r="G240" s="10" t="b">
        <x:v>1</x:v>
      </x:c>
      <x:c r="H240" s="86" t="n">
        <x:f>IF(E240="","",E240*IF(F240="fen",0.1,IF(F240="qian",1,IF(F240="liang",10,IF(F240="jin",160,0)))))</x:f>
        <x:v>1</x:v>
      </x:c>
      <x:c r="I240" s="86" t="n">
        <x:f>IF(H240="","",H240*IFERROR(INDEX('Herb'!$L$2:$L$115,MATCH(C240,'Herb'!$A$2:$A$115,0)),0))</x:f>
        <x:v>12</x:v>
      </x:c>
      <x:c r="J240" s="86" t="n">
        <x:f>IF(H240="","",H240*IFERROR(INDEX('Herb'!$M$2:$M$115,MATCH(C240,'Herb'!$A$2:$A$115,0)),0))</x:f>
        <x:v>20</x:v>
      </x:c>
    </x:row>
    <x:row r="241">
      <x:c r="A241" s="10" t="s">
        <x:v>918</x:v>
      </x:c>
      <x:c r="B241" s="10" t="s">
        <x:v>1315</x:v>
      </x:c>
      <x:c r="C241" s="10" t="s">
        <x:v>1316</x:v>
      </x:c>
      <x:c r="D241" s="13" t="s">
        <x:v>1139</x:v>
      </x:c>
      <x:c r="E241" s="10">
        <x:v>2</x:v>
      </x:c>
      <x:c r="F241" s="10" t="s">
        <x:v>1140</x:v>
      </x:c>
      <x:c r="G241" s="10" t="b">
        <x:v>1</x:v>
      </x:c>
      <x:c r="H241" s="86" t="n">
        <x:f>IF(E241="","",E241*IF(F241="fen",0.1,IF(F241="qian",1,IF(F241="liang",10,IF(F241="jin",160,0)))))</x:f>
        <x:v>2</x:v>
      </x:c>
      <x:c r="I241" s="86" t="n">
        <x:f>IF(H241="","",H241*IFERROR(INDEX('Herb'!$L$2:$L$115,MATCH(C241,'Herb'!$A$2:$A$115,0)),0))</x:f>
        <x:v>4</x:v>
      </x:c>
      <x:c r="J241" s="86" t="n">
        <x:f>IF(H241="","",H241*IFERROR(INDEX('Herb'!$M$2:$M$115,MATCH(C241,'Herb'!$A$2:$A$115,0)),0))</x:f>
        <x:v>8</x:v>
      </x:c>
    </x:row>
    <x:row r="242">
      <x:c r="A242" s="10" t="s">
        <x:v>918</x:v>
      </x:c>
      <x:c r="B242" s="10" t="s">
        <x:v>1216</x:v>
      </x:c>
      <x:c r="C242" s="10" t="s">
        <x:v>1217</x:v>
      </x:c>
      <x:c r="D242" s="14" t="s">
        <x:v>1143</x:v>
      </x:c>
      <x:c r="E242" s="10">
        <x:v>2</x:v>
      </x:c>
      <x:c r="F242" s="10" t="s">
        <x:v>1140</x:v>
      </x:c>
      <x:c r="G242" s="10" t="b">
        <x:v>1</x:v>
      </x:c>
      <x:c r="H242" s="86" t="n">
        <x:f>IF(E242="","",E242*IF(F242="fen",0.1,IF(F242="qian",1,IF(F242="liang",10,IF(F242="jin",160,0)))))</x:f>
        <x:v>2</x:v>
      </x:c>
      <x:c r="I242" s="86" t="n">
        <x:f>IF(H242="","",H242*IFERROR(INDEX('Herb'!$L$2:$L$115,MATCH(C242,'Herb'!$A$2:$A$115,0)),0))</x:f>
        <x:v>16</x:v>
      </x:c>
      <x:c r="J242" s="86" t="n">
        <x:f>IF(H242="","",H242*IFERROR(INDEX('Herb'!$M$2:$M$115,MATCH(C242,'Herb'!$A$2:$A$115,0)),0))</x:f>
        <x:v>24</x:v>
      </x:c>
    </x:row>
    <x:row r="243">
      <x:c r="A243" s="10" t="s">
        <x:v>918</x:v>
      </x:c>
      <x:c r="B243" s="10" t="s">
        <x:v>1317</x:v>
      </x:c>
      <x:c r="C243" s="10" t="s">
        <x:v>1318</x:v>
      </x:c>
      <x:c r="D243" s="14" t="s">
        <x:v>1143</x:v>
      </x:c>
      <x:c r="E243" s="10">
        <x:v>3</x:v>
      </x:c>
      <x:c r="F243" s="10" t="s">
        <x:v>1140</x:v>
      </x:c>
      <x:c r="G243" s="10" t="b">
        <x:v>1</x:v>
      </x:c>
      <x:c r="H243" s="86" t="n">
        <x:f>IF(E243="","",E243*IF(F243="fen",0.1,IF(F243="qian",1,IF(F243="liang",10,IF(F243="jin",160,0)))))</x:f>
        <x:v>3</x:v>
      </x:c>
      <x:c r="I243" s="86" t="n">
        <x:f>IF(H243="","",H243*IFERROR(INDEX('Herb'!$L$2:$L$115,MATCH(C243,'Herb'!$A$2:$A$115,0)),0))</x:f>
        <x:v>24</x:v>
      </x:c>
      <x:c r="J243" s="86" t="n">
        <x:f>IF(H243="","",H243*IFERROR(INDEX('Herb'!$M$2:$M$115,MATCH(C243,'Herb'!$A$2:$A$115,0)),0))</x:f>
        <x:v>39</x:v>
      </x:c>
    </x:row>
    <x:row r="244">
      <x:c r="A244" s="10" t="s">
        <x:v>918</x:v>
      </x:c>
      <x:c r="B244" s="10" t="s">
        <x:v>1319</x:v>
      </x:c>
      <x:c r="C244" s="10" t="s">
        <x:v>1320</x:v>
      </x:c>
      <x:c r="D244" s="15" t="s">
        <x:v>1146</x:v>
      </x:c>
      <x:c r="E244" s="10">
        <x:v>2</x:v>
      </x:c>
      <x:c r="F244" s="10" t="s">
        <x:v>1140</x:v>
      </x:c>
      <x:c r="G244" s="10" t="b">
        <x:v>1</x:v>
      </x:c>
      <x:c r="H244" s="86" t="n">
        <x:f>IF(E244="","",E244*IF(F244="fen",0.1,IF(F244="qian",1,IF(F244="liang",10,IF(F244="jin",160,0)))))</x:f>
        <x:v>2</x:v>
      </x:c>
      <x:c r="I244" s="86" t="n">
        <x:f>IF(H244="","",H244*IFERROR(INDEX('Herb'!$L$2:$L$115,MATCH(C244,'Herb'!$A$2:$A$115,0)),0))</x:f>
        <x:v>16</x:v>
      </x:c>
      <x:c r="J244" s="86" t="n">
        <x:f>IF(H244="","",H244*IFERROR(INDEX('Herb'!$M$2:$M$115,MATCH(C244,'Herb'!$A$2:$A$115,0)),0))</x:f>
        <x:v>26</x:v>
      </x:c>
    </x:row>
    <x:row r="245">
      <x:c r="A245" s="10" t="s">
        <x:v>918</x:v>
      </x:c>
      <x:c r="B245" s="10" t="s">
        <x:v>1189</x:v>
      </x:c>
      <x:c r="C245" s="10" t="s">
        <x:v>1190</x:v>
      </x:c>
      <x:c r="D245" s="15" t="s">
        <x:v>1146</x:v>
      </x:c>
      <x:c r="E245" s="10">
        <x:v>2</x:v>
      </x:c>
      <x:c r="F245" s="10" t="s">
        <x:v>1140</x:v>
      </x:c>
      <x:c r="G245" s="10" t="b">
        <x:v>1</x:v>
      </x:c>
      <x:c r="H245" s="86" t="n">
        <x:f>IF(E245="","",E245*IF(F245="fen",0.1,IF(F245="qian",1,IF(F245="liang",10,IF(F245="jin",160,0)))))</x:f>
        <x:v>2</x:v>
      </x:c>
      <x:c r="I245" s="86" t="n">
        <x:f>IF(H245="","",H245*IFERROR(INDEX('Herb'!$L$2:$L$115,MATCH(C245,'Herb'!$A$2:$A$115,0)),0))</x:f>
        <x:v>10</x:v>
      </x:c>
      <x:c r="J245" s="86" t="n">
        <x:f>IF(H245="","",H245*IFERROR(INDEX('Herb'!$M$2:$M$115,MATCH(C245,'Herb'!$A$2:$A$115,0)),0))</x:f>
        <x:v>16</x:v>
      </x:c>
    </x:row>
    <x:row r="246">
      <x:c r="A246" s="10" t="s">
        <x:v>918</x:v>
      </x:c>
      <x:c r="B246" s="10" t="s">
        <x:v>1321</x:v>
      </x:c>
      <x:c r="C246" s="10" t="s">
        <x:v>1322</x:v>
      </x:c>
      <x:c r="D246" s="15" t="s">
        <x:v>1146</x:v>
      </x:c>
      <x:c r="E246" s="10">
        <x:v>1</x:v>
      </x:c>
      <x:c r="F246" s="10" t="s">
        <x:v>1140</x:v>
      </x:c>
      <x:c r="G246" s="10" t="b">
        <x:v>1</x:v>
      </x:c>
      <x:c r="H246" s="86" t="n">
        <x:f>IF(E246="","",E246*IF(F246="fen",0.1,IF(F246="qian",1,IF(F246="liang",10,IF(F246="jin",160,0)))))</x:f>
        <x:v>1</x:v>
      </x:c>
      <x:c r="I246" s="86" t="n">
        <x:f>IF(H246="","",H246*IFERROR(INDEX('Herb'!$L$2:$L$115,MATCH(C246,'Herb'!$A$2:$A$115,0)),0))</x:f>
        <x:v>40</x:v>
      </x:c>
      <x:c r="J246" s="86" t="n">
        <x:f>IF(H246="","",H246*IFERROR(INDEX('Herb'!$M$2:$M$115,MATCH(C246,'Herb'!$A$2:$A$115,0)),0))</x:f>
        <x:v>60</x:v>
      </x:c>
    </x:row>
    <x:row r="247">
      <x:c r="A247" s="10" t="s">
        <x:v>918</x:v>
      </x:c>
      <x:c r="B247" s="10" t="s">
        <x:v>1152</x:v>
      </x:c>
      <x:c r="C247" s="10" t="s">
        <x:v>1153</x:v>
      </x:c>
      <x:c r="D247" s="16" t="s">
        <x:v>1149</x:v>
      </x:c>
      <x:c r="E247" s="10">
        <x:v>1</x:v>
      </x:c>
      <x:c r="F247" s="10" t="s">
        <x:v>1140</x:v>
      </x:c>
      <x:c r="G247" s="10" t="b">
        <x:v>1</x:v>
      </x:c>
      <x:c r="H247" s="86" t="n">
        <x:f>IF(E247="","",E247*IF(F247="fen",0.1,IF(F247="qian",1,IF(F247="liang",10,IF(F247="jin",160,0)))))</x:f>
        <x:v>1</x:v>
      </x:c>
      <x:c r="I247" s="86" t="n">
        <x:f>IF(H247="","",H247*IFERROR(INDEX('Herb'!$L$2:$L$115,MATCH(C247,'Herb'!$A$2:$A$115,0)),0))</x:f>
        <x:v>1</x:v>
      </x:c>
      <x:c r="J247" s="86" t="n">
        <x:f>IF(H247="","",H247*IFERROR(INDEX('Herb'!$M$2:$M$115,MATCH(C247,'Herb'!$A$2:$A$115,0)),0))</x:f>
        <x:v>2</x:v>
      </x:c>
    </x:row>
    <x:row r="248">
      <x:c r="A248" s="10" t="s">
        <x:v>923</x:v>
      </x:c>
      <x:c r="B248" s="10" t="s">
        <x:v>1295</x:v>
      </x:c>
      <x:c r="C248" s="10" t="s">
        <x:v>1296</x:v>
      </x:c>
      <x:c r="D248" s="13" t="s">
        <x:v>1139</x:v>
      </x:c>
      <x:c r="E248" s="10">
        <x:v>2</x:v>
      </x:c>
      <x:c r="F248" s="10" t="s">
        <x:v>1140</x:v>
      </x:c>
      <x:c r="G248" s="10" t="b">
        <x:v>1</x:v>
      </x:c>
      <x:c r="H248" s="86" t="n">
        <x:f>IF(E248="","",E248*IF(F248="fen",0.1,IF(F248="qian",1,IF(F248="liang",10,IF(F248="jin",160,0)))))</x:f>
        <x:v>2</x:v>
      </x:c>
      <x:c r="I248" s="86" t="n">
        <x:f>IF(H248="","",H248*IFERROR(INDEX('Herb'!$L$2:$L$115,MATCH(C248,'Herb'!$A$2:$A$115,0)),0))</x:f>
        <x:v>12</x:v>
      </x:c>
      <x:c r="J248" s="86" t="n">
        <x:f>IF(H248="","",H248*IFERROR(INDEX('Herb'!$M$2:$M$115,MATCH(C248,'Herb'!$A$2:$A$115,0)),0))</x:f>
        <x:v>22</x:v>
      </x:c>
    </x:row>
    <x:row r="249">
      <x:c r="A249" s="10" t="s">
        <x:v>923</x:v>
      </x:c>
      <x:c r="B249" s="10" t="s">
        <x:v>1323</x:v>
      </x:c>
      <x:c r="C249" s="10" t="s">
        <x:v>1324</x:v>
      </x:c>
      <x:c r="D249" s="14" t="s">
        <x:v>1143</x:v>
      </x:c>
      <x:c r="E249" s="10">
        <x:v>1.5</x:v>
      </x:c>
      <x:c r="F249" s="10" t="s">
        <x:v>1140</x:v>
      </x:c>
      <x:c r="G249" s="10" t="b">
        <x:v>1</x:v>
      </x:c>
      <x:c r="H249" s="86" t="n">
        <x:f>IF(E249="","",E249*IF(F249="fen",0.1,IF(F249="qian",1,IF(F249="liang",10,IF(F249="jin",160,0)))))</x:f>
        <x:v>1.5</x:v>
      </x:c>
      <x:c r="I249" s="86" t="n">
        <x:f>IF(H249="","",H249*IFERROR(INDEX('Herb'!$L$2:$L$115,MATCH(C249,'Herb'!$A$2:$A$115,0)),0))</x:f>
        <x:v>9</x:v>
      </x:c>
      <x:c r="J249" s="86" t="n">
        <x:f>IF(H249="","",H249*IFERROR(INDEX('Herb'!$M$2:$M$115,MATCH(C249,'Herb'!$A$2:$A$115,0)),0))</x:f>
        <x:v>16.5</x:v>
      </x:c>
    </x:row>
    <x:row r="250">
      <x:c r="A250" s="10" t="s">
        <x:v>923</x:v>
      </x:c>
      <x:c r="B250" s="10" t="s">
        <x:v>1218</x:v>
      </x:c>
      <x:c r="C250" s="10" t="s">
        <x:v>1219</x:v>
      </x:c>
      <x:c r="D250" s="14" t="s">
        <x:v>1143</x:v>
      </x:c>
      <x:c r="E250" s="10">
        <x:v>1.5</x:v>
      </x:c>
      <x:c r="F250" s="10" t="s">
        <x:v>1140</x:v>
      </x:c>
      <x:c r="G250" s="10" t="b">
        <x:v>1</x:v>
      </x:c>
      <x:c r="H250" s="86" t="n">
        <x:f>IF(E250="","",E250*IF(F250="fen",0.1,IF(F250="qian",1,IF(F250="liang",10,IF(F250="jin",160,0)))))</x:f>
        <x:v>1.5</x:v>
      </x:c>
      <x:c r="I250" s="86" t="n">
        <x:f>IF(H250="","",H250*IFERROR(INDEX('Herb'!$L$2:$L$115,MATCH(C250,'Herb'!$A$2:$A$115,0)),0))</x:f>
        <x:v>10.5</x:v>
      </x:c>
      <x:c r="J250" s="86" t="n">
        <x:f>IF(H250="","",H250*IFERROR(INDEX('Herb'!$M$2:$M$115,MATCH(C250,'Herb'!$A$2:$A$115,0)),0))</x:f>
        <x:v>16.5</x:v>
      </x:c>
    </x:row>
    <x:row r="251">
      <x:c r="A251" s="10" t="s">
        <x:v>923</x:v>
      </x:c>
      <x:c r="B251" s="10" t="s">
        <x:v>23</x:v>
      </x:c>
      <x:c r="C251" s="10" t="s">
        <x:v>22</x:v>
      </x:c>
      <x:c r="D251" s="15" t="s">
        <x:v>1146</x:v>
      </x:c>
      <x:c r="E251" s="10">
        <x:v>2</x:v>
      </x:c>
      <x:c r="F251" s="10" t="s">
        <x:v>1140</x:v>
      </x:c>
      <x:c r="G251" s="10" t="b">
        <x:v>1</x:v>
      </x:c>
      <x:c r="H251" s="86" t="n">
        <x:f>IF(E251="","",E251*IF(F251="fen",0.1,IF(F251="qian",1,IF(F251="liang",10,IF(F251="jin",160,0)))))</x:f>
        <x:v>2</x:v>
      </x:c>
      <x:c r="I251" s="86" t="n">
        <x:f>IF(H251="","",H251*IFERROR(INDEX('Herb'!$L$2:$L$115,MATCH(C251,'Herb'!$A$2:$A$115,0)),0))</x:f>
        <x:v>6</x:v>
      </x:c>
      <x:c r="J251" s="86" t="n">
        <x:f>IF(H251="","",H251*IFERROR(INDEX('Herb'!$M$2:$M$115,MATCH(C251,'Herb'!$A$2:$A$115,0)),0))</x:f>
        <x:v>10</x:v>
      </x:c>
    </x:row>
    <x:row r="252">
      <x:c r="A252" s="10" t="s">
        <x:v>923</x:v>
      </x:c>
      <x:c r="B252" s="10" t="s">
        <x:v>1191</x:v>
      </x:c>
      <x:c r="C252" s="10" t="s">
        <x:v>1192</x:v>
      </x:c>
      <x:c r="D252" s="15" t="s">
        <x:v>1146</x:v>
      </x:c>
      <x:c r="E252" s="10">
        <x:v>1.5</x:v>
      </x:c>
      <x:c r="F252" s="10" t="s">
        <x:v>1140</x:v>
      </x:c>
      <x:c r="G252" s="10" t="b">
        <x:v>1</x:v>
      </x:c>
      <x:c r="H252" s="86" t="n">
        <x:f>IF(E252="","",E252*IF(F252="fen",0.1,IF(F252="qian",1,IF(F252="liang",10,IF(F252="jin",160,0)))))</x:f>
        <x:v>1.5</x:v>
      </x:c>
      <x:c r="I252" s="86" t="n">
        <x:f>IF(H252="","",H252*IFERROR(INDEX('Herb'!$L$2:$L$115,MATCH(C252,'Herb'!$A$2:$A$115,0)),0))</x:f>
        <x:v>6</x:v>
      </x:c>
      <x:c r="J252" s="86" t="n">
        <x:f>IF(H252="","",H252*IFERROR(INDEX('Herb'!$M$2:$M$115,MATCH(C252,'Herb'!$A$2:$A$115,0)),0))</x:f>
        <x:v>10.5</x:v>
      </x:c>
    </x:row>
    <x:row r="253">
      <x:c r="A253" s="10" t="s">
        <x:v>923</x:v>
      </x:c>
      <x:c r="B253" s="10" t="s">
        <x:v>1150</x:v>
      </x:c>
      <x:c r="C253" s="10" t="s">
        <x:v>1151</x:v>
      </x:c>
      <x:c r="D253" s="15" t="s">
        <x:v>1146</x:v>
      </x:c>
      <x:c r="E253" s="10">
        <x:v>1.5</x:v>
      </x:c>
      <x:c r="F253" s="10" t="s">
        <x:v>1140</x:v>
      </x:c>
      <x:c r="G253" s="10" t="b">
        <x:v>1</x:v>
      </x:c>
      <x:c r="H253" s="86" t="n">
        <x:f>IF(E253="","",E253*IF(F253="fen",0.1,IF(F253="qian",1,IF(F253="liang",10,IF(F253="jin",160,0)))))</x:f>
        <x:v>1.5</x:v>
      </x:c>
      <x:c r="I253" s="86" t="n">
        <x:f>IF(H253="","",H253*IFERROR(INDEX('Herb'!$L$2:$L$115,MATCH(C253,'Herb'!$A$2:$A$115,0)),0))</x:f>
        <x:v>7.5</x:v>
      </x:c>
      <x:c r="J253" s="86" t="n">
        <x:f>IF(H253="","",H253*IFERROR(INDEX('Herb'!$M$2:$M$115,MATCH(C253,'Herb'!$A$2:$A$115,0)),0))</x:f>
        <x:v>12</x:v>
      </x:c>
    </x:row>
    <x:row r="254">
      <x:c r="A254" s="10" t="s">
        <x:v>923</x:v>
      </x:c>
      <x:c r="B254" s="10" t="s">
        <x:v>1147</x:v>
      </x:c>
      <x:c r="C254" s="10" t="s">
        <x:v>1148</x:v>
      </x:c>
      <x:c r="D254" s="16" t="s">
        <x:v>1149</x:v>
      </x:c>
      <x:c r="E254" s="10">
        <x:v>0.5</x:v>
      </x:c>
      <x:c r="F254" s="10" t="s">
        <x:v>1140</x:v>
      </x:c>
      <x:c r="G254" s="10" t="b">
        <x:v>1</x:v>
      </x:c>
      <x:c r="H254" s="86" t="n">
        <x:f>IF(E254="","",E254*IF(F254="fen",0.1,IF(F254="qian",1,IF(F254="liang",10,IF(F254="jin",160,0)))))</x:f>
        <x:v>0.5</x:v>
      </x:c>
      <x:c r="I254" s="86" t="n">
        <x:f>IF(H254="","",H254*IFERROR(INDEX('Herb'!$L$2:$L$115,MATCH(C254,'Herb'!$A$2:$A$115,0)),0))</x:f>
        <x:v>1</x:v>
      </x:c>
      <x:c r="J254" s="86" t="n">
        <x:f>IF(H254="","",H254*IFERROR(INDEX('Herb'!$M$2:$M$115,MATCH(C254,'Herb'!$A$2:$A$115,0)),0))</x:f>
        <x:v>2</x:v>
      </x:c>
    </x:row>
    <x:row r="255">
      <x:c r="A255" s="10" t="s">
        <x:v>927</x:v>
      </x:c>
      <x:c r="B255" s="10" t="s">
        <x:v>1225</x:v>
      </x:c>
      <x:c r="C255" s="10" t="s">
        <x:v>1226</x:v>
      </x:c>
      <x:c r="D255" s="13" t="s">
        <x:v>1139</x:v>
      </x:c>
      <x:c r="E255" s="10">
        <x:v>4</x:v>
      </x:c>
      <x:c r="F255" s="10" t="s">
        <x:v>1140</x:v>
      </x:c>
      <x:c r="G255" s="10" t="b">
        <x:v>1</x:v>
      </x:c>
      <x:c r="H255" s="86" t="n">
        <x:f>IF(E255="","",E255*IF(F255="fen",0.1,IF(F255="qian",1,IF(F255="liang",10,IF(F255="jin",160,0)))))</x:f>
        <x:v>4</x:v>
      </x:c>
      <x:c r="I255" s="86" t="n">
        <x:f>IF(H255="","",H255*IFERROR(INDEX('Herb'!$L$2:$L$115,MATCH(C255,'Herb'!$A$2:$A$115,0)),0))</x:f>
        <x:v>40</x:v>
      </x:c>
      <x:c r="J255" s="86" t="n">
        <x:f>IF(H255="","",H255*IFERROR(INDEX('Herb'!$M$2:$M$115,MATCH(C255,'Herb'!$A$2:$A$115,0)),0))</x:f>
        <x:v>60</x:v>
      </x:c>
    </x:row>
    <x:row r="256">
      <x:c r="A256" s="10" t="s">
        <x:v>927</x:v>
      </x:c>
      <x:c r="B256" s="10" t="s">
        <x:v>1216</x:v>
      </x:c>
      <x:c r="C256" s="10" t="s">
        <x:v>1217</x:v>
      </x:c>
      <x:c r="D256" s="14" t="s">
        <x:v>1143</x:v>
      </x:c>
      <x:c r="E256" s="10">
        <x:v>3</x:v>
      </x:c>
      <x:c r="F256" s="10" t="s">
        <x:v>1140</x:v>
      </x:c>
      <x:c r="G256" s="10" t="b">
        <x:v>1</x:v>
      </x:c>
      <x:c r="H256" s="86" t="n">
        <x:f>IF(E256="","",E256*IF(F256="fen",0.1,IF(F256="qian",1,IF(F256="liang",10,IF(F256="jin",160,0)))))</x:f>
        <x:v>3</x:v>
      </x:c>
      <x:c r="I256" s="86" t="n">
        <x:f>IF(H256="","",H256*IFERROR(INDEX('Herb'!$L$2:$L$115,MATCH(C256,'Herb'!$A$2:$A$115,0)),0))</x:f>
        <x:v>24</x:v>
      </x:c>
      <x:c r="J256" s="86" t="n">
        <x:f>IF(H256="","",H256*IFERROR(INDEX('Herb'!$M$2:$M$115,MATCH(C256,'Herb'!$A$2:$A$115,0)),0))</x:f>
        <x:v>36</x:v>
      </x:c>
    </x:row>
    <x:row r="257">
      <x:c r="A257" s="10" t="s">
        <x:v>927</x:v>
      </x:c>
      <x:c r="B257" s="10" t="s">
        <x:v>1150</x:v>
      </x:c>
      <x:c r="C257" s="10" t="s">
        <x:v>1151</x:v>
      </x:c>
      <x:c r="D257" s="15" t="s">
        <x:v>1146</x:v>
      </x:c>
      <x:c r="E257" s="10">
        <x:v>3</x:v>
      </x:c>
      <x:c r="F257" s="10" t="s">
        <x:v>1140</x:v>
      </x:c>
      <x:c r="G257" s="10" t="b">
        <x:v>1</x:v>
      </x:c>
      <x:c r="H257" s="86" t="n">
        <x:f>IF(E257="","",E257*IF(F257="fen",0.1,IF(F257="qian",1,IF(F257="liang",10,IF(F257="jin",160,0)))))</x:f>
        <x:v>3</x:v>
      </x:c>
      <x:c r="I257" s="86" t="n">
        <x:f>IF(H257="","",H257*IFERROR(INDEX('Herb'!$L$2:$L$115,MATCH(C257,'Herb'!$A$2:$A$115,0)),0))</x:f>
        <x:v>15</x:v>
      </x:c>
      <x:c r="J257" s="86" t="n">
        <x:f>IF(H257="","",H257*IFERROR(INDEX('Herb'!$M$2:$M$115,MATCH(C257,'Herb'!$A$2:$A$115,0)),0))</x:f>
        <x:v>24</x:v>
      </x:c>
    </x:row>
    <x:row r="258">
      <x:c r="A258" s="10" t="s">
        <x:v>927</x:v>
      </x:c>
      <x:c r="B258" s="10" t="s">
        <x:v>1218</x:v>
      </x:c>
      <x:c r="C258" s="10" t="s">
        <x:v>1219</x:v>
      </x:c>
      <x:c r="D258" s="15" t="s">
        <x:v>1146</x:v>
      </x:c>
      <x:c r="E258" s="10">
        <x:v>2</x:v>
      </x:c>
      <x:c r="F258" s="10" t="s">
        <x:v>1140</x:v>
      </x:c>
      <x:c r="G258" s="10" t="b">
        <x:v>1</x:v>
      </x:c>
      <x:c r="H258" s="86" t="n">
        <x:f>IF(E258="","",E258*IF(F258="fen",0.1,IF(F258="qian",1,IF(F258="liang",10,IF(F258="jin",160,0)))))</x:f>
        <x:v>2</x:v>
      </x:c>
      <x:c r="I258" s="86" t="n">
        <x:f>IF(H258="","",H258*IFERROR(INDEX('Herb'!$L$2:$L$115,MATCH(C258,'Herb'!$A$2:$A$115,0)),0))</x:f>
        <x:v>14</x:v>
      </x:c>
      <x:c r="J258" s="86" t="n">
        <x:f>IF(H258="","",H258*IFERROR(INDEX('Herb'!$M$2:$M$115,MATCH(C258,'Herb'!$A$2:$A$115,0)),0))</x:f>
        <x:v>22</x:v>
      </x:c>
    </x:row>
    <x:row r="259">
      <x:c r="A259" s="10" t="s">
        <x:v>932</x:v>
      </x:c>
      <x:c r="B259" s="10" t="s">
        <x:v>1216</x:v>
      </x:c>
      <x:c r="C259" s="47" t="s">
        <x:v>1217</x:v>
      </x:c>
      <x:c r="D259" s="13" t="s">
        <x:v>1139</x:v>
      </x:c>
      <x:c r="E259" s="10">
        <x:v>3</x:v>
      </x:c>
      <x:c r="F259" s="10" t="s">
        <x:v>1140</x:v>
      </x:c>
      <x:c r="G259" s="10" t="b">
        <x:v>1</x:v>
      </x:c>
      <x:c r="H259" s="86" t="n">
        <x:f>IF(E259="","",E259*IF(F259="fen",0.1,IF(F259="qian",1,IF(F259="liang",10,IF(F259="jin",160,0)))))</x:f>
        <x:v>3</x:v>
      </x:c>
      <x:c r="I259" s="86" t="n">
        <x:f>IF(H259="","",H259*IFERROR(INDEX('Herb'!$L$2:$L$115,MATCH(C259,'Herb'!$A$2:$A$115,0)),0))</x:f>
        <x:v>24</x:v>
      </x:c>
      <x:c r="J259" s="86" t="n">
        <x:f>IF(H259="","",H259*IFERROR(INDEX('Herb'!$M$2:$M$115,MATCH(C259,'Herb'!$A$2:$A$115,0)),0))</x:f>
        <x:v>36</x:v>
      </x:c>
    </x:row>
    <x:row r="260">
      <x:c r="A260" s="10" t="s">
        <x:v>932</x:v>
      </x:c>
      <x:c r="B260" s="10" t="s">
        <x:v>1218</x:v>
      </x:c>
      <x:c r="C260" s="10" t="s">
        <x:v>1219</x:v>
      </x:c>
      <x:c r="D260" s="13" t="s">
        <x:v>1139</x:v>
      </x:c>
      <x:c r="E260" s="10">
        <x:v>2</x:v>
      </x:c>
      <x:c r="F260" s="10" t="s">
        <x:v>1140</x:v>
      </x:c>
      <x:c r="G260" s="10" t="b">
        <x:v>1</x:v>
      </x:c>
      <x:c r="H260" s="86" t="n">
        <x:f>IF(E260="","",E260*IF(F260="fen",0.1,IF(F260="qian",1,IF(F260="liang",10,IF(F260="jin",160,0)))))</x:f>
        <x:v>2</x:v>
      </x:c>
      <x:c r="I260" s="86" t="n">
        <x:f>IF(H260="","",H260*IFERROR(INDEX('Herb'!$L$2:$L$115,MATCH(C260,'Herb'!$A$2:$A$115,0)),0))</x:f>
        <x:v>14</x:v>
      </x:c>
      <x:c r="J260" s="86" t="n">
        <x:f>IF(H260="","",H260*IFERROR(INDEX('Herb'!$M$2:$M$115,MATCH(C260,'Herb'!$A$2:$A$115,0)),0))</x:f>
        <x:v>22</x:v>
      </x:c>
    </x:row>
    <x:row r="261">
      <x:c r="A261" s="10" t="s">
        <x:v>932</x:v>
      </x:c>
      <x:c r="B261" s="10" t="s">
        <x:v>1291</x:v>
      </x:c>
      <x:c r="C261" s="47" t="s">
        <x:v>1292</x:v>
      </x:c>
      <x:c r="D261" s="13" t="s">
        <x:v>1139</x:v>
      </x:c>
      <x:c r="E261" s="10">
        <x:v>2</x:v>
      </x:c>
      <x:c r="F261" s="10" t="s">
        <x:v>1140</x:v>
      </x:c>
      <x:c r="G261" s="10" t="b">
        <x:v>1</x:v>
      </x:c>
      <x:c r="H261" s="86" t="n">
        <x:f>IF(E261="","",E261*IF(F261="fen",0.1,IF(F261="qian",1,IF(F261="liang",10,IF(F261="jin",160,0)))))</x:f>
        <x:v>2</x:v>
      </x:c>
      <x:c r="I261" s="86" t="n">
        <x:f>IF(H261="","",H261*IFERROR(INDEX('Herb'!$L$2:$L$115,MATCH(C261,'Herb'!$A$2:$A$115,0)),0))</x:f>
        <x:v>12</x:v>
      </x:c>
      <x:c r="J261" s="86" t="n">
        <x:f>IF(H261="","",H261*IFERROR(INDEX('Herb'!$M$2:$M$115,MATCH(C261,'Herb'!$A$2:$A$115,0)),0))</x:f>
        <x:v>22</x:v>
      </x:c>
    </x:row>
    <x:row r="262">
      <x:c r="A262" s="10" t="s">
        <x:v>932</x:v>
      </x:c>
      <x:c r="B262" s="10" t="s">
        <x:v>1287</x:v>
      </x:c>
      <x:c r="C262" s="47" t="s">
        <x:v>1288</x:v>
      </x:c>
      <x:c r="D262" s="14" t="s">
        <x:v>1143</x:v>
      </x:c>
      <x:c r="E262" s="10">
        <x:v>3</x:v>
      </x:c>
      <x:c r="F262" s="10" t="s">
        <x:v>1140</x:v>
      </x:c>
      <x:c r="G262" s="10" t="b">
        <x:v>1</x:v>
      </x:c>
      <x:c r="H262" s="86" t="n">
        <x:f>IF(E262="","",E262*IF(F262="fen",0.1,IF(F262="qian",1,IF(F262="liang",10,IF(F262="jin",160,0)))))</x:f>
        <x:v>3</x:v>
      </x:c>
      <x:c r="I262" s="86" t="n">
        <x:f>IF(H262="","",H262*IFERROR(INDEX('Herb'!$L$2:$L$115,MATCH(C262,'Herb'!$A$2:$A$115,0)),0))</x:f>
        <x:v>18</x:v>
      </x:c>
      <x:c r="J262" s="86" t="n">
        <x:f>IF(H262="","",H262*IFERROR(INDEX('Herb'!$M$2:$M$115,MATCH(C262,'Herb'!$A$2:$A$115,0)),0))</x:f>
        <x:v>33</x:v>
      </x:c>
    </x:row>
    <x:row r="263">
      <x:c r="A263" s="10" t="s">
        <x:v>932</x:v>
      </x:c>
      <x:c r="B263" s="10" t="s">
        <x:v>1289</x:v>
      </x:c>
      <x:c r="C263" s="47" t="s">
        <x:v>1290</x:v>
      </x:c>
      <x:c r="D263" s="14" t="s">
        <x:v>1143</x:v>
      </x:c>
      <x:c r="E263" s="10">
        <x:v>3</x:v>
      </x:c>
      <x:c r="F263" s="10" t="s">
        <x:v>1140</x:v>
      </x:c>
      <x:c r="G263" s="10" t="b">
        <x:v>1</x:v>
      </x:c>
      <x:c r="H263" s="86" t="n">
        <x:f>IF(E263="","",E263*IF(F263="fen",0.1,IF(F263="qian",1,IF(F263="liang",10,IF(F263="jin",160,0)))))</x:f>
        <x:v>3</x:v>
      </x:c>
      <x:c r="I263" s="86" t="n">
        <x:f>IF(H263="","",H263*IFERROR(INDEX('Herb'!$L$2:$L$115,MATCH(C263,'Herb'!$A$2:$A$115,0)),0))</x:f>
        <x:v>21</x:v>
      </x:c>
      <x:c r="J263" s="86" t="n">
        <x:f>IF(H263="","",H263*IFERROR(INDEX('Herb'!$M$2:$M$115,MATCH(C263,'Herb'!$A$2:$A$115,0)),0))</x:f>
        <x:v>36</x:v>
      </x:c>
    </x:row>
    <x:row r="264">
      <x:c r="A264" s="10" t="s">
        <x:v>932</x:v>
      </x:c>
      <x:c r="B264" s="10" t="s">
        <x:v>1325</x:v>
      </x:c>
      <x:c r="C264" s="47" t="s">
        <x:v>1326</x:v>
      </x:c>
      <x:c r="D264" s="14" t="s">
        <x:v>1143</x:v>
      </x:c>
      <x:c r="E264" s="10">
        <x:v>2</x:v>
      </x:c>
      <x:c r="F264" s="10" t="s">
        <x:v>1140</x:v>
      </x:c>
      <x:c r="G264" s="10" t="b">
        <x:v>1</x:v>
      </x:c>
      <x:c r="H264" s="86" t="n">
        <x:f>IF(E264="","",E264*IF(F264="fen",0.1,IF(F264="qian",1,IF(F264="liang",10,IF(F264="jin",160,0)))))</x:f>
        <x:v>2</x:v>
      </x:c>
      <x:c r="I264" s="86" t="n">
        <x:f>IF(H264="","",H264*IFERROR(INDEX('Herb'!$L$2:$L$115,MATCH(C264,'Herb'!$A$2:$A$115,0)),0))</x:f>
        <x:v>18</x:v>
      </x:c>
      <x:c r="J264" s="86" t="n">
        <x:f>IF(H264="","",H264*IFERROR(INDEX('Herb'!$M$2:$M$115,MATCH(C264,'Herb'!$A$2:$A$115,0)),0))</x:f>
        <x:v>32</x:v>
      </x:c>
    </x:row>
    <x:row r="265">
      <x:c r="A265" s="10" t="s">
        <x:v>932</x:v>
      </x:c>
      <x:c r="B265" s="10" t="s">
        <x:v>1327</x:v>
      </x:c>
      <x:c r="C265" s="47" t="s">
        <x:v>1328</x:v>
      </x:c>
      <x:c r="D265" s="14" t="s">
        <x:v>1143</x:v>
      </x:c>
      <x:c r="E265" s="10">
        <x:v>2</x:v>
      </x:c>
      <x:c r="F265" s="10" t="s">
        <x:v>1140</x:v>
      </x:c>
      <x:c r="G265" s="10" t="b">
        <x:v>1</x:v>
      </x:c>
      <x:c r="H265" s="86" t="n">
        <x:f>IF(E265="","",E265*IF(F265="fen",0.1,IF(F265="qian",1,IF(F265="liang",10,IF(F265="jin",160,0)))))</x:f>
        <x:v>2</x:v>
      </x:c>
      <x:c r="I265" s="86" t="n">
        <x:f>IF(H265="","",H265*IFERROR(INDEX('Herb'!$L$2:$L$115,MATCH(C265,'Herb'!$A$2:$A$115,0)),0))</x:f>
        <x:v>14</x:v>
      </x:c>
      <x:c r="J265" s="86" t="n">
        <x:f>IF(H265="","",H265*IFERROR(INDEX('Herb'!$M$2:$M$115,MATCH(C265,'Herb'!$A$2:$A$115,0)),0))</x:f>
        <x:v>22</x:v>
      </x:c>
    </x:row>
    <x:row r="266">
      <x:c r="A266" s="10" t="s">
        <x:v>932</x:v>
      </x:c>
      <x:c r="B266" s="10" t="s">
        <x:v>1323</x:v>
      </x:c>
      <x:c r="C266" s="47" t="s">
        <x:v>1324</x:v>
      </x:c>
      <x:c r="D266" s="15" t="s">
        <x:v>1146</x:v>
      </x:c>
      <x:c r="E266" s="10">
        <x:v>1</x:v>
      </x:c>
      <x:c r="F266" s="10" t="s">
        <x:v>1140</x:v>
      </x:c>
      <x:c r="G266" s="10" t="b">
        <x:v>1</x:v>
      </x:c>
      <x:c r="H266" s="86" t="n">
        <x:f>IF(E266="","",E266*IF(F266="fen",0.1,IF(F266="qian",1,IF(F266="liang",10,IF(F266="jin",160,0)))))</x:f>
        <x:v>1</x:v>
      </x:c>
      <x:c r="I266" s="86" t="n">
        <x:f>IF(H266="","",H266*IFERROR(INDEX('Herb'!$L$2:$L$115,MATCH(C266,'Herb'!$A$2:$A$115,0)),0))</x:f>
        <x:v>6</x:v>
      </x:c>
      <x:c r="J266" s="86" t="n">
        <x:f>IF(H266="","",H266*IFERROR(INDEX('Herb'!$M$2:$M$115,MATCH(C266,'Herb'!$A$2:$A$115,0)),0))</x:f>
        <x:v>11</x:v>
      </x:c>
    </x:row>
    <x:row r="267">
      <x:c r="A267" s="10" t="s">
        <x:v>932</x:v>
      </x:c>
      <x:c r="B267" s="10" t="s">
        <x:v>1319</x:v>
      </x:c>
      <x:c r="C267" s="47" t="s">
        <x:v>1320</x:v>
      </x:c>
      <x:c r="D267" s="15" t="s">
        <x:v>1146</x:v>
      </x:c>
      <x:c r="E267" s="10">
        <x:v>2</x:v>
      </x:c>
      <x:c r="F267" s="10" t="s">
        <x:v>1140</x:v>
      </x:c>
      <x:c r="G267" s="10" t="b">
        <x:v>1</x:v>
      </x:c>
      <x:c r="H267" s="86" t="n">
        <x:f>IF(E267="","",E267*IF(F267="fen",0.1,IF(F267="qian",1,IF(F267="liang",10,IF(F267="jin",160,0)))))</x:f>
        <x:v>2</x:v>
      </x:c>
      <x:c r="I267" s="86" t="n">
        <x:f>IF(H267="","",H267*IFERROR(INDEX('Herb'!$L$2:$L$115,MATCH(C267,'Herb'!$A$2:$A$115,0)),0))</x:f>
        <x:v>16</x:v>
      </x:c>
      <x:c r="J267" s="86" t="n">
        <x:f>IF(H267="","",H267*IFERROR(INDEX('Herb'!$M$2:$M$115,MATCH(C267,'Herb'!$A$2:$A$115,0)),0))</x:f>
        <x:v>26</x:v>
      </x:c>
    </x:row>
    <x:row r="268">
      <x:c r="A268" s="10" t="s">
        <x:v>932</x:v>
      </x:c>
      <x:c r="B268" s="10" t="s">
        <x:v>1191</x:v>
      </x:c>
      <x:c r="C268" s="47" t="s">
        <x:v>1192</x:v>
      </x:c>
      <x:c r="D268" s="15" t="s">
        <x:v>1146</x:v>
      </x:c>
      <x:c r="E268" s="10">
        <x:v>1</x:v>
      </x:c>
      <x:c r="F268" s="10" t="s">
        <x:v>1140</x:v>
      </x:c>
      <x:c r="G268" s="10" t="b">
        <x:v>1</x:v>
      </x:c>
      <x:c r="H268" s="86" t="n">
        <x:f>IF(E268="","",E268*IF(F268="fen",0.1,IF(F268="qian",1,IF(F268="liang",10,IF(F268="jin",160,0)))))</x:f>
        <x:v>1</x:v>
      </x:c>
      <x:c r="I268" s="86" t="n">
        <x:f>IF(H268="","",H268*IFERROR(INDEX('Herb'!$L$2:$L$115,MATCH(C268,'Herb'!$A$2:$A$115,0)),0))</x:f>
        <x:v>4</x:v>
      </x:c>
      <x:c r="J268" s="86" t="n">
        <x:f>IF(H268="","",H268*IFERROR(INDEX('Herb'!$M$2:$M$115,MATCH(C268,'Herb'!$A$2:$A$115,0)),0))</x:f>
        <x:v>7</x:v>
      </x:c>
    </x:row>
    <x:row r="269">
      <x:c r="A269" s="10" t="s">
        <x:v>932</x:v>
      </x:c>
      <x:c r="B269" s="10" t="s">
        <x:v>1329</x:v>
      </x:c>
      <x:c r="C269" s="47" t="s">
        <x:v>1330</x:v>
      </x:c>
      <x:c r="D269" s="15" t="s">
        <x:v>1146</x:v>
      </x:c>
      <x:c r="E269" s="10">
        <x:v>1</x:v>
      </x:c>
      <x:c r="F269" s="10" t="s">
        <x:v>1140</x:v>
      </x:c>
      <x:c r="G269" s="10" t="b">
        <x:v>1</x:v>
      </x:c>
      <x:c r="H269" s="86" t="n">
        <x:f>IF(E269="","",E269*IF(F269="fen",0.1,IF(F269="qian",1,IF(F269="liang",10,IF(F269="jin",160,0)))))</x:f>
        <x:v>1</x:v>
      </x:c>
      <x:c r="I269" s="86" t="n">
        <x:f>IF(H269="","",H269*IFERROR(INDEX('Herb'!$L$2:$L$115,MATCH(C269,'Herb'!$A$2:$A$115,0)),0))</x:f>
        <x:v>11</x:v>
      </x:c>
      <x:c r="J269" s="86" t="n">
        <x:f>IF(H269="","",H269*IFERROR(INDEX('Herb'!$M$2:$M$115,MATCH(C269,'Herb'!$A$2:$A$115,0)),0))</x:f>
        <x:v>19</x:v>
      </x:c>
    </x:row>
    <x:row r="270">
      <x:c r="A270" s="10" t="s">
        <x:v>932</x:v>
      </x:c>
      <x:c r="B270" s="10" t="s">
        <x:v>1147</x:v>
      </x:c>
      <x:c r="C270" s="47" t="s">
        <x:v>1148</x:v>
      </x:c>
      <x:c r="D270" s="16" t="s">
        <x:v>1149</x:v>
      </x:c>
      <x:c r="E270" s="10">
        <x:v>3</x:v>
      </x:c>
      <x:c r="F270" s="10" t="s">
        <x:v>1140</x:v>
      </x:c>
      <x:c r="G270" s="10" t="b">
        <x:v>1</x:v>
      </x:c>
      <x:c r="H270" s="86" t="n">
        <x:f>IF(E270="","",E270*IF(F270="fen",0.1,IF(F270="qian",1,IF(F270="liang",10,IF(F270="jin",160,0)))))</x:f>
        <x:v>3</x:v>
      </x:c>
      <x:c r="I270" s="86" t="n">
        <x:f>IF(H270="","",H270*IFERROR(INDEX('Herb'!$L$2:$L$115,MATCH(C270,'Herb'!$A$2:$A$115,0)),0))</x:f>
        <x:v>6</x:v>
      </x:c>
      <x:c r="J270" s="86" t="n">
        <x:f>IF(H270="","",H270*IFERROR(INDEX('Herb'!$M$2:$M$115,MATCH(C270,'Herb'!$A$2:$A$115,0)),0))</x:f>
        <x:v>12</x:v>
      </x:c>
    </x:row>
    <x:row r="271">
      <x:c r="A271" s="10" t="s">
        <x:v>936</x:v>
      </x:c>
      <x:c r="B271" s="10" t="s">
        <x:v>1271</x:v>
      </x:c>
      <x:c r="C271" s="10" t="s">
        <x:v>1272</x:v>
      </x:c>
      <x:c r="D271" s="13" t="s">
        <x:v>1139</x:v>
      </x:c>
      <x:c r="E271" s="10">
        <x:v>1</x:v>
      </x:c>
      <x:c r="F271" s="10" t="s">
        <x:v>1158</x:v>
      </x:c>
      <x:c r="G271" s="10" t="b">
        <x:v>1</x:v>
      </x:c>
      <x:c r="H271" s="86" t="n">
        <x:f>IF(E271="","",E271*IF(F271="fen",0.1,IF(F271="qian",1,IF(F271="liang",10,IF(F271="jin",160,0)))))</x:f>
        <x:v>10</x:v>
      </x:c>
      <x:c r="I271" s="86" t="n">
        <x:f>IF(H271="","",H271*IFERROR(INDEX('Herb'!$L$2:$L$115,MATCH(C271,'Herb'!$A$2:$A$115,0)),0))</x:f>
        <x:v>80</x:v>
      </x:c>
      <x:c r="J271" s="86" t="n">
        <x:f>IF(H271="","",H271*IFERROR(INDEX('Herb'!$M$2:$M$115,MATCH(C271,'Herb'!$A$2:$A$115,0)),0))</x:f>
        <x:v>130</x:v>
      </x:c>
    </x:row>
    <x:row r="272">
      <x:c r="A272" s="10" t="s">
        <x:v>936</x:v>
      </x:c>
      <x:c r="B272" s="10" t="s">
        <x:v>1317</x:v>
      </x:c>
      <x:c r="C272" s="10" t="s">
        <x:v>1318</x:v>
      </x:c>
      <x:c r="D272" s="14" t="s">
        <x:v>1143</x:v>
      </x:c>
      <x:c r="E272" s="10">
        <x:v>6</x:v>
      </x:c>
      <x:c r="F272" s="10" t="s">
        <x:v>1140</x:v>
      </x:c>
      <x:c r="G272" s="10" t="b">
        <x:v>1</x:v>
      </x:c>
      <x:c r="H272" s="86" t="n">
        <x:f>IF(E272="","",E272*IF(F272="fen",0.1,IF(F272="qian",1,IF(F272="liang",10,IF(F272="jin",160,0)))))</x:f>
        <x:v>6</x:v>
      </x:c>
      <x:c r="I272" s="86" t="n">
        <x:f>IF(H272="","",H272*IFERROR(INDEX('Herb'!$L$2:$L$115,MATCH(C272,'Herb'!$A$2:$A$115,0)),0))</x:f>
        <x:v>48</x:v>
      </x:c>
      <x:c r="J272" s="86" t="n">
        <x:f>IF(H272="","",H272*IFERROR(INDEX('Herb'!$M$2:$M$115,MATCH(C272,'Herb'!$A$2:$A$115,0)),0))</x:f>
        <x:v>78</x:v>
      </x:c>
    </x:row>
    <x:row r="273">
      <x:c r="A273" s="10" t="s">
        <x:v>936</x:v>
      </x:c>
      <x:c r="B273" s="10" t="s">
        <x:v>1177</x:v>
      </x:c>
      <x:c r="C273" s="10" t="s">
        <x:v>1178</x:v>
      </x:c>
      <x:c r="D273" s="14" t="s">
        <x:v>1143</x:v>
      </x:c>
      <x:c r="E273" s="10">
        <x:v>3</x:v>
      </x:c>
      <x:c r="F273" s="10" t="s">
        <x:v>1140</x:v>
      </x:c>
      <x:c r="G273" s="10" t="b">
        <x:v>1</x:v>
      </x:c>
      <x:c r="H273" s="86" t="n">
        <x:f>IF(E273="","",E273*IF(F273="fen",0.1,IF(F273="qian",1,IF(F273="liang",10,IF(F273="jin",160,0)))))</x:f>
        <x:v>3</x:v>
      </x:c>
      <x:c r="I273" s="86" t="n">
        <x:f>IF(H273="","",H273*IFERROR(INDEX('Herb'!$L$2:$L$115,MATCH(C273,'Herb'!$A$2:$A$115,0)),0))</x:f>
        <x:v>18</x:v>
      </x:c>
      <x:c r="J273" s="86" t="n">
        <x:f>IF(H273="","",H273*IFERROR(INDEX('Herb'!$M$2:$M$115,MATCH(C273,'Herb'!$A$2:$A$115,0)),0))</x:f>
        <x:v>33</x:v>
      </x:c>
    </x:row>
    <x:row r="274">
      <x:c r="A274" s="10" t="s">
        <x:v>936</x:v>
      </x:c>
      <x:c r="B274" s="10" t="s">
        <x:v>1233</x:v>
      </x:c>
      <x:c r="C274" s="10" t="s">
        <x:v>1234</x:v>
      </x:c>
      <x:c r="D274" s="14" t="s">
        <x:v>1143</x:v>
      </x:c>
      <x:c r="E274" s="10">
        <x:v>3</x:v>
      </x:c>
      <x:c r="F274" s="10" t="s">
        <x:v>1140</x:v>
      </x:c>
      <x:c r="G274" s="10" t="b">
        <x:v>1</x:v>
      </x:c>
      <x:c r="H274" s="86" t="n">
        <x:f>IF(E274="","",E274*IF(F274="fen",0.1,IF(F274="qian",1,IF(F274="liang",10,IF(F274="jin",160,0)))))</x:f>
        <x:v>3</x:v>
      </x:c>
      <x:c r="I274" s="86" t="n">
        <x:f>IF(H274="","",H274*IFERROR(INDEX('Herb'!$L$2:$L$115,MATCH(C274,'Herb'!$A$2:$A$115,0)),0))</x:f>
        <x:v>27</x:v>
      </x:c>
      <x:c r="J274" s="86" t="n">
        <x:f>IF(H274="","",H274*IFERROR(INDEX('Herb'!$M$2:$M$115,MATCH(C274,'Herb'!$A$2:$A$115,0)),0))</x:f>
        <x:v>45</x:v>
      </x:c>
    </x:row>
    <x:row r="275">
      <x:c r="A275" s="10" t="s">
        <x:v>936</x:v>
      </x:c>
      <x:c r="B275" s="10" t="s">
        <x:v>1216</x:v>
      </x:c>
      <x:c r="C275" s="10" t="s">
        <x:v>1217</x:v>
      </x:c>
      <x:c r="D275" s="14" t="s">
        <x:v>1143</x:v>
      </x:c>
      <x:c r="E275" s="10">
        <x:v>3</x:v>
      </x:c>
      <x:c r="F275" s="10" t="s">
        <x:v>1140</x:v>
      </x:c>
      <x:c r="G275" s="10" t="b">
        <x:v>1</x:v>
      </x:c>
      <x:c r="H275" s="86" t="n">
        <x:f>IF(E275="","",E275*IF(F275="fen",0.1,IF(F275="qian",1,IF(F275="liang",10,IF(F275="jin",160,0)))))</x:f>
        <x:v>3</x:v>
      </x:c>
      <x:c r="I275" s="86" t="n">
        <x:f>IF(H275="","",H275*IFERROR(INDEX('Herb'!$L$2:$L$115,MATCH(C275,'Herb'!$A$2:$A$115,0)),0))</x:f>
        <x:v>24</x:v>
      </x:c>
      <x:c r="J275" s="86" t="n">
        <x:f>IF(H275="","",H275*IFERROR(INDEX('Herb'!$M$2:$M$115,MATCH(C275,'Herb'!$A$2:$A$115,0)),0))</x:f>
        <x:v>36</x:v>
      </x:c>
    </x:row>
    <x:row r="276">
      <x:c r="A276" s="10" t="s">
        <x:v>936</x:v>
      </x:c>
      <x:c r="B276" s="10" t="s">
        <x:v>1331</x:v>
      </x:c>
      <x:c r="C276" s="10" t="s">
        <x:v>1332</x:v>
      </x:c>
      <x:c r="D276" s="15" t="s">
        <x:v>1146</x:v>
      </x:c>
      <x:c r="E276" s="10">
        <x:v>1.5</x:v>
      </x:c>
      <x:c r="F276" s="10" t="s">
        <x:v>1140</x:v>
      </x:c>
      <x:c r="G276" s="10" t="b">
        <x:v>1</x:v>
      </x:c>
      <x:c r="H276" s="86" t="n">
        <x:f>IF(E276="","",E276*IF(F276="fen",0.1,IF(F276="qian",1,IF(F276="liang",10,IF(F276="jin",160,0)))))</x:f>
        <x:v>1.5</x:v>
      </x:c>
      <x:c r="I276" s="86" t="n">
        <x:f>IF(H276="","",H276*IFERROR(INDEX('Herb'!$L$2:$L$115,MATCH(C276,'Herb'!$A$2:$A$115,0)),0))</x:f>
        <x:v>10.5</x:v>
      </x:c>
      <x:c r="J276" s="86" t="n">
        <x:f>IF(H276="","",H276*IFERROR(INDEX('Herb'!$M$2:$M$115,MATCH(C276,'Herb'!$A$2:$A$115,0)),0))</x:f>
        <x:v>18</x:v>
      </x:c>
    </x:row>
    <x:row r="277">
      <x:c r="A277" s="10" t="s">
        <x:v>939</x:v>
      </x:c>
      <x:c r="B277" s="10" t="s">
        <x:v>1333</x:v>
      </x:c>
      <x:c r="C277" s="10" t="s">
        <x:v>1334</x:v>
      </x:c>
      <x:c r="D277" s="13" t="s">
        <x:v>1139</x:v>
      </x:c>
      <x:c r="E277" s="10">
        <x:v>3</x:v>
      </x:c>
      <x:c r="F277" s="10" t="s">
        <x:v>1140</x:v>
      </x:c>
      <x:c r="G277" s="10" t="b">
        <x:v>1</x:v>
      </x:c>
      <x:c r="H277" s="86" t="n">
        <x:f>IF(E277="","",E277*IF(F277="fen",0.1,IF(F277="qian",1,IF(F277="liang",10,IF(F277="jin",160,0)))))</x:f>
        <x:v>3</x:v>
      </x:c>
      <x:c r="I277" s="86" t="n">
        <x:f>IF(H277="","",H277*IFERROR(INDEX('Herb'!$L$2:$L$115,MATCH(C277,'Herb'!$A$2:$A$115,0)),0))</x:f>
        <x:v>33</x:v>
      </x:c>
      <x:c r="J277" s="86" t="n">
        <x:f>IF(H277="","",H277*IFERROR(INDEX('Herb'!$M$2:$M$115,MATCH(C277,'Herb'!$A$2:$A$115,0)),0))</x:f>
        <x:v>57</x:v>
      </x:c>
    </x:row>
    <x:row r="278">
      <x:c r="A278" s="10" t="s">
        <x:v>939</x:v>
      </x:c>
      <x:c r="B278" s="10" t="s">
        <x:v>1335</x:v>
      </x:c>
      <x:c r="C278" s="10" t="s">
        <x:v>1336</x:v>
      </x:c>
      <x:c r="D278" s="13" t="s">
        <x:v>1139</x:v>
      </x:c>
      <x:c r="E278" s="10">
        <x:v>3</x:v>
      </x:c>
      <x:c r="F278" s="10" t="s">
        <x:v>1140</x:v>
      </x:c>
      <x:c r="G278" s="10" t="b">
        <x:v>1</x:v>
      </x:c>
      <x:c r="H278" s="86" t="n">
        <x:f>IF(E278="","",E278*IF(F278="fen",0.1,IF(F278="qian",1,IF(F278="liang",10,IF(F278="jin",160,0)))))</x:f>
        <x:v>3</x:v>
      </x:c>
      <x:c r="I278" s="86" t="n">
        <x:f>IF(H278="","",H278*IFERROR(INDEX('Herb'!$L$2:$L$115,MATCH(C278,'Herb'!$A$2:$A$115,0)),0))</x:f>
        <x:v>15</x:v>
      </x:c>
      <x:c r="J278" s="86" t="n">
        <x:f>IF(H278="","",H278*IFERROR(INDEX('Herb'!$M$2:$M$115,MATCH(C278,'Herb'!$A$2:$A$115,0)),0))</x:f>
        <x:v>27</x:v>
      </x:c>
    </x:row>
    <x:row r="279">
      <x:c r="A279" s="10" t="s">
        <x:v>939</x:v>
      </x:c>
      <x:c r="B279" s="10" t="s">
        <x:v>1197</x:v>
      </x:c>
      <x:c r="C279" s="10" t="s">
        <x:v>1198</x:v>
      </x:c>
      <x:c r="D279" s="14" t="s">
        <x:v>1143</x:v>
      </x:c>
      <x:c r="E279" s="10">
        <x:v>3</x:v>
      </x:c>
      <x:c r="F279" s="10" t="s">
        <x:v>1140</x:v>
      </x:c>
      <x:c r="G279" s="10" t="b">
        <x:v>1</x:v>
      </x:c>
      <x:c r="H279" s="86" t="n">
        <x:f>IF(E279="","",E279*IF(F279="fen",0.1,IF(F279="qian",1,IF(F279="liang",10,IF(F279="jin",160,0)))))</x:f>
        <x:v>3</x:v>
      </x:c>
      <x:c r="I279" s="86" t="n">
        <x:f>IF(H279="","",H279*IFERROR(INDEX('Herb'!$L$2:$L$115,MATCH(C279,'Herb'!$A$2:$A$115,0)),0))</x:f>
        <x:v>15</x:v>
      </x:c>
      <x:c r="J279" s="86" t="n">
        <x:f>IF(H279="","",H279*IFERROR(INDEX('Herb'!$M$2:$M$115,MATCH(C279,'Herb'!$A$2:$A$115,0)),0))</x:f>
        <x:v>27</x:v>
      </x:c>
    </x:row>
    <x:row r="280">
      <x:c r="A280" s="10" t="s">
        <x:v>939</x:v>
      </x:c>
      <x:c r="B280" s="10" t="s">
        <x:v>1204</x:v>
      </x:c>
      <x:c r="C280" s="10" t="s">
        <x:v>1205</x:v>
      </x:c>
      <x:c r="D280" s="14" t="s">
        <x:v>1143</x:v>
      </x:c>
      <x:c r="E280" s="10">
        <x:v>3</x:v>
      </x:c>
      <x:c r="F280" s="10" t="s">
        <x:v>1140</x:v>
      </x:c>
      <x:c r="G280" s="10" t="b">
        <x:v>1</x:v>
      </x:c>
      <x:c r="H280" s="86" t="n">
        <x:f>IF(E280="","",E280*IF(F280="fen",0.1,IF(F280="qian",1,IF(F280="liang",10,IF(F280="jin",160,0)))))</x:f>
        <x:v>3</x:v>
      </x:c>
      <x:c r="I280" s="86" t="n">
        <x:f>IF(H280="","",H280*IFERROR(INDEX('Herb'!$L$2:$L$115,MATCH(C280,'Herb'!$A$2:$A$115,0)),0))</x:f>
        <x:v>3</x:v>
      </x:c>
      <x:c r="J280" s="86" t="n">
        <x:f>IF(H280="","",H280*IFERROR(INDEX('Herb'!$M$2:$M$115,MATCH(C280,'Herb'!$A$2:$A$115,0)),0))</x:f>
        <x:v>6</x:v>
      </x:c>
    </x:row>
    <x:row r="281">
      <x:c r="A281" s="10" t="s">
        <x:v>939</x:v>
      </x:c>
      <x:c r="B281" s="10" t="s">
        <x:v>1189</x:v>
      </x:c>
      <x:c r="C281" s="10" t="s">
        <x:v>1190</x:v>
      </x:c>
      <x:c r="D281" s="15" t="s">
        <x:v>1146</x:v>
      </x:c>
      <x:c r="E281" s="10">
        <x:v>3</x:v>
      </x:c>
      <x:c r="F281" s="10" t="s">
        <x:v>1140</x:v>
      </x:c>
      <x:c r="G281" s="10" t="b">
        <x:v>1</x:v>
      </x:c>
      <x:c r="H281" s="86" t="n">
        <x:f>IF(E281="","",E281*IF(F281="fen",0.1,IF(F281="qian",1,IF(F281="liang",10,IF(F281="jin",160,0)))))</x:f>
        <x:v>3</x:v>
      </x:c>
      <x:c r="I281" s="86" t="n">
        <x:f>IF(H281="","",H281*IFERROR(INDEX('Herb'!$L$2:$L$115,MATCH(C281,'Herb'!$A$2:$A$115,0)),0))</x:f>
        <x:v>15</x:v>
      </x:c>
      <x:c r="J281" s="86" t="n">
        <x:f>IF(H281="","",H281*IFERROR(INDEX('Herb'!$M$2:$M$115,MATCH(C281,'Herb'!$A$2:$A$115,0)),0))</x:f>
        <x:v>24</x:v>
      </x:c>
    </x:row>
    <x:row r="282">
      <x:c r="A282" s="10" t="s">
        <x:v>939</x:v>
      </x:c>
      <x:c r="B282" s="10" t="s">
        <x:v>25</x:v>
      </x:c>
      <x:c r="C282" s="10" t="s">
        <x:v>24</x:v>
      </x:c>
      <x:c r="D282" s="15" t="s">
        <x:v>1146</x:v>
      </x:c>
      <x:c r="E282" s="10">
        <x:v>3</x:v>
      </x:c>
      <x:c r="F282" s="10" t="s">
        <x:v>1140</x:v>
      </x:c>
      <x:c r="G282" s="10" t="b">
        <x:v>1</x:v>
      </x:c>
      <x:c r="H282" s="86" t="n">
        <x:f>IF(E282="","",E282*IF(F282="fen",0.1,IF(F282="qian",1,IF(F282="liang",10,IF(F282="jin",160,0)))))</x:f>
        <x:v>3</x:v>
      </x:c>
      <x:c r="I282" s="86" t="n">
        <x:f>IF(H282="","",H282*IFERROR(INDEX('Herb'!$L$2:$L$115,MATCH(C282,'Herb'!$A$2:$A$115,0)),0))</x:f>
        <x:v>15</x:v>
      </x:c>
      <x:c r="J282" s="86" t="n">
        <x:f>IF(H282="","",H282*IFERROR(INDEX('Herb'!$M$2:$M$115,MATCH(C282,'Herb'!$A$2:$A$115,0)),0))</x:f>
        <x:v>27</x:v>
      </x:c>
    </x:row>
    <x:row r="283">
      <x:c r="A283" s="10" t="s">
        <x:v>939</x:v>
      </x:c>
      <x:c r="B283" s="10" t="s">
        <x:v>23</x:v>
      </x:c>
      <x:c r="C283" s="10" t="s">
        <x:v>22</x:v>
      </x:c>
      <x:c r="D283" s="15" t="s">
        <x:v>1146</x:v>
      </x:c>
      <x:c r="E283" s="10">
        <x:v>3</x:v>
      </x:c>
      <x:c r="F283" s="10" t="s">
        <x:v>1140</x:v>
      </x:c>
      <x:c r="G283" s="10" t="b">
        <x:v>1</x:v>
      </x:c>
      <x:c r="H283" s="86" t="n">
        <x:f>IF(E283="","",E283*IF(F283="fen",0.1,IF(F283="qian",1,IF(F283="liang",10,IF(F283="jin",160,0)))))</x:f>
        <x:v>3</x:v>
      </x:c>
      <x:c r="I283" s="86" t="n">
        <x:f>IF(H283="","",H283*IFERROR(INDEX('Herb'!$L$2:$L$115,MATCH(C283,'Herb'!$A$2:$A$115,0)),0))</x:f>
        <x:v>9</x:v>
      </x:c>
      <x:c r="J283" s="86" t="n">
        <x:f>IF(H283="","",H283*IFERROR(INDEX('Herb'!$M$2:$M$115,MATCH(C283,'Herb'!$A$2:$A$115,0)),0))</x:f>
        <x:v>15</x:v>
      </x:c>
    </x:row>
    <x:row r="284">
      <x:c r="A284" s="10" t="s">
        <x:v>939</x:v>
      </x:c>
      <x:c r="B284" s="10" t="s">
        <x:v>306</x:v>
      </x:c>
      <x:c r="C284" s="10" t="s">
        <x:v>1224</x:v>
      </x:c>
      <x:c r="D284" s="15" t="s">
        <x:v>1146</x:v>
      </x:c>
      <x:c r="E284" s="10">
        <x:v>3</x:v>
      </x:c>
      <x:c r="F284" s="10" t="s">
        <x:v>1140</x:v>
      </x:c>
      <x:c r="G284" s="10" t="b">
        <x:v>1</x:v>
      </x:c>
      <x:c r="H284" s="86" t="n">
        <x:f>IF(E284="","",E284*IF(F284="fen",0.1,IF(F284="qian",1,IF(F284="liang",10,IF(F284="jin",160,0)))))</x:f>
        <x:v>3</x:v>
      </x:c>
      <x:c r="I284" s="86" t="n">
        <x:f>IF(H284="","",H284*IFERROR(INDEX('Herb'!$L$2:$L$115,MATCH(C284,'Herb'!$A$2:$A$115,0)),0))</x:f>
        <x:v>180</x:v>
      </x:c>
      <x:c r="J284" s="86" t="n">
        <x:f>IF(H284="","",H284*IFERROR(INDEX('Herb'!$M$2:$M$115,MATCH(C284,'Herb'!$A$2:$A$115,0)),0))</x:f>
        <x:v>231</x:v>
      </x:c>
    </x:row>
    <x:row r="285">
      <x:c r="A285" s="10" t="s">
        <x:v>939</x:v>
      </x:c>
      <x:c r="B285" s="10" t="s">
        <x:v>1147</x:v>
      </x:c>
      <x:c r="C285" s="10" t="s">
        <x:v>1148</x:v>
      </x:c>
      <x:c r="D285" s="16" t="s">
        <x:v>1149</x:v>
      </x:c>
      <x:c r="E285" s="10">
        <x:v>3</x:v>
      </x:c>
      <x:c r="F285" s="10" t="s">
        <x:v>1140</x:v>
      </x:c>
      <x:c r="G285" s="10" t="b">
        <x:v>1</x:v>
      </x:c>
      <x:c r="H285" s="86" t="n">
        <x:f>IF(E285="","",E285*IF(F285="fen",0.1,IF(F285="qian",1,IF(F285="liang",10,IF(F285="jin",160,0)))))</x:f>
        <x:v>3</x:v>
      </x:c>
      <x:c r="I285" s="86" t="n">
        <x:f>IF(H285="","",H285*IFERROR(INDEX('Herb'!$L$2:$L$115,MATCH(C285,'Herb'!$A$2:$A$115,0)),0))</x:f>
        <x:v>6</x:v>
      </x:c>
      <x:c r="J285" s="86" t="n">
        <x:f>IF(H285="","",H285*IFERROR(INDEX('Herb'!$M$2:$M$115,MATCH(C285,'Herb'!$A$2:$A$115,0)),0))</x:f>
        <x:v>12</x:v>
      </x:c>
    </x:row>
    <x:row r="286">
      <x:c r="A286" s="10" t="s">
        <x:v>939</x:v>
      </x:c>
      <x:c r="B286" s="10" t="s">
        <x:v>1152</x:v>
      </x:c>
      <x:c r="C286" s="10" t="s">
        <x:v>1153</x:v>
      </x:c>
      <x:c r="D286" s="16" t="s">
        <x:v>1149</x:v>
      </x:c>
      <x:c r="E286" s="10">
        <x:v>2</x:v>
      </x:c>
      <x:c r="F286" s="10" t="s">
        <x:v>1140</x:v>
      </x:c>
      <x:c r="G286" s="10" t="b">
        <x:v>1</x:v>
      </x:c>
      <x:c r="H286" s="86" t="n">
        <x:f>IF(E286="","",E286*IF(F286="fen",0.1,IF(F286="qian",1,IF(F286="liang",10,IF(F286="jin",160,0)))))</x:f>
        <x:v>2</x:v>
      </x:c>
      <x:c r="I286" s="86" t="n">
        <x:f>IF(H286="","",H286*IFERROR(INDEX('Herb'!$L$2:$L$115,MATCH(C286,'Herb'!$A$2:$A$115,0)),0))</x:f>
        <x:v>2</x:v>
      </x:c>
      <x:c r="J286" s="86" t="n">
        <x:f>IF(H286="","",H286*IFERROR(INDEX('Herb'!$M$2:$M$115,MATCH(C286,'Herb'!$A$2:$A$115,0)),0))</x:f>
        <x:v>4</x:v>
      </x:c>
    </x:row>
    <x:row r="287">
      <x:c r="A287" s="10" t="s">
        <x:v>944</x:v>
      </x:c>
      <x:c r="B287" s="10" t="s">
        <x:v>1295</x:v>
      </x:c>
      <x:c r="C287" s="10" t="s">
        <x:v>1296</x:v>
      </x:c>
      <x:c r="D287" s="13" t="s">
        <x:v>1139</x:v>
      </x:c>
      <x:c r="E287" s="10">
        <x:v>3</x:v>
      </x:c>
      <x:c r="F287" s="10" t="s">
        <x:v>1140</x:v>
      </x:c>
      <x:c r="G287" s="10" t="b">
        <x:v>1</x:v>
      </x:c>
      <x:c r="H287" s="86" t="n">
        <x:f>IF(E287="","",E287*IF(F287="fen",0.1,IF(F287="qian",1,IF(F287="liang",10,IF(F287="jin",160,0)))))</x:f>
        <x:v>3</x:v>
      </x:c>
      <x:c r="I287" s="86" t="n">
        <x:f>IF(H287="","",H287*IFERROR(INDEX('Herb'!$L$2:$L$115,MATCH(C287,'Herb'!$A$2:$A$115,0)),0))</x:f>
        <x:v>18</x:v>
      </x:c>
      <x:c r="J287" s="86" t="n">
        <x:f>IF(H287="","",H287*IFERROR(INDEX('Herb'!$M$2:$M$115,MATCH(C287,'Herb'!$A$2:$A$115,0)),0))</x:f>
        <x:v>33</x:v>
      </x:c>
    </x:row>
    <x:row r="288">
      <x:c r="A288" s="10" t="s">
        <x:v>944</x:v>
      </x:c>
      <x:c r="B288" s="10" t="s">
        <x:v>1216</x:v>
      </x:c>
      <x:c r="C288" s="10" t="s">
        <x:v>1217</x:v>
      </x:c>
      <x:c r="D288" s="14" t="s">
        <x:v>1143</x:v>
      </x:c>
      <x:c r="E288" s="10">
        <x:v>3</x:v>
      </x:c>
      <x:c r="F288" s="10" t="s">
        <x:v>1140</x:v>
      </x:c>
      <x:c r="G288" s="10" t="b">
        <x:v>1</x:v>
      </x:c>
      <x:c r="H288" s="86" t="n">
        <x:f>IF(E288="","",E288*IF(F288="fen",0.1,IF(F288="qian",1,IF(F288="liang",10,IF(F288="jin",160,0)))))</x:f>
        <x:v>3</x:v>
      </x:c>
      <x:c r="I288" s="86" t="n">
        <x:f>IF(H288="","",H288*IFERROR(INDEX('Herb'!$L$2:$L$115,MATCH(C288,'Herb'!$A$2:$A$115,0)),0))</x:f>
        <x:v>24</x:v>
      </x:c>
      <x:c r="J288" s="86" t="n">
        <x:f>IF(H288="","",H288*IFERROR(INDEX('Herb'!$M$2:$M$115,MATCH(C288,'Herb'!$A$2:$A$115,0)),0))</x:f>
        <x:v>36</x:v>
      </x:c>
    </x:row>
    <x:row r="289">
      <x:c r="A289" s="10" t="s">
        <x:v>944</x:v>
      </x:c>
      <x:c r="B289" s="10" t="s">
        <x:v>1150</x:v>
      </x:c>
      <x:c r="C289" s="10" t="s">
        <x:v>1151</x:v>
      </x:c>
      <x:c r="D289" s="14" t="s">
        <x:v>1143</x:v>
      </x:c>
      <x:c r="E289" s="10">
        <x:v>3</x:v>
      </x:c>
      <x:c r="F289" s="10" t="s">
        <x:v>1140</x:v>
      </x:c>
      <x:c r="G289" s="10" t="b">
        <x:v>1</x:v>
      </x:c>
      <x:c r="H289" s="86" t="n">
        <x:f>IF(E289="","",E289*IF(F289="fen",0.1,IF(F289="qian",1,IF(F289="liang",10,IF(F289="jin",160,0)))))</x:f>
        <x:v>3</x:v>
      </x:c>
      <x:c r="I289" s="86" t="n">
        <x:f>IF(H289="","",H289*IFERROR(INDEX('Herb'!$L$2:$L$115,MATCH(C289,'Herb'!$A$2:$A$115,0)),0))</x:f>
        <x:v>15</x:v>
      </x:c>
      <x:c r="J289" s="86" t="n">
        <x:f>IF(H289="","",H289*IFERROR(INDEX('Herb'!$M$2:$M$115,MATCH(C289,'Herb'!$A$2:$A$115,0)),0))</x:f>
        <x:v>24</x:v>
      </x:c>
    </x:row>
    <x:row r="290">
      <x:c r="A290" s="10" t="s">
        <x:v>944</x:v>
      </x:c>
      <x:c r="B290" s="10" t="s">
        <x:v>1195</x:v>
      </x:c>
      <x:c r="C290" s="10" t="s">
        <x:v>1196</x:v>
      </x:c>
      <x:c r="D290" s="15" t="s">
        <x:v>1146</x:v>
      </x:c>
      <x:c r="E290" s="10">
        <x:v>3</x:v>
      </x:c>
      <x:c r="F290" s="10" t="s">
        <x:v>1140</x:v>
      </x:c>
      <x:c r="G290" s="10" t="b">
        <x:v>1</x:v>
      </x:c>
      <x:c r="H290" s="86" t="n">
        <x:f>IF(E290="","",E290*IF(F290="fen",0.1,IF(F290="qian",1,IF(F290="liang",10,IF(F290="jin",160,0)))))</x:f>
        <x:v>3</x:v>
      </x:c>
      <x:c r="I290" s="86" t="n">
        <x:f>IF(H290="","",H290*IFERROR(INDEX('Herb'!$L$2:$L$115,MATCH(C290,'Herb'!$A$2:$A$115,0)),0))</x:f>
        <x:v>18</x:v>
      </x:c>
      <x:c r="J290" s="86" t="n">
        <x:f>IF(H290="","",H290*IFERROR(INDEX('Herb'!$M$2:$M$115,MATCH(C290,'Herb'!$A$2:$A$115,0)),0))</x:f>
        <x:v>30</x:v>
      </x:c>
    </x:row>
    <x:row r="291">
      <x:c r="A291" s="10" t="s">
        <x:v>944</x:v>
      </x:c>
      <x:c r="B291" s="10" t="s">
        <x:v>1189</x:v>
      </x:c>
      <x:c r="C291" s="10" t="s">
        <x:v>1190</x:v>
      </x:c>
      <x:c r="D291" s="15" t="s">
        <x:v>1146</x:v>
      </x:c>
      <x:c r="E291" s="10">
        <x:v>3</x:v>
      </x:c>
      <x:c r="F291" s="10" t="s">
        <x:v>1140</x:v>
      </x:c>
      <x:c r="G291" s="10" t="b">
        <x:v>1</x:v>
      </x:c>
      <x:c r="H291" s="86" t="n">
        <x:f>IF(E291="","",E291*IF(F291="fen",0.1,IF(F291="qian",1,IF(F291="liang",10,IF(F291="jin",160,0)))))</x:f>
        <x:v>3</x:v>
      </x:c>
      <x:c r="I291" s="86" t="n">
        <x:f>IF(H291="","",H291*IFERROR(INDEX('Herb'!$L$2:$L$115,MATCH(C291,'Herb'!$A$2:$A$115,0)),0))</x:f>
        <x:v>15</x:v>
      </x:c>
      <x:c r="J291" s="86" t="n">
        <x:f>IF(H291="","",H291*IFERROR(INDEX('Herb'!$M$2:$M$115,MATCH(C291,'Herb'!$A$2:$A$115,0)),0))</x:f>
        <x:v>24</x:v>
      </x:c>
    </x:row>
    <x:row r="292">
      <x:c r="A292" s="10" t="s">
        <x:v>944</x:v>
      </x:c>
      <x:c r="B292" s="10" t="s">
        <x:v>1152</x:v>
      </x:c>
      <x:c r="C292" s="10" t="s">
        <x:v>1153</x:v>
      </x:c>
      <x:c r="D292" s="15" t="s">
        <x:v>1146</x:v>
      </x:c>
      <x:c r="E292" s="10">
        <x:v>1</x:v>
      </x:c>
      <x:c r="F292" s="10" t="s">
        <x:v>1140</x:v>
      </x:c>
      <x:c r="G292" s="10" t="b">
        <x:v>1</x:v>
      </x:c>
      <x:c r="H292" s="86" t="n">
        <x:f>IF(E292="","",E292*IF(F292="fen",0.1,IF(F292="qian",1,IF(F292="liang",10,IF(F292="jin",160,0)))))</x:f>
        <x:v>1</x:v>
      </x:c>
      <x:c r="I292" s="86" t="n">
        <x:f>IF(H292="","",H292*IFERROR(INDEX('Herb'!$L$2:$L$115,MATCH(C292,'Herb'!$A$2:$A$115,0)),0))</x:f>
        <x:v>1</x:v>
      </x:c>
      <x:c r="J292" s="86" t="n">
        <x:f>IF(H292="","",H292*IFERROR(INDEX('Herb'!$M$2:$M$115,MATCH(C292,'Herb'!$A$2:$A$115,0)),0))</x:f>
        <x:v>2</x:v>
      </x:c>
    </x:row>
    <x:row r="293">
      <x:c r="A293" s="10" t="s">
        <x:v>944</x:v>
      </x:c>
      <x:c r="B293" s="10" t="s">
        <x:v>1165</x:v>
      </x:c>
      <x:c r="C293" s="10" t="s">
        <x:v>1166</x:v>
      </x:c>
      <x:c r="D293" s="15" t="s">
        <x:v>1146</x:v>
      </x:c>
      <x:c r="E293" s="10">
        <x:v>1</x:v>
      </x:c>
      <x:c r="F293" s="10" t="s">
        <x:v>1140</x:v>
      </x:c>
      <x:c r="G293" s="10" t="b">
        <x:v>1</x:v>
      </x:c>
      <x:c r="H293" s="86" t="n">
        <x:f>IF(E293="","",E293*IF(F293="fen",0.1,IF(F293="qian",1,IF(F293="liang",10,IF(F293="jin",160,0)))))</x:f>
        <x:v>1</x:v>
      </x:c>
      <x:c r="I293" s="86" t="n">
        <x:f>IF(H293="","",H293*IFERROR(INDEX('Herb'!$L$2:$L$115,MATCH(C293,'Herb'!$A$2:$A$115,0)),0))</x:f>
        <x:v>3</x:v>
      </x:c>
      <x:c r="J293" s="86" t="n">
        <x:f>IF(H293="","",H293*IFERROR(INDEX('Herb'!$M$2:$M$115,MATCH(C293,'Herb'!$A$2:$A$115,0)),0))</x:f>
        <x:v>6</x:v>
      </x:c>
    </x:row>
    <x:row r="294">
      <x:c r="A294" s="10" t="s">
        <x:v>944</x:v>
      </x:c>
      <x:c r="B294" s="10" t="s">
        <x:v>1147</x:v>
      </x:c>
      <x:c r="C294" s="10" t="s">
        <x:v>1148</x:v>
      </x:c>
      <x:c r="D294" s="16" t="s">
        <x:v>1149</x:v>
      </x:c>
      <x:c r="E294" s="10">
        <x:v>1</x:v>
      </x:c>
      <x:c r="F294" s="10" t="s">
        <x:v>1140</x:v>
      </x:c>
      <x:c r="G294" s="10" t="b">
        <x:v>1</x:v>
      </x:c>
      <x:c r="H294" s="86" t="n">
        <x:f>IF(E294="","",E294*IF(F294="fen",0.1,IF(F294="qian",1,IF(F294="liang",10,IF(F294="jin",160,0)))))</x:f>
        <x:v>1</x:v>
      </x:c>
      <x:c r="I294" s="86" t="n">
        <x:f>IF(H294="","",H294*IFERROR(INDEX('Herb'!$L$2:$L$115,MATCH(C294,'Herb'!$A$2:$A$115,0)),0))</x:f>
        <x:v>2</x:v>
      </x:c>
      <x:c r="J294" s="86" t="n">
        <x:f>IF(H294="","",H294*IFERROR(INDEX('Herb'!$M$2:$M$115,MATCH(C294,'Herb'!$A$2:$A$115,0)),0))</x:f>
        <x:v>4</x:v>
      </x:c>
    </x:row>
    <x:row r="295">
      <x:c r="A295" s="10" t="s">
        <x:v>949</x:v>
      </x:c>
      <x:c r="B295" s="10" t="s">
        <x:v>1337</x:v>
      </x:c>
      <x:c r="C295" s="10" t="s">
        <x:v>1338</x:v>
      </x:c>
      <x:c r="D295" s="13" t="s">
        <x:v>1139</x:v>
      </x:c>
      <x:c r="E295" s="10">
        <x:v>5</x:v>
      </x:c>
      <x:c r="F295" s="10" t="s">
        <x:v>1140</x:v>
      </x:c>
      <x:c r="G295" s="10" t="b">
        <x:v>1</x:v>
      </x:c>
      <x:c r="H295" s="86" t="n">
        <x:f>IF(E295="","",E295*IF(F295="fen",0.1,IF(F295="qian",1,IF(F295="liang",10,IF(F295="jin",160,0)))))</x:f>
        <x:v>5</x:v>
      </x:c>
      <x:c r="I295" s="86" t="n">
        <x:f>IF(H295="","",H295*IFERROR(INDEX('Herb'!$L$2:$L$115,MATCH(C295,'Herb'!$A$2:$A$115,0)),0))</x:f>
        <x:v>140</x:v>
      </x:c>
      <x:c r="J295" s="86" t="n">
        <x:f>IF(H295="","",H295*IFERROR(INDEX('Herb'!$M$2:$M$115,MATCH(C295,'Herb'!$A$2:$A$115,0)),0))</x:f>
        <x:v>215</x:v>
      </x:c>
    </x:row>
    <x:row r="296">
      <x:c r="A296" s="10" t="s">
        <x:v>949</x:v>
      </x:c>
      <x:c r="B296" s="10" t="s">
        <x:v>306</x:v>
      </x:c>
      <x:c r="C296" s="10" t="s">
        <x:v>1224</x:v>
      </x:c>
      <x:c r="D296" s="13" t="s">
        <x:v>1139</x:v>
      </x:c>
      <x:c r="E296" s="10">
        <x:v>4</x:v>
      </x:c>
      <x:c r="F296" s="10" t="s">
        <x:v>1140</x:v>
      </x:c>
      <x:c r="G296" s="10" t="b">
        <x:v>1</x:v>
      </x:c>
      <x:c r="H296" s="86" t="n">
        <x:f>IF(E296="","",E296*IF(F296="fen",0.1,IF(F296="qian",1,IF(F296="liang",10,IF(F296="jin",160,0)))))</x:f>
        <x:v>4</x:v>
      </x:c>
      <x:c r="I296" s="86" t="n">
        <x:f>IF(H296="","",H296*IFERROR(INDEX('Herb'!$L$2:$L$115,MATCH(C296,'Herb'!$A$2:$A$115,0)),0))</x:f>
        <x:v>240</x:v>
      </x:c>
      <x:c r="J296" s="86" t="n">
        <x:f>IF(H296="","",H296*IFERROR(INDEX('Herb'!$M$2:$M$115,MATCH(C296,'Herb'!$A$2:$A$115,0)),0))</x:f>
        <x:v>308</x:v>
      </x:c>
    </x:row>
    <x:row r="297">
      <x:c r="A297" s="10" t="s">
        <x:v>949</x:v>
      </x:c>
      <x:c r="B297" s="10" t="s">
        <x:v>1206</x:v>
      </x:c>
      <x:c r="C297" s="10" t="s">
        <x:v>1207</x:v>
      </x:c>
      <x:c r="D297" s="14" t="s">
        <x:v>1143</x:v>
      </x:c>
      <x:c r="E297" s="10">
        <x:v>3</x:v>
      </x:c>
      <x:c r="F297" s="10" t="s">
        <x:v>1140</x:v>
      </x:c>
      <x:c r="G297" s="10" t="b">
        <x:v>1</x:v>
      </x:c>
      <x:c r="H297" s="86" t="n">
        <x:f>IF(E297="","",E297*IF(F297="fen",0.1,IF(F297="qian",1,IF(F297="liang",10,IF(F297="jin",160,0)))))</x:f>
        <x:v>3</x:v>
      </x:c>
      <x:c r="I297" s="86" t="n">
        <x:f>IF(H297="","",H297*IFERROR(INDEX('Herb'!$L$2:$L$115,MATCH(C297,'Herb'!$A$2:$A$115,0)),0))</x:f>
        <x:v>15</x:v>
      </x:c>
      <x:c r="J297" s="86" t="n">
        <x:f>IF(H297="","",H297*IFERROR(INDEX('Herb'!$M$2:$M$115,MATCH(C297,'Herb'!$A$2:$A$115,0)),0))</x:f>
        <x:v>27</x:v>
      </x:c>
    </x:row>
    <x:row r="298">
      <x:c r="A298" s="10" t="s">
        <x:v>949</x:v>
      </x:c>
      <x:c r="B298" s="10" t="s">
        <x:v>1179</x:v>
      </x:c>
      <x:c r="C298" s="10" t="s">
        <x:v>1180</x:v>
      </x:c>
      <x:c r="D298" s="14" t="s">
        <x:v>1143</x:v>
      </x:c>
      <x:c r="E298" s="10">
        <x:v>3</x:v>
      </x:c>
      <x:c r="F298" s="10" t="s">
        <x:v>1140</x:v>
      </x:c>
      <x:c r="G298" s="10" t="b">
        <x:v>1</x:v>
      </x:c>
      <x:c r="H298" s="86" t="n">
        <x:f>IF(E298="","",E298*IF(F298="fen",0.1,IF(F298="qian",1,IF(F298="liang",10,IF(F298="jin",160,0)))))</x:f>
        <x:v>3</x:v>
      </x:c>
      <x:c r="I298" s="86" t="n">
        <x:f>IF(H298="","",H298*IFERROR(INDEX('Herb'!$L$2:$L$115,MATCH(C298,'Herb'!$A$2:$A$115,0)),0))</x:f>
        <x:v>36</x:v>
      </x:c>
      <x:c r="J298" s="86" t="n">
        <x:f>IF(H298="","",H298*IFERROR(INDEX('Herb'!$M$2:$M$115,MATCH(C298,'Herb'!$A$2:$A$115,0)),0))</x:f>
        <x:v>60</x:v>
      </x:c>
    </x:row>
    <x:row r="299">
      <x:c r="A299" s="10" t="s">
        <x:v>949</x:v>
      </x:c>
      <x:c r="B299" s="10" t="s">
        <x:v>1231</x:v>
      </x:c>
      <x:c r="C299" s="10" t="s">
        <x:v>1232</x:v>
      </x:c>
      <x:c r="D299" s="14" t="s">
        <x:v>1143</x:v>
      </x:c>
      <x:c r="E299" s="10">
        <x:v>3</x:v>
      </x:c>
      <x:c r="F299" s="10" t="s">
        <x:v>1140</x:v>
      </x:c>
      <x:c r="G299" s="10" t="b">
        <x:v>1</x:v>
      </x:c>
      <x:c r="H299" s="86" t="n">
        <x:f>IF(E299="","",E299*IF(F299="fen",0.1,IF(F299="qian",1,IF(F299="liang",10,IF(F299="jin",160,0)))))</x:f>
        <x:v>3</x:v>
      </x:c>
      <x:c r="I299" s="86" t="n">
        <x:f>IF(H299="","",H299*IFERROR(INDEX('Herb'!$L$2:$L$115,MATCH(C299,'Herb'!$A$2:$A$115,0)),0))</x:f>
        <x:v>15</x:v>
      </x:c>
      <x:c r="J299" s="86" t="n">
        <x:f>IF(H299="","",H299*IFERROR(INDEX('Herb'!$M$2:$M$115,MATCH(C299,'Herb'!$A$2:$A$115,0)),0))</x:f>
        <x:v>27</x:v>
      </x:c>
    </x:row>
    <x:row r="300">
      <x:c r="A300" s="10" t="s">
        <x:v>949</x:v>
      </x:c>
      <x:c r="B300" s="10" t="s">
        <x:v>1189</x:v>
      </x:c>
      <x:c r="C300" s="10" t="s">
        <x:v>1190</x:v>
      </x:c>
      <x:c r="D300" s="15" t="s">
        <x:v>1146</x:v>
      </x:c>
      <x:c r="E300" s="10">
        <x:v>4</x:v>
      </x:c>
      <x:c r="F300" s="10" t="s">
        <x:v>1140</x:v>
      </x:c>
      <x:c r="G300" s="10" t="b">
        <x:v>1</x:v>
      </x:c>
      <x:c r="H300" s="86" t="n">
        <x:f>IF(E300="","",E300*IF(F300="fen",0.1,IF(F300="qian",1,IF(F300="liang",10,IF(F300="jin",160,0)))))</x:f>
        <x:v>4</x:v>
      </x:c>
      <x:c r="I300" s="86" t="n">
        <x:f>IF(H300="","",H300*IFERROR(INDEX('Herb'!$L$2:$L$115,MATCH(C300,'Herb'!$A$2:$A$115,0)),0))</x:f>
        <x:v>20</x:v>
      </x:c>
      <x:c r="J300" s="86" t="n">
        <x:f>IF(H300="","",H300*IFERROR(INDEX('Herb'!$M$2:$M$115,MATCH(C300,'Herb'!$A$2:$A$115,0)),0))</x:f>
        <x:v>32</x:v>
      </x:c>
    </x:row>
    <x:row r="301">
      <x:c r="A301" s="10" t="s">
        <x:v>949</x:v>
      </x:c>
      <x:c r="B301" s="10" t="s">
        <x:v>1144</x:v>
      </x:c>
      <x:c r="C301" s="10" t="s">
        <x:v>1145</x:v>
      </x:c>
      <x:c r="D301" s="15" t="s">
        <x:v>1146</x:v>
      </x:c>
      <x:c r="E301" s="10">
        <x:v>4</x:v>
      </x:c>
      <x:c r="F301" s="10" t="s">
        <x:v>1140</x:v>
      </x:c>
      <x:c r="G301" s="10" t="b">
        <x:v>1</x:v>
      </x:c>
      <x:c r="H301" s="86" t="n">
        <x:f>IF(E301="","",E301*IF(F301="fen",0.1,IF(F301="qian",1,IF(F301="liang",10,IF(F301="jin",160,0)))))</x:f>
        <x:v>4</x:v>
      </x:c>
      <x:c r="I301" s="86" t="n">
        <x:f>IF(H301="","",H301*IFERROR(INDEX('Herb'!$L$2:$L$115,MATCH(C301,'Herb'!$A$2:$A$115,0)),0))</x:f>
        <x:v>16</x:v>
      </x:c>
      <x:c r="J301" s="86" t="n">
        <x:f>IF(H301="","",H301*IFERROR(INDEX('Herb'!$M$2:$M$115,MATCH(C301,'Herb'!$A$2:$A$115,0)),0))</x:f>
        <x:v>28</x:v>
      </x:c>
    </x:row>
    <x:row r="302">
      <x:c r="A302" s="10" t="s">
        <x:v>949</x:v>
      </x:c>
      <x:c r="B302" s="10" t="s">
        <x:v>1147</x:v>
      </x:c>
      <x:c r="C302" s="10" t="s">
        <x:v>1148</x:v>
      </x:c>
      <x:c r="D302" s="16" t="s">
        <x:v>1149</x:v>
      </x:c>
      <x:c r="E302" s="10">
        <x:v>3</x:v>
      </x:c>
      <x:c r="F302" s="10" t="s">
        <x:v>1140</x:v>
      </x:c>
      <x:c r="G302" s="10" t="b">
        <x:v>1</x:v>
      </x:c>
      <x:c r="H302" s="86" t="n">
        <x:f>IF(E302="","",E302*IF(F302="fen",0.1,IF(F302="qian",1,IF(F302="liang",10,IF(F302="jin",160,0)))))</x:f>
        <x:v>3</x:v>
      </x:c>
      <x:c r="I302" s="86" t="n">
        <x:f>IF(H302="","",H302*IFERROR(INDEX('Herb'!$L$2:$L$115,MATCH(C302,'Herb'!$A$2:$A$115,0)),0))</x:f>
        <x:v>6</x:v>
      </x:c>
      <x:c r="J302" s="86" t="n">
        <x:f>IF(H302="","",H302*IFERROR(INDEX('Herb'!$M$2:$M$115,MATCH(C302,'Herb'!$A$2:$A$115,0)),0))</x:f>
        <x:v>12</x:v>
      </x:c>
    </x:row>
    <x:row r="303">
      <x:c r="A303" s="10" t="s">
        <x:v>954</x:v>
      </x:c>
      <x:c r="B303" s="10" t="s">
        <x:v>1225</x:v>
      </x:c>
      <x:c r="C303" s="10" t="s">
        <x:v>1226</x:v>
      </x:c>
      <x:c r="D303" s="13" t="s">
        <x:v>1139</x:v>
      </x:c>
      <x:c r="E303" s="10">
        <x:v>8</x:v>
      </x:c>
      <x:c r="F303" s="10" t="s">
        <x:v>1140</x:v>
      </x:c>
      <x:c r="G303" s="10" t="b">
        <x:v>1</x:v>
      </x:c>
      <x:c r="H303" s="86" t="n">
        <x:f>IF(E303="","",E303*IF(F303="fen",0.1,IF(F303="qian",1,IF(F303="liang",10,IF(F303="jin",160,0)))))</x:f>
        <x:v>8</x:v>
      </x:c>
      <x:c r="I303" s="86" t="n">
        <x:f>IF(H303="","",H303*IFERROR(INDEX('Herb'!$L$2:$L$115,MATCH(C303,'Herb'!$A$2:$A$115,0)),0))</x:f>
        <x:v>80</x:v>
      </x:c>
      <x:c r="J303" s="86" t="n">
        <x:f>IF(H303="","",H303*IFERROR(INDEX('Herb'!$M$2:$M$115,MATCH(C303,'Herb'!$A$2:$A$115,0)),0))</x:f>
        <x:v>120</x:v>
      </x:c>
    </x:row>
    <x:row r="304">
      <x:c r="A304" s="10" t="s">
        <x:v>954</x:v>
      </x:c>
      <x:c r="B304" s="10" t="s">
        <x:v>1339</x:v>
      </x:c>
      <x:c r="C304" s="10" t="s">
        <x:v>1340</x:v>
      </x:c>
      <x:c r="D304" s="14" t="s">
        <x:v>1143</x:v>
      </x:c>
      <x:c r="E304" s="10">
        <x:v>4</x:v>
      </x:c>
      <x:c r="F304" s="10" t="s">
        <x:v>1140</x:v>
      </x:c>
      <x:c r="G304" s="10" t="b">
        <x:v>1</x:v>
      </x:c>
      <x:c r="H304" s="86" t="n">
        <x:f>IF(E304="","",E304*IF(F304="fen",0.1,IF(F304="qian",1,IF(F304="liang",10,IF(F304="jin",160,0)))))</x:f>
        <x:v>4</x:v>
      </x:c>
      <x:c r="I304" s="86" t="n">
        <x:f>IF(H304="","",H304*IFERROR(INDEX('Herb'!$L$2:$L$115,MATCH(C304,'Herb'!$A$2:$A$115,0)),0))</x:f>
        <x:v>40</x:v>
      </x:c>
      <x:c r="J304" s="86" t="n">
        <x:f>IF(H304="","",H304*IFERROR(INDEX('Herb'!$M$2:$M$115,MATCH(C304,'Herb'!$A$2:$A$115,0)),0))</x:f>
        <x:v>64</x:v>
      </x:c>
    </x:row>
    <x:row r="305">
      <x:c r="A305" s="10" t="s">
        <x:v>954</x:v>
      </x:c>
      <x:c r="B305" s="10" t="s">
        <x:v>1257</x:v>
      </x:c>
      <x:c r="C305" s="10" t="s">
        <x:v>1258</x:v>
      </x:c>
      <x:c r="D305" s="14" t="s">
        <x:v>1143</x:v>
      </x:c>
      <x:c r="E305" s="10">
        <x:v>4</x:v>
      </x:c>
      <x:c r="F305" s="10" t="s">
        <x:v>1140</x:v>
      </x:c>
      <x:c r="G305" s="10" t="b">
        <x:v>1</x:v>
      </x:c>
      <x:c r="H305" s="86" t="n">
        <x:f>IF(E305="","",E305*IF(F305="fen",0.1,IF(F305="qian",1,IF(F305="liang",10,IF(F305="jin",160,0)))))</x:f>
        <x:v>4</x:v>
      </x:c>
      <x:c r="I305" s="86" t="n">
        <x:f>IF(H305="","",H305*IFERROR(INDEX('Herb'!$L$2:$L$115,MATCH(C305,'Herb'!$A$2:$A$115,0)),0))</x:f>
        <x:v>16</x:v>
      </x:c>
      <x:c r="J305" s="86" t="n">
        <x:f>IF(H305="","",H305*IFERROR(INDEX('Herb'!$M$2:$M$115,MATCH(C305,'Herb'!$A$2:$A$115,0)),0))</x:f>
        <x:v>28</x:v>
      </x:c>
    </x:row>
    <x:row r="306">
      <x:c r="A306" s="10" t="s">
        <x:v>954</x:v>
      </x:c>
      <x:c r="B306" s="10" t="s">
        <x:v>1311</x:v>
      </x:c>
      <x:c r="C306" s="10" t="s">
        <x:v>1312</x:v>
      </x:c>
      <x:c r="D306" s="15" t="s">
        <x:v>1146</x:v>
      </x:c>
      <x:c r="E306" s="10">
        <x:v>3</x:v>
      </x:c>
      <x:c r="F306" s="10" t="s">
        <x:v>1140</x:v>
      </x:c>
      <x:c r="G306" s="10" t="b">
        <x:v>1</x:v>
      </x:c>
      <x:c r="H306" s="86" t="n">
        <x:f>IF(E306="","",E306*IF(F306="fen",0.1,IF(F306="qian",1,IF(F306="liang",10,IF(F306="jin",160,0)))))</x:f>
        <x:v>3</x:v>
      </x:c>
      <x:c r="I306" s="86" t="n">
        <x:f>IF(H306="","",H306*IFERROR(INDEX('Herb'!$L$2:$L$115,MATCH(C306,'Herb'!$A$2:$A$115,0)),0))</x:f>
        <x:v>15</x:v>
      </x:c>
      <x:c r="J306" s="86" t="n">
        <x:f>IF(H306="","",H306*IFERROR(INDEX('Herb'!$M$2:$M$115,MATCH(C306,'Herb'!$A$2:$A$115,0)),0))</x:f>
        <x:v>27</x:v>
      </x:c>
    </x:row>
    <x:row r="307">
      <x:c r="A307" s="10" t="s">
        <x:v>954</x:v>
      </x:c>
      <x:c r="B307" s="10" t="s">
        <x:v>1189</x:v>
      </x:c>
      <x:c r="C307" s="10" t="s">
        <x:v>1190</x:v>
      </x:c>
      <x:c r="D307" s="15" t="s">
        <x:v>1146</x:v>
      </x:c>
      <x:c r="E307" s="10">
        <x:v>3</x:v>
      </x:c>
      <x:c r="F307" s="10" t="s">
        <x:v>1140</x:v>
      </x:c>
      <x:c r="G307" s="10" t="b">
        <x:v>1</x:v>
      </x:c>
      <x:c r="H307" s="86" t="n">
        <x:f>IF(E307="","",E307*IF(F307="fen",0.1,IF(F307="qian",1,IF(F307="liang",10,IF(F307="jin",160,0)))))</x:f>
        <x:v>3</x:v>
      </x:c>
      <x:c r="I307" s="86" t="n">
        <x:f>IF(H307="","",H307*IFERROR(INDEX('Herb'!$L$2:$L$115,MATCH(C307,'Herb'!$A$2:$A$115,0)),0))</x:f>
        <x:v>15</x:v>
      </x:c>
      <x:c r="J307" s="86" t="n">
        <x:f>IF(H307="","",H307*IFERROR(INDEX('Herb'!$M$2:$M$115,MATCH(C307,'Herb'!$A$2:$A$115,0)),0))</x:f>
        <x:v>24</x:v>
      </x:c>
    </x:row>
    <x:row r="308">
      <x:c r="A308" s="10" t="s">
        <x:v>954</x:v>
      </x:c>
      <x:c r="B308" s="10" t="s">
        <x:v>1327</x:v>
      </x:c>
      <x:c r="C308" s="10" t="s">
        <x:v>1328</x:v>
      </x:c>
      <x:c r="D308" s="15" t="s">
        <x:v>1146</x:v>
      </x:c>
      <x:c r="E308" s="10">
        <x:v>3</x:v>
      </x:c>
      <x:c r="F308" s="10" t="s">
        <x:v>1140</x:v>
      </x:c>
      <x:c r="G308" s="10" t="b">
        <x:v>1</x:v>
      </x:c>
      <x:c r="H308" s="86" t="n">
        <x:f>IF(E308="","",E308*IF(F308="fen",0.1,IF(F308="qian",1,IF(F308="liang",10,IF(F308="jin",160,0)))))</x:f>
        <x:v>3</x:v>
      </x:c>
      <x:c r="I308" s="86" t="n">
        <x:f>IF(H308="","",H308*IFERROR(INDEX('Herb'!$L$2:$L$115,MATCH(C308,'Herb'!$A$2:$A$115,0)),0))</x:f>
        <x:v>21</x:v>
      </x:c>
      <x:c r="J308" s="86" t="n">
        <x:f>IF(H308="","",H308*IFERROR(INDEX('Herb'!$M$2:$M$115,MATCH(C308,'Herb'!$A$2:$A$115,0)),0))</x:f>
        <x:v>33</x:v>
      </x:c>
    </x:row>
    <x:row r="309">
      <x:c r="A309" s="10" t="s">
        <x:v>959</x:v>
      </x:c>
      <x:c r="B309" s="10" t="s">
        <x:v>1341</x:v>
      </x:c>
      <x:c r="C309" s="10" t="s">
        <x:v>1342</x:v>
      </x:c>
      <x:c r="D309" s="13" t="s">
        <x:v>1139</x:v>
      </x:c>
      <x:c r="E309" s="10">
        <x:v>2</x:v>
      </x:c>
      <x:c r="F309" s="10" t="s">
        <x:v>1140</x:v>
      </x:c>
      <x:c r="G309" s="10" t="b">
        <x:v>1</x:v>
      </x:c>
      <x:c r="H309" s="86" t="n">
        <x:f>IF(E309="","",E309*IF(F309="fen",0.1,IF(F309="qian",1,IF(F309="liang",10,IF(F309="jin",160,0)))))</x:f>
        <x:v>2</x:v>
      </x:c>
      <x:c r="I309" s="86" t="n">
        <x:f>IF(H309="","",H309*IFERROR(INDEX('Herb'!$L$2:$L$115,MATCH(C309,'Herb'!$A$2:$A$115,0)),0))</x:f>
        <x:v>32</x:v>
      </x:c>
      <x:c r="J309" s="86" t="n">
        <x:f>IF(H309="","",H309*IFERROR(INDEX('Herb'!$M$2:$M$115,MATCH(C309,'Herb'!$A$2:$A$115,0)),0))</x:f>
        <x:v>54</x:v>
      </x:c>
    </x:row>
    <x:row r="310">
      <x:c r="A310" s="10" t="s">
        <x:v>959</x:v>
      </x:c>
      <x:c r="B310" s="10" t="s">
        <x:v>1141</x:v>
      </x:c>
      <x:c r="C310" s="10" t="s">
        <x:v>1142</x:v>
      </x:c>
      <x:c r="D310" s="13" t="s">
        <x:v>1139</x:v>
      </x:c>
      <x:c r="E310" s="10">
        <x:v>3</x:v>
      </x:c>
      <x:c r="F310" s="10" t="s">
        <x:v>1140</x:v>
      </x:c>
      <x:c r="G310" s="10" t="b">
        <x:v>1</x:v>
      </x:c>
      <x:c r="H310" s="86" t="n">
        <x:f>IF(E310="","",E310*IF(F310="fen",0.1,IF(F310="qian",1,IF(F310="liang",10,IF(F310="jin",160,0)))))</x:f>
        <x:v>3</x:v>
      </x:c>
      <x:c r="I310" s="86" t="n">
        <x:f>IF(H310="","",H310*IFERROR(INDEX('Herb'!$L$2:$L$115,MATCH(C310,'Herb'!$A$2:$A$115,0)),0))</x:f>
        <x:v>12</x:v>
      </x:c>
      <x:c r="J310" s="86" t="n">
        <x:f>IF(H310="","",H310*IFERROR(INDEX('Herb'!$M$2:$M$115,MATCH(C310,'Herb'!$A$2:$A$115,0)),0))</x:f>
        <x:v>18</x:v>
      </x:c>
    </x:row>
    <x:row r="311">
      <x:c r="A311" s="10" t="s">
        <x:v>959</x:v>
      </x:c>
      <x:c r="B311" s="10" t="s">
        <x:v>1225</x:v>
      </x:c>
      <x:c r="C311" s="10" t="s">
        <x:v>1226</x:v>
      </x:c>
      <x:c r="D311" s="14" t="s">
        <x:v>1143</x:v>
      </x:c>
      <x:c r="E311" s="10">
        <x:v>1</x:v>
      </x:c>
      <x:c r="F311" s="10" t="s">
        <x:v>1140</x:v>
      </x:c>
      <x:c r="G311" s="10" t="b">
        <x:v>1</x:v>
      </x:c>
      <x:c r="H311" s="86" t="n">
        <x:f>IF(E311="","",E311*IF(F311="fen",0.1,IF(F311="qian",1,IF(F311="liang",10,IF(F311="jin",160,0)))))</x:f>
        <x:v>1</x:v>
      </x:c>
      <x:c r="I311" s="86" t="n">
        <x:f>IF(H311="","",H311*IFERROR(INDEX('Herb'!$L$2:$L$115,MATCH(C311,'Herb'!$A$2:$A$115,0)),0))</x:f>
        <x:v>10</x:v>
      </x:c>
      <x:c r="J311" s="86" t="n">
        <x:f>IF(H311="","",H311*IFERROR(INDEX('Herb'!$M$2:$M$115,MATCH(C311,'Herb'!$A$2:$A$115,0)),0))</x:f>
        <x:v>15</x:v>
      </x:c>
    </x:row>
    <x:row r="312">
      <x:c r="A312" s="10" t="s">
        <x:v>959</x:v>
      </x:c>
      <x:c r="B312" s="10" t="s">
        <x:v>1339</x:v>
      </x:c>
      <x:c r="C312" s="10" t="s">
        <x:v>1340</x:v>
      </x:c>
      <x:c r="D312" s="14" t="s">
        <x:v>1143</x:v>
      </x:c>
      <x:c r="E312" s="10">
        <x:v>4</x:v>
      </x:c>
      <x:c r="F312" s="10" t="s">
        <x:v>1140</x:v>
      </x:c>
      <x:c r="G312" s="10" t="b">
        <x:v>1</x:v>
      </x:c>
      <x:c r="H312" s="86" t="n">
        <x:f>IF(E312="","",E312*IF(F312="fen",0.1,IF(F312="qian",1,IF(F312="liang",10,IF(F312="jin",160,0)))))</x:f>
        <x:v>4</x:v>
      </x:c>
      <x:c r="I312" s="86" t="n">
        <x:f>IF(H312="","",H312*IFERROR(INDEX('Herb'!$L$2:$L$115,MATCH(C312,'Herb'!$A$2:$A$115,0)),0))</x:f>
        <x:v>40</x:v>
      </x:c>
      <x:c r="J312" s="86" t="n">
        <x:f>IF(H312="","",H312*IFERROR(INDEX('Herb'!$M$2:$M$115,MATCH(C312,'Herb'!$A$2:$A$115,0)),0))</x:f>
        <x:v>64</x:v>
      </x:c>
    </x:row>
    <x:row r="313">
      <x:c r="A313" s="10" t="s">
        <x:v>959</x:v>
      </x:c>
      <x:c r="B313" s="10" t="s">
        <x:v>1257</x:v>
      </x:c>
      <x:c r="C313" s="10" t="s">
        <x:v>1258</x:v>
      </x:c>
      <x:c r="D313" s="14" t="s">
        <x:v>1143</x:v>
      </x:c>
      <x:c r="E313" s="10">
        <x:v>5</x:v>
      </x:c>
      <x:c r="F313" s="10" t="s">
        <x:v>1140</x:v>
      </x:c>
      <x:c r="G313" s="10" t="b">
        <x:v>1</x:v>
      </x:c>
      <x:c r="H313" s="86" t="n">
        <x:f>IF(E313="","",E313*IF(F313="fen",0.1,IF(F313="qian",1,IF(F313="liang",10,IF(F313="jin",160,0)))))</x:f>
        <x:v>5</x:v>
      </x:c>
      <x:c r="I313" s="86" t="n">
        <x:f>IF(H313="","",H313*IFERROR(INDEX('Herb'!$L$2:$L$115,MATCH(C313,'Herb'!$A$2:$A$115,0)),0))</x:f>
        <x:v>20</x:v>
      </x:c>
      <x:c r="J313" s="86" t="n">
        <x:f>IF(H313="","",H313*IFERROR(INDEX('Herb'!$M$2:$M$115,MATCH(C313,'Herb'!$A$2:$A$115,0)),0))</x:f>
        <x:v>35</x:v>
      </x:c>
    </x:row>
    <x:row r="314">
      <x:c r="A314" s="10" t="s">
        <x:v>959</x:v>
      </x:c>
      <x:c r="B314" s="10" t="s">
        <x:v>1311</x:v>
      </x:c>
      <x:c r="C314" s="10" t="s">
        <x:v>1312</x:v>
      </x:c>
      <x:c r="D314" s="15" t="s">
        <x:v>1146</x:v>
      </x:c>
      <x:c r="E314" s="10">
        <x:v>3</x:v>
      </x:c>
      <x:c r="F314" s="10" t="s">
        <x:v>1140</x:v>
      </x:c>
      <x:c r="G314" s="10" t="b">
        <x:v>1</x:v>
      </x:c>
      <x:c r="H314" s="86" t="n">
        <x:f>IF(E314="","",E314*IF(F314="fen",0.1,IF(F314="qian",1,IF(F314="liang",10,IF(F314="jin",160,0)))))</x:f>
        <x:v>3</x:v>
      </x:c>
      <x:c r="I314" s="86" t="n">
        <x:f>IF(H314="","",H314*IFERROR(INDEX('Herb'!$L$2:$L$115,MATCH(C314,'Herb'!$A$2:$A$115,0)),0))</x:f>
        <x:v>15</x:v>
      </x:c>
      <x:c r="J314" s="86" t="n">
        <x:f>IF(H314="","",H314*IFERROR(INDEX('Herb'!$M$2:$M$115,MATCH(C314,'Herb'!$A$2:$A$115,0)),0))</x:f>
        <x:v>27</x:v>
      </x:c>
    </x:row>
    <x:row r="315">
      <x:c r="A315" s="10" t="s">
        <x:v>959</x:v>
      </x:c>
      <x:c r="B315" s="10" t="s">
        <x:v>1189</x:v>
      </x:c>
      <x:c r="C315" s="10" t="s">
        <x:v>1190</x:v>
      </x:c>
      <x:c r="D315" s="15" t="s">
        <x:v>1146</x:v>
      </x:c>
      <x:c r="E315" s="10">
        <x:v>3</x:v>
      </x:c>
      <x:c r="F315" s="10" t="s">
        <x:v>1140</x:v>
      </x:c>
      <x:c r="G315" s="10" t="b">
        <x:v>1</x:v>
      </x:c>
      <x:c r="H315" s="86" t="n">
        <x:f>IF(E315="","",E315*IF(F315="fen",0.1,IF(F315="qian",1,IF(F315="liang",10,IF(F315="jin",160,0)))))</x:f>
        <x:v>3</x:v>
      </x:c>
      <x:c r="I315" s="86" t="n">
        <x:f>IF(H315="","",H315*IFERROR(INDEX('Herb'!$L$2:$L$115,MATCH(C315,'Herb'!$A$2:$A$115,0)),0))</x:f>
        <x:v>15</x:v>
      </x:c>
      <x:c r="J315" s="86" t="n">
        <x:f>IF(H315="","",H315*IFERROR(INDEX('Herb'!$M$2:$M$115,MATCH(C315,'Herb'!$A$2:$A$115,0)),0))</x:f>
        <x:v>24</x:v>
      </x:c>
    </x:row>
    <x:row r="316">
      <x:c r="A316" s="10" t="s">
        <x:v>959</x:v>
      </x:c>
      <x:c r="B316" s="10" t="s">
        <x:v>1327</x:v>
      </x:c>
      <x:c r="C316" s="10" t="s">
        <x:v>1328</x:v>
      </x:c>
      <x:c r="D316" s="15" t="s">
        <x:v>1146</x:v>
      </x:c>
      <x:c r="E316" s="10">
        <x:v>3</x:v>
      </x:c>
      <x:c r="F316" s="10" t="s">
        <x:v>1140</x:v>
      </x:c>
      <x:c r="G316" s="10" t="b">
        <x:v>1</x:v>
      </x:c>
      <x:c r="H316" s="86" t="n">
        <x:f>IF(E316="","",E316*IF(F316="fen",0.1,IF(F316="qian",1,IF(F316="liang",10,IF(F316="jin",160,0)))))</x:f>
        <x:v>3</x:v>
      </x:c>
      <x:c r="I316" s="86" t="n">
        <x:f>IF(H316="","",H316*IFERROR(INDEX('Herb'!$L$2:$L$115,MATCH(C316,'Herb'!$A$2:$A$115,0)),0))</x:f>
        <x:v>21</x:v>
      </x:c>
      <x:c r="J316" s="86" t="n">
        <x:f>IF(H316="","",H316*IFERROR(INDEX('Herb'!$M$2:$M$115,MATCH(C316,'Herb'!$A$2:$A$115,0)),0))</x:f>
        <x:v>33</x:v>
      </x:c>
    </x:row>
    <x:row r="317">
      <x:c r="A317" s="10" t="s">
        <x:v>964</x:v>
      </x:c>
      <x:c r="B317" s="10" t="s">
        <x:v>1341</x:v>
      </x:c>
      <x:c r="C317" s="10" t="s">
        <x:v>1342</x:v>
      </x:c>
      <x:c r="D317" s="13" t="s">
        <x:v>1139</x:v>
      </x:c>
      <x:c r="E317" s="10">
        <x:v>3</x:v>
      </x:c>
      <x:c r="F317" s="10" t="s">
        <x:v>1140</x:v>
      </x:c>
      <x:c r="G317" s="10" t="b">
        <x:v>1</x:v>
      </x:c>
      <x:c r="H317" s="86" t="n">
        <x:f>IF(E317="","",E317*IF(F317="fen",0.1,IF(F317="qian",1,IF(F317="liang",10,IF(F317="jin",160,0)))))</x:f>
        <x:v>3</x:v>
      </x:c>
      <x:c r="I317" s="86" t="n">
        <x:f>IF(H317="","",H317*IFERROR(INDEX('Herb'!$L$2:$L$115,MATCH(C317,'Herb'!$A$2:$A$115,0)),0))</x:f>
        <x:v>48</x:v>
      </x:c>
      <x:c r="J317" s="86" t="n">
        <x:f>IF(H317="","",H317*IFERROR(INDEX('Herb'!$M$2:$M$115,MATCH(C317,'Herb'!$A$2:$A$115,0)),0))</x:f>
        <x:v>81</x:v>
      </x:c>
    </x:row>
    <x:row r="318">
      <x:c r="A318" s="10" t="s">
        <x:v>964</x:v>
      </x:c>
      <x:c r="B318" s="10" t="s">
        <x:v>1189</x:v>
      </x:c>
      <x:c r="C318" s="10" t="s">
        <x:v>1190</x:v>
      </x:c>
      <x:c r="D318" s="14" t="s">
        <x:v>1143</x:v>
      </x:c>
      <x:c r="E318" s="10">
        <x:v>3</x:v>
      </x:c>
      <x:c r="F318" s="10" t="s">
        <x:v>1140</x:v>
      </x:c>
      <x:c r="G318" s="10" t="b">
        <x:v>1</x:v>
      </x:c>
      <x:c r="H318" s="86" t="n">
        <x:f>IF(E318="","",E318*IF(F318="fen",0.1,IF(F318="qian",1,IF(F318="liang",10,IF(F318="jin",160,0)))))</x:f>
        <x:v>3</x:v>
      </x:c>
      <x:c r="I318" s="86" t="n">
        <x:f>IF(H318="","",H318*IFERROR(INDEX('Herb'!$L$2:$L$115,MATCH(C318,'Herb'!$A$2:$A$115,0)),0))</x:f>
        <x:v>15</x:v>
      </x:c>
      <x:c r="J318" s="86" t="n">
        <x:f>IF(H318="","",H318*IFERROR(INDEX('Herb'!$M$2:$M$115,MATCH(C318,'Herb'!$A$2:$A$115,0)),0))</x:f>
        <x:v>24</x:v>
      </x:c>
    </x:row>
    <x:row r="319">
      <x:c r="A319" s="10" t="s">
        <x:v>964</x:v>
      </x:c>
      <x:c r="B319" s="10" t="s">
        <x:v>1195</x:v>
      </x:c>
      <x:c r="C319" s="10" t="s">
        <x:v>1196</x:v>
      </x:c>
      <x:c r="D319" s="14" t="s">
        <x:v>1143</x:v>
      </x:c>
      <x:c r="E319" s="10">
        <x:v>3</x:v>
      </x:c>
      <x:c r="F319" s="10" t="s">
        <x:v>1140</x:v>
      </x:c>
      <x:c r="G319" s="10" t="b">
        <x:v>1</x:v>
      </x:c>
      <x:c r="H319" s="86" t="n">
        <x:f>IF(E319="","",E319*IF(F319="fen",0.1,IF(F319="qian",1,IF(F319="liang",10,IF(F319="jin",160,0)))))</x:f>
        <x:v>3</x:v>
      </x:c>
      <x:c r="I319" s="86" t="n">
        <x:f>IF(H319="","",H319*IFERROR(INDEX('Herb'!$L$2:$L$115,MATCH(C319,'Herb'!$A$2:$A$115,0)),0))</x:f>
        <x:v>18</x:v>
      </x:c>
      <x:c r="J319" s="86" t="n">
        <x:f>IF(H319="","",H319*IFERROR(INDEX('Herb'!$M$2:$M$115,MATCH(C319,'Herb'!$A$2:$A$115,0)),0))</x:f>
        <x:v>30</x:v>
      </x:c>
    </x:row>
    <x:row r="320">
      <x:c r="A320" s="10" t="s">
        <x:v>964</x:v>
      </x:c>
      <x:c r="B320" s="10" t="s">
        <x:v>1152</x:v>
      </x:c>
      <x:c r="C320" s="10" t="s">
        <x:v>1153</x:v>
      </x:c>
      <x:c r="D320" s="15" t="s">
        <x:v>1146</x:v>
      </x:c>
      <x:c r="E320" s="10">
        <x:v>2</x:v>
      </x:c>
      <x:c r="F320" s="10" t="s">
        <x:v>1140</x:v>
      </x:c>
      <x:c r="G320" s="10" t="b">
        <x:v>1</x:v>
      </x:c>
      <x:c r="H320" s="86" t="n">
        <x:f>IF(E320="","",E320*IF(F320="fen",0.1,IF(F320="qian",1,IF(F320="liang",10,IF(F320="jin",160,0)))))</x:f>
        <x:v>2</x:v>
      </x:c>
      <x:c r="I320" s="86" t="n">
        <x:f>IF(H320="","",H320*IFERROR(INDEX('Herb'!$L$2:$L$115,MATCH(C320,'Herb'!$A$2:$A$115,0)),0))</x:f>
        <x:v>2</x:v>
      </x:c>
      <x:c r="J320" s="86" t="n">
        <x:f>IF(H320="","",H320*IFERROR(INDEX('Herb'!$M$2:$M$115,MATCH(C320,'Herb'!$A$2:$A$115,0)),0))</x:f>
        <x:v>4</x:v>
      </x:c>
    </x:row>
    <x:row r="321">
      <x:c r="A321" s="10" t="s">
        <x:v>964</x:v>
      </x:c>
      <x:c r="B321" s="10" t="s">
        <x:v>1150</x:v>
      </x:c>
      <x:c r="C321" s="10" t="s">
        <x:v>1151</x:v>
      </x:c>
      <x:c r="D321" s="15" t="s">
        <x:v>1146</x:v>
      </x:c>
      <x:c r="E321" s="10">
        <x:v>3</x:v>
      </x:c>
      <x:c r="F321" s="10" t="s">
        <x:v>1140</x:v>
      </x:c>
      <x:c r="G321" s="10" t="b">
        <x:v>1</x:v>
      </x:c>
      <x:c r="H321" s="86" t="n">
        <x:f>IF(E321="","",E321*IF(F321="fen",0.1,IF(F321="qian",1,IF(F321="liang",10,IF(F321="jin",160,0)))))</x:f>
        <x:v>3</x:v>
      </x:c>
      <x:c r="I321" s="86" t="n">
        <x:f>IF(H321="","",H321*IFERROR(INDEX('Herb'!$L$2:$L$115,MATCH(C321,'Herb'!$A$2:$A$115,0)),0))</x:f>
        <x:v>15</x:v>
      </x:c>
      <x:c r="J321" s="86" t="n">
        <x:f>IF(H321="","",H321*IFERROR(INDEX('Herb'!$M$2:$M$115,MATCH(C321,'Herb'!$A$2:$A$115,0)),0))</x:f>
        <x:v>24</x:v>
      </x:c>
    </x:row>
    <x:row r="322">
      <x:c r="A322" s="10" t="s">
        <x:v>967</x:v>
      </x:c>
      <x:c r="B322" s="10" t="s">
        <x:v>1225</x:v>
      </x:c>
      <x:c r="C322" s="10" t="s">
        <x:v>1226</x:v>
      </x:c>
      <x:c r="D322" s="13" t="s">
        <x:v>1139</x:v>
      </x:c>
      <x:c r="E322" s="10">
        <x:v>8</x:v>
      </x:c>
      <x:c r="F322" s="10" t="s">
        <x:v>1140</x:v>
      </x:c>
      <x:c r="G322" s="10" t="b">
        <x:v>1</x:v>
      </x:c>
      <x:c r="H322" s="86" t="n">
        <x:f>IF(E322="","",E322*IF(F322="fen",0.1,IF(F322="qian",1,IF(F322="liang",10,IF(F322="jin",160,0)))))</x:f>
        <x:v>8</x:v>
      </x:c>
      <x:c r="I322" s="86" t="n">
        <x:f>IF(H322="","",H322*IFERROR(INDEX('Herb'!$L$2:$L$115,MATCH(C322,'Herb'!$A$2:$A$115,0)),0))</x:f>
        <x:v>80</x:v>
      </x:c>
      <x:c r="J322" s="86" t="n">
        <x:f>IF(H322="","",H322*IFERROR(INDEX('Herb'!$M$2:$M$115,MATCH(C322,'Herb'!$A$2:$A$115,0)),0))</x:f>
        <x:v>120</x:v>
      </x:c>
    </x:row>
    <x:row r="323">
      <x:c r="A323" s="10" t="s">
        <x:v>967</x:v>
      </x:c>
      <x:c r="B323" s="10" t="s">
        <x:v>1343</x:v>
      </x:c>
      <x:c r="C323" s="10" t="s">
        <x:v>1344</x:v>
      </x:c>
      <x:c r="D323" s="14" t="s">
        <x:v>1143</x:v>
      </x:c>
      <x:c r="E323" s="10">
        <x:v>4</x:v>
      </x:c>
      <x:c r="F323" s="10" t="s">
        <x:v>1140</x:v>
      </x:c>
      <x:c r="G323" s="10" t="b">
        <x:v>1</x:v>
      </x:c>
      <x:c r="H323" s="86" t="n">
        <x:f>IF(E323="","",E323*IF(F323="fen",0.1,IF(F323="qian",1,IF(F323="liang",10,IF(F323="jin",160,0)))))</x:f>
        <x:v>4</x:v>
      </x:c>
      <x:c r="I323" s="86" t="n">
        <x:f>IF(H323="","",H323*IFERROR(INDEX('Herb'!$L$2:$L$115,MATCH(C323,'Herb'!$A$2:$A$115,0)),0))</x:f>
        <x:v>200</x:v>
      </x:c>
      <x:c r="J323" s="86" t="n">
        <x:f>IF(H323="","",H323*IFERROR(INDEX('Herb'!$M$2:$M$115,MATCH(C323,'Herb'!$A$2:$A$115,0)),0))</x:f>
        <x:v>300</x:v>
      </x:c>
    </x:row>
    <x:row r="324">
      <x:c r="A324" s="10" t="s">
        <x:v>967</x:v>
      </x:c>
      <x:c r="B324" s="10" t="s">
        <x:v>1345</x:v>
      </x:c>
      <x:c r="C324" s="10" t="s">
        <x:v>1346</x:v>
      </x:c>
      <x:c r="D324" s="14" t="s">
        <x:v>1143</x:v>
      </x:c>
      <x:c r="E324" s="10">
        <x:v>4</x:v>
      </x:c>
      <x:c r="F324" s="10" t="s">
        <x:v>1140</x:v>
      </x:c>
      <x:c r="G324" s="10" t="b">
        <x:v>1</x:v>
      </x:c>
      <x:c r="H324" s="86" t="n">
        <x:f>IF(E324="","",E324*IF(F324="fen",0.1,IF(F324="qian",1,IF(F324="liang",10,IF(F324="jin",160,0)))))</x:f>
        <x:v>4</x:v>
      </x:c>
      <x:c r="I324" s="86" t="n">
        <x:f>IF(H324="","",H324*IFERROR(INDEX('Herb'!$L$2:$L$115,MATCH(C324,'Herb'!$A$2:$A$115,0)),0))</x:f>
        <x:v>300</x:v>
      </x:c>
      <x:c r="J324" s="86" t="n">
        <x:f>IF(H324="","",H324*IFERROR(INDEX('Herb'!$M$2:$M$115,MATCH(C324,'Herb'!$A$2:$A$115,0)),0))</x:f>
        <x:v>424</x:v>
      </x:c>
    </x:row>
    <x:row r="325">
      <x:c r="A325" s="10" t="s">
        <x:v>967</x:v>
      </x:c>
      <x:c r="B325" s="10" t="s">
        <x:v>1317</x:v>
      </x:c>
      <x:c r="C325" s="10" t="s">
        <x:v>1318</x:v>
      </x:c>
      <x:c r="D325" s="14" t="s">
        <x:v>1143</x:v>
      </x:c>
      <x:c r="E325" s="10">
        <x:v>4</x:v>
      </x:c>
      <x:c r="F325" s="10" t="s">
        <x:v>1140</x:v>
      </x:c>
      <x:c r="G325" s="10" t="b">
        <x:v>1</x:v>
      </x:c>
      <x:c r="H325" s="86" t="n">
        <x:f>IF(E325="","",E325*IF(F325="fen",0.1,IF(F325="qian",1,IF(F325="liang",10,IF(F325="jin",160,0)))))</x:f>
        <x:v>4</x:v>
      </x:c>
      <x:c r="I325" s="86" t="n">
        <x:f>IF(H325="","",H325*IFERROR(INDEX('Herb'!$L$2:$L$115,MATCH(C325,'Herb'!$A$2:$A$115,0)),0))</x:f>
        <x:v>32</x:v>
      </x:c>
      <x:c r="J325" s="86" t="n">
        <x:f>IF(H325="","",H325*IFERROR(INDEX('Herb'!$M$2:$M$115,MATCH(C325,'Herb'!$A$2:$A$115,0)),0))</x:f>
        <x:v>52</x:v>
      </x:c>
    </x:row>
    <x:row r="326">
      <x:c r="A326" s="10" t="s">
        <x:v>967</x:v>
      </x:c>
      <x:c r="B326" s="10" t="s">
        <x:v>1347</x:v>
      </x:c>
      <x:c r="C326" s="10" t="s">
        <x:v>1348</x:v>
      </x:c>
      <x:c r="D326" s="14" t="s">
        <x:v>1143</x:v>
      </x:c>
      <x:c r="E326" s="10">
        <x:v>4</x:v>
      </x:c>
      <x:c r="F326" s="10" t="s">
        <x:v>1140</x:v>
      </x:c>
      <x:c r="G326" s="10" t="b">
        <x:v>1</x:v>
      </x:c>
      <x:c r="H326" s="86" t="n">
        <x:f>IF(E326="","",E326*IF(F326="fen",0.1,IF(F326="qian",1,IF(F326="liang",10,IF(F326="jin",160,0)))))</x:f>
        <x:v>4</x:v>
      </x:c>
      <x:c r="I326" s="86" t="n">
        <x:f>IF(H326="","",H326*IFERROR(INDEX('Herb'!$L$2:$L$115,MATCH(C326,'Herb'!$A$2:$A$115,0)),0))</x:f>
        <x:v>48</x:v>
      </x:c>
      <x:c r="J326" s="86" t="n">
        <x:f>IF(H326="","",H326*IFERROR(INDEX('Herb'!$M$2:$M$115,MATCH(C326,'Herb'!$A$2:$A$115,0)),0))</x:f>
        <x:v>84</x:v>
      </x:c>
    </x:row>
    <x:row r="327">
      <x:c r="A327" s="10" t="s">
        <x:v>967</x:v>
      </x:c>
      <x:c r="B327" s="10" t="s">
        <x:v>1339</x:v>
      </x:c>
      <x:c r="C327" s="10" t="s">
        <x:v>1340</x:v>
      </x:c>
      <x:c r="D327" s="15" t="s">
        <x:v>1146</x:v>
      </x:c>
      <x:c r="E327" s="10">
        <x:v>4</x:v>
      </x:c>
      <x:c r="F327" s="10" t="s">
        <x:v>1140</x:v>
      </x:c>
      <x:c r="G327" s="10" t="b">
        <x:v>1</x:v>
      </x:c>
      <x:c r="H327" s="86" t="n">
        <x:f>IF(E327="","",E327*IF(F327="fen",0.1,IF(F327="qian",1,IF(F327="liang",10,IF(F327="jin",160,0)))))</x:f>
        <x:v>4</x:v>
      </x:c>
      <x:c r="I327" s="86" t="n">
        <x:f>IF(H327="","",H327*IFERROR(INDEX('Herb'!$L$2:$L$115,MATCH(C327,'Herb'!$A$2:$A$115,0)),0))</x:f>
        <x:v>40</x:v>
      </x:c>
      <x:c r="J327" s="86" t="n">
        <x:f>IF(H327="","",H327*IFERROR(INDEX('Herb'!$M$2:$M$115,MATCH(C327,'Herb'!$A$2:$A$115,0)),0))</x:f>
        <x:v>64</x:v>
      </x:c>
    </x:row>
    <x:row r="328">
      <x:c r="A328" s="10" t="s">
        <x:v>967</x:v>
      </x:c>
      <x:c r="B328" s="10" t="s">
        <x:v>1257</x:v>
      </x:c>
      <x:c r="C328" s="10" t="s">
        <x:v>1258</x:v>
      </x:c>
      <x:c r="D328" s="15" t="s">
        <x:v>1146</x:v>
      </x:c>
      <x:c r="E328" s="10">
        <x:v>4</x:v>
      </x:c>
      <x:c r="F328" s="10" t="s">
        <x:v>1140</x:v>
      </x:c>
      <x:c r="G328" s="10" t="b">
        <x:v>1</x:v>
      </x:c>
      <x:c r="H328" s="86" t="n">
        <x:f>IF(E328="","",E328*IF(F328="fen",0.1,IF(F328="qian",1,IF(F328="liang",10,IF(F328="jin",160,0)))))</x:f>
        <x:v>4</x:v>
      </x:c>
      <x:c r="I328" s="86" t="n">
        <x:f>IF(H328="","",H328*IFERROR(INDEX('Herb'!$L$2:$L$115,MATCH(C328,'Herb'!$A$2:$A$115,0)),0))</x:f>
        <x:v>16</x:v>
      </x:c>
      <x:c r="J328" s="86" t="n">
        <x:f>IF(H328="","",H328*IFERROR(INDEX('Herb'!$M$2:$M$115,MATCH(C328,'Herb'!$A$2:$A$115,0)),0))</x:f>
        <x:v>28</x:v>
      </x:c>
    </x:row>
    <x:row r="329">
      <x:c r="A329" s="10" t="s">
        <x:v>967</x:v>
      </x:c>
      <x:c r="B329" s="10" t="s">
        <x:v>1293</x:v>
      </x:c>
      <x:c r="C329" s="10" t="s">
        <x:v>1294</x:v>
      </x:c>
      <x:c r="D329" s="16" t="s">
        <x:v>1149</x:v>
      </x:c>
      <x:c r="E329" s="10">
        <x:v>3</x:v>
      </x:c>
      <x:c r="F329" s="10" t="s">
        <x:v>1140</x:v>
      </x:c>
      <x:c r="G329" s="10" t="b">
        <x:v>1</x:v>
      </x:c>
      <x:c r="H329" s="86" t="n">
        <x:f>IF(E329="","",E329*IF(F329="fen",0.1,IF(F329="qian",1,IF(F329="liang",10,IF(F329="jin",160,0)))))</x:f>
        <x:v>3</x:v>
      </x:c>
      <x:c r="I329" s="86" t="n">
        <x:f>IF(H329="","",H329*IFERROR(INDEX('Herb'!$L$2:$L$115,MATCH(C329,'Herb'!$A$2:$A$115,0)),0))</x:f>
        <x:v>21</x:v>
      </x:c>
      <x:c r="J329" s="86" t="n">
        <x:f>IF(H329="","",H329*IFERROR(INDEX('Herb'!$M$2:$M$115,MATCH(C329,'Herb'!$A$2:$A$115,0)),0))</x:f>
        <x:v>36</x:v>
      </x:c>
    </x:row>
    <x:row r="330">
      <x:c r="A330" s="10" t="s">
        <x:v>970</x:v>
      </x:c>
      <x:c r="B330" s="10" t="s">
        <x:v>1349</x:v>
      </x:c>
      <x:c r="C330" s="10" t="s">
        <x:v>1350</x:v>
      </x:c>
      <x:c r="D330" s="13" t="s">
        <x:v>1139</x:v>
      </x:c>
      <x:c r="E330" s="10">
        <x:v>5</x:v>
      </x:c>
      <x:c r="F330" s="10" t="s">
        <x:v>1140</x:v>
      </x:c>
      <x:c r="G330" s="10" t="b">
        <x:v>1</x:v>
      </x:c>
      <x:c r="H330" s="86" t="n">
        <x:f>IF(E330="","",E330*IF(F330="fen",0.1,IF(F330="qian",1,IF(F330="liang",10,IF(F330="jin",160,0)))))</x:f>
        <x:v>5</x:v>
      </x:c>
      <x:c r="I330" s="86" t="n">
        <x:f>IF(H330="","",H330*IFERROR(INDEX('Herb'!$L$2:$L$115,MATCH(C330,'Herb'!$A$2:$A$115,0)),0))</x:f>
        <x:v>55</x:v>
      </x:c>
      <x:c r="J330" s="86" t="n">
        <x:f>IF(H330="","",H330*IFERROR(INDEX('Herb'!$M$2:$M$115,MATCH(C330,'Herb'!$A$2:$A$115,0)),0))</x:f>
        <x:v>95</x:v>
      </x:c>
    </x:row>
    <x:row r="331">
      <x:c r="A331" s="10" t="s">
        <x:v>970</x:v>
      </x:c>
      <x:c r="B331" s="10" t="s">
        <x:v>1351</x:v>
      </x:c>
      <x:c r="C331" s="10" t="s">
        <x:v>1352</x:v>
      </x:c>
      <x:c r="D331" s="14" t="s">
        <x:v>1143</x:v>
      </x:c>
      <x:c r="E331" s="10">
        <x:v>5</x:v>
      </x:c>
      <x:c r="F331" s="10" t="s">
        <x:v>1140</x:v>
      </x:c>
      <x:c r="G331" s="10" t="b">
        <x:v>1</x:v>
      </x:c>
      <x:c r="H331" s="86" t="n">
        <x:f>IF(E331="","",E331*IF(F331="fen",0.1,IF(F331="qian",1,IF(F331="liang",10,IF(F331="jin",160,0)))))</x:f>
        <x:v>5</x:v>
      </x:c>
      <x:c r="I331" s="86" t="n">
        <x:f>IF(H331="","",H331*IFERROR(INDEX('Herb'!$L$2:$L$115,MATCH(C331,'Herb'!$A$2:$A$115,0)),0))</x:f>
        <x:v>25</x:v>
      </x:c>
      <x:c r="J331" s="86" t="n">
        <x:f>IF(H331="","",H331*IFERROR(INDEX('Herb'!$M$2:$M$115,MATCH(C331,'Herb'!$A$2:$A$115,0)),0))</x:f>
        <x:v>45</x:v>
      </x:c>
    </x:row>
    <x:row r="332">
      <x:c r="A332" s="10" t="s">
        <x:v>970</x:v>
      </x:c>
      <x:c r="B332" s="10" t="s">
        <x:v>1353</x:v>
      </x:c>
      <x:c r="C332" s="10" t="s">
        <x:v>1354</x:v>
      </x:c>
      <x:c r="D332" s="15" t="s">
        <x:v>1146</x:v>
      </x:c>
      <x:c r="E332" s="10">
        <x:v>5</x:v>
      </x:c>
      <x:c r="F332" s="10" t="s">
        <x:v>1140</x:v>
      </x:c>
      <x:c r="G332" s="10" t="b">
        <x:v>1</x:v>
      </x:c>
      <x:c r="H332" s="86" t="n">
        <x:f>IF(E332="","",E332*IF(F332="fen",0.1,IF(F332="qian",1,IF(F332="liang",10,IF(F332="jin",160,0)))))</x:f>
        <x:v>5</x:v>
      </x:c>
      <x:c r="I332" s="86" t="n">
        <x:f>IF(H332="","",H332*IFERROR(INDEX('Herb'!$L$2:$L$115,MATCH(C332,'Herb'!$A$2:$A$115,0)),0))</x:f>
        <x:v>40</x:v>
      </x:c>
      <x:c r="J332" s="86" t="n">
        <x:f>IF(H332="","",H332*IFERROR(INDEX('Herb'!$M$2:$M$115,MATCH(C332,'Herb'!$A$2:$A$115,0)),0))</x:f>
        <x:v>70</x:v>
      </x:c>
    </x:row>
    <x:row r="333">
      <x:c r="A333" s="10" t="s">
        <x:v>970</x:v>
      </x:c>
      <x:c r="B333" s="10" t="s">
        <x:v>1355</x:v>
      </x:c>
      <x:c r="C333" s="10" t="s">
        <x:v>1356</x:v>
      </x:c>
      <x:c r="D333" s="15" t="s">
        <x:v>1146</x:v>
      </x:c>
      <x:c r="E333" s="10">
        <x:v>5</x:v>
      </x:c>
      <x:c r="F333" s="10" t="s">
        <x:v>1140</x:v>
      </x:c>
      <x:c r="G333" s="10" t="b">
        <x:v>1</x:v>
      </x:c>
      <x:c r="H333" s="86" t="n">
        <x:f>IF(E333="","",E333*IF(F333="fen",0.1,IF(F333="qian",1,IF(F333="liang",10,IF(F333="jin",160,0)))))</x:f>
        <x:v>5</x:v>
      </x:c>
      <x:c r="I333" s="86" t="n">
        <x:f>IF(H333="","",H333*IFERROR(INDEX('Herb'!$L$2:$L$115,MATCH(C333,'Herb'!$A$2:$A$115,0)),0))</x:f>
        <x:v>20</x:v>
      </x:c>
      <x:c r="J333" s="86" t="n">
        <x:f>IF(H333="","",H333*IFERROR(INDEX('Herb'!$M$2:$M$115,MATCH(C333,'Herb'!$A$2:$A$115,0)),0))</x:f>
        <x:v>40</x:v>
      </x:c>
    </x:row>
    <x:row r="334">
      <x:c r="A334" s="10" t="s">
        <x:v>970</x:v>
      </x:c>
      <x:c r="B334" s="10" t="s">
        <x:v>1357</x:v>
      </x:c>
      <x:c r="C334" s="10" t="s">
        <x:v>1358</x:v>
      </x:c>
      <x:c r="D334" s="15" t="s">
        <x:v>1146</x:v>
      </x:c>
      <x:c r="E334" s="10">
        <x:v>3</x:v>
      </x:c>
      <x:c r="F334" s="10" t="s">
        <x:v>1140</x:v>
      </x:c>
      <x:c r="G334" s="10" t="b">
        <x:v>1</x:v>
      </x:c>
      <x:c r="H334" s="86" t="n">
        <x:f>IF(E334="","",E334*IF(F334="fen",0.1,IF(F334="qian",1,IF(F334="liang",10,IF(F334="jin",160,0)))))</x:f>
        <x:v>3</x:v>
      </x:c>
      <x:c r="I334" s="86" t="n">
        <x:f>IF(H334="","",H334*IFERROR(INDEX('Herb'!$L$2:$L$115,MATCH(C334,'Herb'!$A$2:$A$115,0)),0))</x:f>
        <x:v>21</x:v>
      </x:c>
      <x:c r="J334" s="86" t="n">
        <x:f>IF(H334="","",H334*IFERROR(INDEX('Herb'!$M$2:$M$115,MATCH(C334,'Herb'!$A$2:$A$115,0)),0))</x:f>
        <x:v>36</x:v>
      </x:c>
    </x:row>
    <x:row r="335">
      <x:c r="A335" s="10" t="s">
        <x:v>970</x:v>
      </x:c>
      <x:c r="B335" s="10" t="s">
        <x:v>1259</x:v>
      </x:c>
      <x:c r="C335" s="10" t="s">
        <x:v>1260</x:v>
      </x:c>
      <x:c r="D335" s="16" t="s">
        <x:v>1149</x:v>
      </x:c>
      <x:c r="E335" s="10">
        <x:v>3</x:v>
      </x:c>
      <x:c r="F335" s="10" t="s">
        <x:v>1158</x:v>
      </x:c>
      <x:c r="G335" s="10" t="b">
        <x:v>1</x:v>
      </x:c>
      <x:c r="H335" s="86" t="n">
        <x:f>IF(E335="","",E335*IF(F335="fen",0.1,IF(F335="qian",1,IF(F335="liang",10,IF(F335="jin",160,0)))))</x:f>
        <x:v>30</x:v>
      </x:c>
      <x:c r="I335" s="86" t="n">
        <x:f>IF(H335="","",H335*IFERROR(INDEX('Herb'!$L$2:$L$115,MATCH(C335,'Herb'!$A$2:$A$115,0)),0))</x:f>
        <x:v>150</x:v>
      </x:c>
      <x:c r="J335" s="86" t="n">
        <x:f>IF(H335="","",H335*IFERROR(INDEX('Herb'!$M$2:$M$115,MATCH(C335,'Herb'!$A$2:$A$115,0)),0))</x:f>
        <x:v>270</x:v>
      </x:c>
    </x:row>
    <x:row r="336">
      <x:c r="A336" s="10" t="s">
        <x:v>974</x:v>
      </x:c>
      <x:c r="B336" s="10" t="s">
        <x:v>1195</x:v>
      </x:c>
      <x:c r="C336" s="47" t="s">
        <x:v>1196</x:v>
      </x:c>
      <x:c r="D336" s="13" t="s">
        <x:v>1139</x:v>
      </x:c>
      <x:c r="E336" s="10">
        <x:v>2</x:v>
      </x:c>
      <x:c r="F336" s="10" t="s">
        <x:v>1140</x:v>
      </x:c>
      <x:c r="G336" s="10" t="b">
        <x:v>1</x:v>
      </x:c>
      <x:c r="H336" s="86" t="n">
        <x:f>IF(E336="","",E336*IF(F336="fen",0.1,IF(F336="qian",1,IF(F336="liang",10,IF(F336="jin",160,0)))))</x:f>
        <x:v>2</x:v>
      </x:c>
      <x:c r="I336" s="86" t="n">
        <x:f>IF(H336="","",H336*IFERROR(INDEX('Herb'!$L$2:$L$115,MATCH(C336,'Herb'!$A$2:$A$115,0)),0))</x:f>
        <x:v>12</x:v>
      </x:c>
      <x:c r="J336" s="86" t="n">
        <x:f>IF(H336="","",H336*IFERROR(INDEX('Herb'!$M$2:$M$115,MATCH(C336,'Herb'!$A$2:$A$115,0)),0))</x:f>
        <x:v>20</x:v>
      </x:c>
    </x:row>
    <x:row r="337">
      <x:c r="A337" s="10" t="s">
        <x:v>974</x:v>
      </x:c>
      <x:c r="B337" s="10" t="s">
        <x:v>306</x:v>
      </x:c>
      <x:c r="C337" s="47" t="s">
        <x:v>1224</x:v>
      </x:c>
      <x:c r="D337" s="14" t="s">
        <x:v>1143</x:v>
      </x:c>
      <x:c r="E337" s="10">
        <x:v>1</x:v>
      </x:c>
      <x:c r="F337" s="10" t="s">
        <x:v>1140</x:v>
      </x:c>
      <x:c r="G337" s="10" t="b">
        <x:v>1</x:v>
      </x:c>
      <x:c r="H337" s="86" t="n">
        <x:f>IF(E337="","",E337*IF(F337="fen",0.1,IF(F337="qian",1,IF(F337="liang",10,IF(F337="jin",160,0)))))</x:f>
        <x:v>1</x:v>
      </x:c>
      <x:c r="I337" s="86" t="n">
        <x:f>IF(H337="","",H337*IFERROR(INDEX('Herb'!$L$2:$L$115,MATCH(C337,'Herb'!$A$2:$A$115,0)),0))</x:f>
        <x:v>60</x:v>
      </x:c>
      <x:c r="J337" s="86" t="n">
        <x:f>IF(H337="","",H337*IFERROR(INDEX('Herb'!$M$2:$M$115,MATCH(C337,'Herb'!$A$2:$A$115,0)),0))</x:f>
        <x:v>77</x:v>
      </x:c>
    </x:row>
    <x:row r="338">
      <x:c r="A338" s="10" t="s">
        <x:v>974</x:v>
      </x:c>
      <x:c r="B338" s="10" t="s">
        <x:v>1193</x:v>
      </x:c>
      <x:c r="C338" s="47" t="s">
        <x:v>1194</x:v>
      </x:c>
      <x:c r="D338" s="14" t="s">
        <x:v>1143</x:v>
      </x:c>
      <x:c r="E338" s="10">
        <x:v>1</x:v>
      </x:c>
      <x:c r="F338" s="10" t="s">
        <x:v>1140</x:v>
      </x:c>
      <x:c r="G338" s="10" t="b">
        <x:v>1</x:v>
      </x:c>
      <x:c r="H338" s="86" t="n">
        <x:f>IF(E338="","",E338*IF(F338="fen",0.1,IF(F338="qian",1,IF(F338="liang",10,IF(F338="jin",160,0)))))</x:f>
        <x:v>1</x:v>
      </x:c>
      <x:c r="I338" s="86" t="n">
        <x:f>IF(H338="","",H338*IFERROR(INDEX('Herb'!$L$2:$L$115,MATCH(C338,'Herb'!$A$2:$A$115,0)),0))</x:f>
        <x:v>7</x:v>
      </x:c>
      <x:c r="J338" s="86" t="n">
        <x:f>IF(H338="","",H338*IFERROR(INDEX('Herb'!$M$2:$M$115,MATCH(C338,'Herb'!$A$2:$A$115,0)),0))</x:f>
        <x:v>11</x:v>
      </x:c>
    </x:row>
    <x:row r="339">
      <x:c r="A339" s="10" t="s">
        <x:v>974</x:v>
      </x:c>
      <x:c r="B339" s="10" t="s">
        <x:v>1359</x:v>
      </x:c>
      <x:c r="C339" s="47" t="s">
        <x:v>1360</x:v>
      </x:c>
      <x:c r="D339" s="14" t="s">
        <x:v>1143</x:v>
      </x:c>
      <x:c r="E339" s="10">
        <x:v>1</x:v>
      </x:c>
      <x:c r="F339" s="10" t="s">
        <x:v>1140</x:v>
      </x:c>
      <x:c r="G339" s="10" t="b">
        <x:v>1</x:v>
      </x:c>
      <x:c r="H339" s="86" t="n">
        <x:f>IF(E339="","",E339*IF(F339="fen",0.1,IF(F339="qian",1,IF(F339="liang",10,IF(F339="jin",160,0)))))</x:f>
        <x:v>1</x:v>
      </x:c>
      <x:c r="I339" s="86" t="n">
        <x:f>IF(H339="","",H339*IFERROR(INDEX('Herb'!$L$2:$L$115,MATCH(C339,'Herb'!$A$2:$A$115,0)),0))</x:f>
        <x:v>10</x:v>
      </x:c>
      <x:c r="J339" s="86" t="n">
        <x:f>IF(H339="","",H339*IFERROR(INDEX('Herb'!$M$2:$M$115,MATCH(C339,'Herb'!$A$2:$A$115,0)),0))</x:f>
        <x:v>17</x:v>
      </x:c>
    </x:row>
    <x:row r="340">
      <x:c r="A340" s="10" t="s">
        <x:v>974</x:v>
      </x:c>
      <x:c r="B340" s="10" t="s">
        <x:v>1225</x:v>
      </x:c>
      <x:c r="C340" s="47" t="s">
        <x:v>1226</x:v>
      </x:c>
      <x:c r="D340" s="14" t="s">
        <x:v>1143</x:v>
      </x:c>
      <x:c r="E340" s="10">
        <x:v>1</x:v>
      </x:c>
      <x:c r="F340" s="10" t="s">
        <x:v>1140</x:v>
      </x:c>
      <x:c r="G340" s="10" t="b">
        <x:v>1</x:v>
      </x:c>
      <x:c r="H340" s="86" t="n">
        <x:f>IF(E340="","",E340*IF(F340="fen",0.1,IF(F340="qian",1,IF(F340="liang",10,IF(F340="jin",160,0)))))</x:f>
        <x:v>1</x:v>
      </x:c>
      <x:c r="I340" s="86" t="n">
        <x:f>IF(H340="","",H340*IFERROR(INDEX('Herb'!$L$2:$L$115,MATCH(C340,'Herb'!$A$2:$A$115,0)),0))</x:f>
        <x:v>10</x:v>
      </x:c>
      <x:c r="J340" s="86" t="n">
        <x:f>IF(H340="","",H340*IFERROR(INDEX('Herb'!$M$2:$M$115,MATCH(C340,'Herb'!$A$2:$A$115,0)),0))</x:f>
        <x:v>15</x:v>
      </x:c>
    </x:row>
    <x:row r="341">
      <x:c r="A341" s="10" t="s">
        <x:v>974</x:v>
      </x:c>
      <x:c r="B341" s="10" t="s">
        <x:v>1216</x:v>
      </x:c>
      <x:c r="C341" s="47" t="s">
        <x:v>1217</x:v>
      </x:c>
      <x:c r="D341" s="14" t="s">
        <x:v>1143</x:v>
      </x:c>
      <x:c r="E341" s="10">
        <x:v>1</x:v>
      </x:c>
      <x:c r="F341" s="10" t="s">
        <x:v>1140</x:v>
      </x:c>
      <x:c r="G341" s="10" t="b">
        <x:v>1</x:v>
      </x:c>
      <x:c r="H341" s="86" t="n">
        <x:f>IF(E341="","",E341*IF(F341="fen",0.1,IF(F341="qian",1,IF(F341="liang",10,IF(F341="jin",160,0)))))</x:f>
        <x:v>1</x:v>
      </x:c>
      <x:c r="I341" s="86" t="n">
        <x:f>IF(H341="","",H341*IFERROR(INDEX('Herb'!$L$2:$L$115,MATCH(C341,'Herb'!$A$2:$A$115,0)),0))</x:f>
        <x:v>8</x:v>
      </x:c>
      <x:c r="J341" s="86" t="n">
        <x:f>IF(H341="","",H341*IFERROR(INDEX('Herb'!$M$2:$M$115,MATCH(C341,'Herb'!$A$2:$A$115,0)),0))</x:f>
        <x:v>12</x:v>
      </x:c>
    </x:row>
    <x:row r="342">
      <x:c r="A342" s="10" t="s">
        <x:v>974</x:v>
      </x:c>
      <x:c r="B342" s="10" t="s">
        <x:v>1150</x:v>
      </x:c>
      <x:c r="C342" s="47" t="s">
        <x:v>1151</x:v>
      </x:c>
      <x:c r="D342" s="15" t="s">
        <x:v>1146</x:v>
      </x:c>
      <x:c r="E342" s="10">
        <x:v>8</x:v>
      </x:c>
      <x:c r="F342" s="47" t="s">
        <x:v>1361</x:v>
      </x:c>
      <x:c r="G342" s="10" t="b">
        <x:v>1</x:v>
      </x:c>
      <x:c r="H342" s="86" t="n">
        <x:f>IF(E342="","",E342*IF(F342="fen",0.1,IF(F342="qian",1,IF(F342="liang",10,IF(F342="jin",160,0)))))</x:f>
        <x:v>0.8</x:v>
      </x:c>
      <x:c r="I342" s="86" t="n">
        <x:f>IF(H342="","",H342*IFERROR(INDEX('Herb'!$L$2:$L$115,MATCH(C342,'Herb'!$A$2:$A$115,0)),0))</x:f>
        <x:v>4</x:v>
      </x:c>
      <x:c r="J342" s="86" t="n">
        <x:f>IF(H342="","",H342*IFERROR(INDEX('Herb'!$M$2:$M$115,MATCH(C342,'Herb'!$A$2:$A$115,0)),0))</x:f>
        <x:v>6.4</x:v>
      </x:c>
    </x:row>
    <x:row r="343">
      <x:c r="A343" s="10" t="s">
        <x:v>974</x:v>
      </x:c>
      <x:c r="B343" s="10" t="s">
        <x:v>1218</x:v>
      </x:c>
      <x:c r="C343" s="47" t="s">
        <x:v>1219</x:v>
      </x:c>
      <x:c r="D343" s="15" t="s">
        <x:v>1146</x:v>
      </x:c>
      <x:c r="E343" s="10">
        <x:v>8</x:v>
      </x:c>
      <x:c r="F343" s="47" t="s">
        <x:v>1361</x:v>
      </x:c>
      <x:c r="G343" s="10" t="b">
        <x:v>1</x:v>
      </x:c>
      <x:c r="H343" s="86" t="n">
        <x:f>IF(E343="","",E343*IF(F343="fen",0.1,IF(F343="qian",1,IF(F343="liang",10,IF(F343="jin",160,0)))))</x:f>
        <x:v>0.8</x:v>
      </x:c>
      <x:c r="I343" s="86" t="n">
        <x:f>IF(H343="","",H343*IFERROR(INDEX('Herb'!$L$2:$L$115,MATCH(C343,'Herb'!$A$2:$A$115,0)),0))</x:f>
        <x:v>5.6000000000000005</x:v>
      </x:c>
      <x:c r="J343" s="86" t="n">
        <x:f>IF(H343="","",H343*IFERROR(INDEX('Herb'!$M$2:$M$115,MATCH(C343,'Herb'!$A$2:$A$115,0)),0))</x:f>
        <x:v>8.8</x:v>
      </x:c>
    </x:row>
    <x:row r="344">
      <x:c r="A344" s="10" t="s">
        <x:v>974</x:v>
      </x:c>
      <x:c r="B344" s="10" t="s">
        <x:v>1245</x:v>
      </x:c>
      <x:c r="C344" s="47" t="s">
        <x:v>1246</x:v>
      </x:c>
      <x:c r="D344" s="15" t="s">
        <x:v>1146</x:v>
      </x:c>
      <x:c r="E344" s="10">
        <x:v>1</x:v>
      </x:c>
      <x:c r="F344" s="10" t="s">
        <x:v>1140</x:v>
      </x:c>
      <x:c r="G344" s="10" t="b">
        <x:v>1</x:v>
      </x:c>
      <x:c r="H344" s="86" t="n">
        <x:f>IF(E344="","",E344*IF(F344="fen",0.1,IF(F344="qian",1,IF(F344="liang",10,IF(F344="jin",160,0)))))</x:f>
        <x:v>1</x:v>
      </x:c>
      <x:c r="I344" s="86" t="n">
        <x:f>IF(H344="","",H344*IFERROR(INDEX('Herb'!$L$2:$L$115,MATCH(C344,'Herb'!$A$2:$A$115,0)),0))</x:f>
        <x:v>6</x:v>
      </x:c>
      <x:c r="J344" s="86" t="n">
        <x:f>IF(H344="","",H344*IFERROR(INDEX('Herb'!$M$2:$M$115,MATCH(C344,'Herb'!$A$2:$A$115,0)),0))</x:f>
        <x:v>11</x:v>
      </x:c>
    </x:row>
    <x:row r="345">
      <x:c r="A345" s="10" t="s">
        <x:v>974</x:v>
      </x:c>
      <x:c r="B345" s="10" t="s">
        <x:v>1261</x:v>
      </x:c>
      <x:c r="C345" s="47" t="s">
        <x:v>1262</x:v>
      </x:c>
      <x:c r="D345" s="15" t="s">
        <x:v>1146</x:v>
      </x:c>
      <x:c r="E345" s="10">
        <x:v>5</x:v>
      </x:c>
      <x:c r="F345" s="47" t="s">
        <x:v>1361</x:v>
      </x:c>
      <x:c r="G345" s="10" t="b">
        <x:v>1</x:v>
      </x:c>
      <x:c r="H345" s="86" t="n">
        <x:f>IF(E345="","",E345*IF(F345="fen",0.1,IF(F345="qian",1,IF(F345="liang",10,IF(F345="jin",160,0)))))</x:f>
        <x:v>0.5</x:v>
      </x:c>
      <x:c r="I345" s="86" t="n">
        <x:f>IF(H345="","",H345*IFERROR(INDEX('Herb'!$L$2:$L$115,MATCH(C345,'Herb'!$A$2:$A$115,0)),0))</x:f>
        <x:v>5</x:v>
      </x:c>
      <x:c r="J345" s="86" t="n">
        <x:f>IF(H345="","",H345*IFERROR(INDEX('Herb'!$M$2:$M$115,MATCH(C345,'Herb'!$A$2:$A$115,0)),0))</x:f>
        <x:v>8.5</x:v>
      </x:c>
    </x:row>
    <x:row r="346">
      <x:c r="A346" s="10" t="s">
        <x:v>974</x:v>
      </x:c>
      <x:c r="B346" s="10" t="s">
        <x:v>1147</x:v>
      </x:c>
      <x:c r="C346" s="47" t="s">
        <x:v>1148</x:v>
      </x:c>
      <x:c r="D346" s="16" t="s">
        <x:v>1149</x:v>
      </x:c>
      <x:c r="E346" s="10">
        <x:v>5</x:v>
      </x:c>
      <x:c r="F346" s="47" t="s">
        <x:v>1361</x:v>
      </x:c>
      <x:c r="G346" s="10" t="b">
        <x:v>1</x:v>
      </x:c>
      <x:c r="H346" s="86" t="n">
        <x:f>IF(E346="","",E346*IF(F346="fen",0.1,IF(F346="qian",1,IF(F346="liang",10,IF(F346="jin",160,0)))))</x:f>
        <x:v>0.5</x:v>
      </x:c>
      <x:c r="I346" s="86" t="n">
        <x:f>IF(H346="","",H346*IFERROR(INDEX('Herb'!$L$2:$L$115,MATCH(C346,'Herb'!$A$2:$A$115,0)),0))</x:f>
        <x:v>1</x:v>
      </x:c>
      <x:c r="J346" s="86" t="n">
        <x:f>IF(H346="","",H346*IFERROR(INDEX('Herb'!$M$2:$M$115,MATCH(C346,'Herb'!$A$2:$A$115,0)),0))</x:f>
        <x:v>2</x:v>
      </x:c>
    </x:row>
    <x:row r="347">
      <x:c r="A347" s="10" t="s">
        <x:v>974</x:v>
      </x:c>
      <x:c r="B347" s="10" t="s">
        <x:v>1362</x:v>
      </x:c>
      <x:c r="C347" s="47" t="s">
        <x:v>1363</x:v>
      </x:c>
      <x:c r="D347" s="16" t="s">
        <x:v>1149</x:v>
      </x:c>
      <x:c r="E347" s="10">
        <x:v>5</x:v>
      </x:c>
      <x:c r="F347" s="47" t="s">
        <x:v>1361</x:v>
      </x:c>
      <x:c r="G347" s="10" t="b">
        <x:v>1</x:v>
      </x:c>
      <x:c r="H347" s="86" t="n">
        <x:f>IF(E347="","",E347*IF(F347="fen",0.1,IF(F347="qian",1,IF(F347="liang",10,IF(F347="jin",160,0)))))</x:f>
        <x:v>0.5</x:v>
      </x:c>
      <x:c r="I347" s="86" t="n">
        <x:f>IF(H347="","",H347*IFERROR(INDEX('Herb'!$L$2:$L$115,MATCH(C347,'Herb'!$A$2:$A$115,0)),0))</x:f>
        <x:v>1</x:v>
      </x:c>
      <x:c r="J347" s="86" t="n">
        <x:f>IF(H347="","",H347*IFERROR(INDEX('Herb'!$M$2:$M$115,MATCH(C347,'Herb'!$A$2:$A$115,0)),0))</x:f>
        <x:v>2</x:v>
      </x:c>
    </x:row>
    <x:row r="348">
      <x:c r="A348" s="10" t="s">
        <x:v>979</x:v>
      </x:c>
      <x:c r="B348" s="10" t="s">
        <x:v>1303</x:v>
      </x:c>
      <x:c r="C348" s="10" t="s">
        <x:v>1304</x:v>
      </x:c>
      <x:c r="D348" s="13" t="s">
        <x:v>1139</x:v>
      </x:c>
      <x:c r="E348" s="10">
        <x:v>4</x:v>
      </x:c>
      <x:c r="F348" s="10" t="s">
        <x:v>1140</x:v>
      </x:c>
      <x:c r="G348" s="10" t="b">
        <x:v>1</x:v>
      </x:c>
      <x:c r="H348" s="86" t="n">
        <x:f>IF(E348="","",E348*IF(F348="fen",0.1,IF(F348="qian",1,IF(F348="liang",10,IF(F348="jin",160,0)))))</x:f>
        <x:v>4</x:v>
      </x:c>
      <x:c r="I348" s="86" t="n">
        <x:f>IF(H348="","",H348*IFERROR(INDEX('Herb'!$L$2:$L$115,MATCH(C348,'Herb'!$A$2:$A$115,0)),0))</x:f>
        <x:v>48</x:v>
      </x:c>
      <x:c r="J348" s="86" t="n">
        <x:f>IF(H348="","",H348*IFERROR(INDEX('Herb'!$M$2:$M$115,MATCH(C348,'Herb'!$A$2:$A$115,0)),0))</x:f>
        <x:v>80</x:v>
      </x:c>
    </x:row>
    <x:row r="349">
      <x:c r="A349" s="10" t="s">
        <x:v>979</x:v>
      </x:c>
      <x:c r="B349" s="10" t="s">
        <x:v>1245</x:v>
      </x:c>
      <x:c r="C349" s="10" t="s">
        <x:v>1246</x:v>
      </x:c>
      <x:c r="D349" s="14" t="s">
        <x:v>1143</x:v>
      </x:c>
      <x:c r="E349" s="10">
        <x:v>3</x:v>
      </x:c>
      <x:c r="F349" s="10" t="s">
        <x:v>1140</x:v>
      </x:c>
      <x:c r="G349" s="10" t="b">
        <x:v>1</x:v>
      </x:c>
      <x:c r="H349" s="86" t="n">
        <x:f>IF(E349="","",E349*IF(F349="fen",0.1,IF(F349="qian",1,IF(F349="liang",10,IF(F349="jin",160,0)))))</x:f>
        <x:v>3</x:v>
      </x:c>
      <x:c r="I349" s="86" t="n">
        <x:f>IF(H349="","",H349*IFERROR(INDEX('Herb'!$L$2:$L$115,MATCH(C349,'Herb'!$A$2:$A$115,0)),0))</x:f>
        <x:v>18</x:v>
      </x:c>
      <x:c r="J349" s="86" t="n">
        <x:f>IF(H349="","",H349*IFERROR(INDEX('Herb'!$M$2:$M$115,MATCH(C349,'Herb'!$A$2:$A$115,0)),0))</x:f>
        <x:v>33</x:v>
      </x:c>
    </x:row>
    <x:row r="350">
      <x:c r="A350" s="10" t="s">
        <x:v>979</x:v>
      </x:c>
      <x:c r="B350" s="10" t="s">
        <x:v>1150</x:v>
      </x:c>
      <x:c r="C350" s="10" t="s">
        <x:v>1151</x:v>
      </x:c>
      <x:c r="D350" s="14" t="s">
        <x:v>1143</x:v>
      </x:c>
      <x:c r="E350" s="10">
        <x:v>3</x:v>
      </x:c>
      <x:c r="F350" s="10" t="s">
        <x:v>1140</x:v>
      </x:c>
      <x:c r="G350" s="10" t="b">
        <x:v>1</x:v>
      </x:c>
      <x:c r="H350" s="86" t="n">
        <x:f>IF(E350="","",E350*IF(F350="fen",0.1,IF(F350="qian",1,IF(F350="liang",10,IF(F350="jin",160,0)))))</x:f>
        <x:v>3</x:v>
      </x:c>
      <x:c r="I350" s="86" t="n">
        <x:f>IF(H350="","",H350*IFERROR(INDEX('Herb'!$L$2:$L$115,MATCH(C350,'Herb'!$A$2:$A$115,0)),0))</x:f>
        <x:v>15</x:v>
      </x:c>
      <x:c r="J350" s="86" t="n">
        <x:f>IF(H350="","",H350*IFERROR(INDEX('Herb'!$M$2:$M$115,MATCH(C350,'Herb'!$A$2:$A$115,0)),0))</x:f>
        <x:v>24</x:v>
      </x:c>
    </x:row>
    <x:row r="351">
      <x:c r="A351" s="10" t="s">
        <x:v>979</x:v>
      </x:c>
      <x:c r="B351" s="10" t="s">
        <x:v>1364</x:v>
      </x:c>
      <x:c r="C351" s="10" t="s">
        <x:v>1365</x:v>
      </x:c>
      <x:c r="D351" s="15" t="s">
        <x:v>1146</x:v>
      </x:c>
      <x:c r="E351" s="10">
        <x:v>3</x:v>
      </x:c>
      <x:c r="F351" s="10" t="s">
        <x:v>1140</x:v>
      </x:c>
      <x:c r="G351" s="10" t="b">
        <x:v>1</x:v>
      </x:c>
      <x:c r="H351" s="86" t="n">
        <x:f>IF(E351="","",E351*IF(F351="fen",0.1,IF(F351="qian",1,IF(F351="liang",10,IF(F351="jin",160,0)))))</x:f>
        <x:v>3</x:v>
      </x:c>
      <x:c r="I351" s="86" t="n">
        <x:f>IF(H351="","",H351*IFERROR(INDEX('Herb'!$L$2:$L$115,MATCH(C351,'Herb'!$A$2:$A$115,0)),0))</x:f>
        <x:v>135</x:v>
      </x:c>
      <x:c r="J351" s="86" t="n">
        <x:f>IF(H351="","",H351*IFERROR(INDEX('Herb'!$M$2:$M$115,MATCH(C351,'Herb'!$A$2:$A$115,0)),0))</x:f>
        <x:v>201</x:v>
      </x:c>
    </x:row>
    <x:row r="352">
      <x:c r="A352" s="10" t="s">
        <x:v>979</x:v>
      </x:c>
      <x:c r="B352" s="10" t="s">
        <x:v>1366</x:v>
      </x:c>
      <x:c r="C352" s="10" t="s">
        <x:v>1367</x:v>
      </x:c>
      <x:c r="D352" s="16" t="s">
        <x:v>1149</x:v>
      </x:c>
      <x:c r="E352" s="10">
        <x:v>1</x:v>
      </x:c>
      <x:c r="F352" s="10" t="s">
        <x:v>1158</x:v>
      </x:c>
      <x:c r="G352" s="10" t="b">
        <x:v>1</x:v>
      </x:c>
      <x:c r="H352" s="86" t="n">
        <x:f>IF(E352="","",E352*IF(F352="fen",0.1,IF(F352="qian",1,IF(F352="liang",10,IF(F352="jin",160,0)))))</x:f>
        <x:v>10</x:v>
      </x:c>
      <x:c r="I352" s="86" t="n">
        <x:f>IF(H352="","",H352*IFERROR(INDEX('Herb'!$L$2:$L$115,MATCH(C352,'Herb'!$A$2:$A$115,0)),0))</x:f>
        <x:v>10</x:v>
      </x:c>
      <x:c r="J352" s="86" t="n">
        <x:f>IF(H352="","",H352*IFERROR(INDEX('Herb'!$M$2:$M$115,MATCH(C352,'Herb'!$A$2:$A$115,0)),0))</x:f>
        <x:v>20</x:v>
      </x:c>
    </x:row>
    <x:row r="353">
      <x:c r="A353" s="10" t="s">
        <x:v>984</x:v>
      </x:c>
      <x:c r="B353" s="10" t="s">
        <x:v>1204</x:v>
      </x:c>
      <x:c r="C353" s="10" t="s">
        <x:v>1205</x:v>
      </x:c>
      <x:c r="D353" s="13" t="s">
        <x:v>1139</x:v>
      </x:c>
      <x:c r="E353" s="10">
        <x:v>2</x:v>
      </x:c>
      <x:c r="F353" s="10" t="s">
        <x:v>1158</x:v>
      </x:c>
      <x:c r="G353" s="10" t="b">
        <x:v>1</x:v>
      </x:c>
      <x:c r="H353" s="86" t="n">
        <x:f>IF(E353="","",E353*IF(F353="fen",0.1,IF(F353="qian",1,IF(F353="liang",10,IF(F353="jin",160,0)))))</x:f>
        <x:v>20</x:v>
      </x:c>
      <x:c r="I353" s="86" t="n">
        <x:f>IF(H353="","",H353*IFERROR(INDEX('Herb'!$L$2:$L$115,MATCH(C353,'Herb'!$A$2:$A$115,0)),0))</x:f>
        <x:v>20</x:v>
      </x:c>
      <x:c r="J353" s="86" t="n">
        <x:f>IF(H353="","",H353*IFERROR(INDEX('Herb'!$M$2:$M$115,MATCH(C353,'Herb'!$A$2:$A$115,0)),0))</x:f>
        <x:v>40</x:v>
      </x:c>
    </x:row>
    <x:row r="354">
      <x:c r="A354" s="10" t="s">
        <x:v>984</x:v>
      </x:c>
      <x:c r="B354" s="10" t="s">
        <x:v>1206</x:v>
      </x:c>
      <x:c r="C354" s="10" t="s">
        <x:v>1207</x:v>
      </x:c>
      <x:c r="D354" s="14" t="s">
        <x:v>1143</x:v>
      </x:c>
      <x:c r="E354" s="10">
        <x:v>6</x:v>
      </x:c>
      <x:c r="F354" s="10" t="s">
        <x:v>1140</x:v>
      </x:c>
      <x:c r="G354" s="10" t="b">
        <x:v>1</x:v>
      </x:c>
      <x:c r="H354" s="86" t="n">
        <x:f>IF(E354="","",E354*IF(F354="fen",0.1,IF(F354="qian",1,IF(F354="liang",10,IF(F354="jin",160,0)))))</x:f>
        <x:v>6</x:v>
      </x:c>
      <x:c r="I354" s="86" t="n">
        <x:f>IF(H354="","",H354*IFERROR(INDEX('Herb'!$L$2:$L$115,MATCH(C354,'Herb'!$A$2:$A$115,0)),0))</x:f>
        <x:v>30</x:v>
      </x:c>
      <x:c r="J354" s="86" t="n">
        <x:f>IF(H354="","",H354*IFERROR(INDEX('Herb'!$M$2:$M$115,MATCH(C354,'Herb'!$A$2:$A$115,0)),0))</x:f>
        <x:v>54</x:v>
      </x:c>
    </x:row>
    <x:row r="355">
      <x:c r="A355" s="10" t="s">
        <x:v>984</x:v>
      </x:c>
      <x:c r="B355" s="10" t="s">
        <x:v>1208</x:v>
      </x:c>
      <x:c r="C355" s="10" t="s">
        <x:v>1209</x:v>
      </x:c>
      <x:c r="D355" s="15" t="s">
        <x:v>1146</x:v>
      </x:c>
      <x:c r="E355" s="10">
        <x:v>3</x:v>
      </x:c>
      <x:c r="F355" s="10" t="s">
        <x:v>1140</x:v>
      </x:c>
      <x:c r="G355" s="10" t="b">
        <x:v>1</x:v>
      </x:c>
      <x:c r="H355" s="86" t="n">
        <x:f>IF(E355="","",E355*IF(F355="fen",0.1,IF(F355="qian",1,IF(F355="liang",10,IF(F355="jin",160,0)))))</x:f>
        <x:v>3</x:v>
      </x:c>
      <x:c r="I355" s="86" t="n">
        <x:f>IF(H355="","",H355*IFERROR(INDEX('Herb'!$L$2:$L$115,MATCH(C355,'Herb'!$A$2:$A$115,0)),0))</x:f>
        <x:v>3</x:v>
      </x:c>
      <x:c r="J355" s="86" t="n">
        <x:f>IF(H355="","",H355*IFERROR(INDEX('Herb'!$M$2:$M$115,MATCH(C355,'Herb'!$A$2:$A$115,0)),0))</x:f>
        <x:v>6</x:v>
      </x:c>
    </x:row>
    <x:row r="356">
      <x:c r="A356" s="10" t="s">
        <x:v>984</x:v>
      </x:c>
      <x:c r="B356" s="10" t="s">
        <x:v>1147</x:v>
      </x:c>
      <x:c r="C356" s="10" t="s">
        <x:v>1148</x:v>
      </x:c>
      <x:c r="D356" s="16" t="s">
        <x:v>1149</x:v>
      </x:c>
      <x:c r="E356" s="10">
        <x:v>2</x:v>
      </x:c>
      <x:c r="F356" s="10" t="s">
        <x:v>1140</x:v>
      </x:c>
      <x:c r="G356" s="10" t="b">
        <x:v>1</x:v>
      </x:c>
      <x:c r="H356" s="86" t="n">
        <x:f>IF(E356="","",E356*IF(F356="fen",0.1,IF(F356="qian",1,IF(F356="liang",10,IF(F356="jin",160,0)))))</x:f>
        <x:v>2</x:v>
      </x:c>
      <x:c r="I356" s="86" t="n">
        <x:f>IF(H356="","",H356*IFERROR(INDEX('Herb'!$L$2:$L$115,MATCH(C356,'Herb'!$A$2:$A$115,0)),0))</x:f>
        <x:v>4</x:v>
      </x:c>
      <x:c r="J356" s="86" t="n">
        <x:f>IF(H356="","",H356*IFERROR(INDEX('Herb'!$M$2:$M$115,MATCH(C356,'Herb'!$A$2:$A$115,0)),0))</x:f>
        <x:v>8</x:v>
      </x:c>
    </x:row>
    <x:row r="357">
      <x:c r="E357" s="10"/>
      <x:c r="F357" s="10"/>
    </x:row>
  </x:sheetData>
  <x:pageMargins left="0.7" right="0.7" top="0.75" bottom="0.75" header="0.3" footer="0.3"/>
</x:worksheet>
</file>

<file path=xl/worksheets/sheet8.xml><?xml version="1.0" encoding="utf-8"?>
<x:worksheet xmlns:x="http://schemas.openxmlformats.org/spreadsheetml/2006/main">
  <x:sheetFormatPr defaultRowHeight="18.75"/>
  <x:cols>
    <x:col min="1" max="1" width="16.25" style="7" customWidth="1"/>
    <x:col min="2" max="2" width="11.625" style="7" customWidth="1"/>
    <x:col min="3" max="3" width="8.375" style="7" customWidth="1"/>
    <x:col min="4" max="4" width="8" style="7" customWidth="1"/>
    <x:col min="5" max="5" width="13.125" style="7" customWidth="1"/>
    <x:col min="6" max="6" width="10.5" style="7" customWidth="1"/>
    <x:col min="7" max="7" width="11.125" style="7" customWidth="1"/>
    <x:col min="8" max="8" width="24.25" style="3" customWidth="1"/>
    <x:col min="9" max="9" width="41.75" style="3" customWidth="1"/>
    <x:col min="10" max="10" width="15.125" style="23" customWidth="1"/>
    <x:col min="11" max="11" width="11" hidden="0" customWidth="1"/>
    <x:col min="12" max="12" width="14" hidden="0" customWidth="1"/>
    <x:col min="13" max="13" width="14" hidden="0" customWidth="1"/>
    <x:col min="14" max="14" width="10" hidden="0" customWidth="1"/>
    <x:col min="15" max="15" width="13" hidden="0" customWidth="1"/>
    <x:col min="16" max="16" width="10" hidden="0" customWidth="1"/>
  </x:cols>
  <x:sheetData>
    <x:row r="1">
      <x:c r="A1" s="1" t="s">
        <x:v>1132</x:v>
      </x:c>
      <x:c r="B1" s="1" t="s">
        <x:v>1131</x:v>
      </x:c>
      <x:c r="C1" s="1" t="s">
        <x:v>1368</x:v>
      </x:c>
      <x:c r="D1" s="1" t="s">
        <x:v>1369</x:v>
      </x:c>
      <x:c r="E1" s="1" t="s">
        <x:v>1370</x:v>
      </x:c>
      <x:c r="F1" s="22" t="s">
        <x:v>1371</x:v>
      </x:c>
      <x:c r="G1" s="42" t="s">
        <x:v>270</x:v>
      </x:c>
      <x:c r="H1" s="2" t="s">
        <x:v>774</x:v>
      </x:c>
      <x:c r="I1" s="2" t="s">
        <x:v>775</x:v>
      </x:c>
      <x:c r="K1" s="76" t="str">
        <x:v>PriceTier</x:v>
      </x:c>
      <x:c r="L1" s="77" t="str">
        <x:v>PurchasePrice</x:v>
      </x:c>
      <x:c r="M1" s="77" t="str">
        <x:v>SellPrice</x:v>
      </x:c>
      <x:c r="N1" s="78" t="str">
        <x:v>Profit</x:v>
      </x:c>
      <x:c r="O1" s="78" t="str">
        <x:v>ProfitMargin</x:v>
      </x:c>
      <x:c r="P1" s="76" t="str">
        <x:v>PriceUnit</x:v>
      </x:c>
    </x:row>
    <x:row r="2">
      <x:c r="A2" s="7" t="s">
        <x:v>1138</x:v>
      </x:c>
      <x:c r="B2" s="7" t="s">
        <x:v>1137</x:v>
      </x:c>
      <x:c r="C2" s="7" t="s">
        <x:v>1372</x:v>
      </x:c>
      <x:c r="D2" s="7" t="s">
        <x:v>1373</x:v>
      </x:c>
      <x:c r="E2" s="7" t="s">
        <x:v>1374</x:v>
      </x:c>
      <x:c r="F2" s="25" t="s">
        <x:v>1375</x:v>
      </x:c>
      <x:c r="G2" s="25">
        <x:v>0</x:v>
      </x:c>
      <x:c r="H2" s="7" t="s">
        <x:v>1376</x:v>
      </x:c>
      <x:c r="I2" s="7" t="s">
        <x:v>1377</x:v>
      </x:c>
      <x:c r="J2" s="23" t="s">
        <x:v>1378</x:v>
      </x:c>
      <x:c r="K2" s="80" t="str">
        <x:v>常用</x:v>
      </x:c>
      <x:c r="L2" s="82" t="n">
        <x:v>4</x:v>
      </x:c>
      <x:c r="M2" s="82" t="n">
        <x:v>7</x:v>
      </x:c>
      <x:c r="N2" s="82" t="n">
        <x:f>M2-L2</x:f>
        <x:v>3</x:v>
      </x:c>
      <x:c r="O2" s="83" t="n">
        <x:f>IF(M2=0,0,N2/M2)</x:f>
        <x:v>0.42857142857142855</x:v>
      </x:c>
      <x:c r="P2" s="80" t="str">
        <x:v>qian</x:v>
      </x:c>
    </x:row>
    <x:row r="3">
      <x:c r="A3" s="7" t="s">
        <x:v>1142</x:v>
      </x:c>
      <x:c r="B3" s="7" t="s">
        <x:v>1141</x:v>
      </x:c>
      <x:c r="C3" s="7" t="s">
        <x:v>1372</x:v>
      </x:c>
      <x:c r="D3" s="7" t="s">
        <x:v>1379</x:v>
      </x:c>
      <x:c r="E3" s="7" t="s">
        <x:v>1380</x:v>
      </x:c>
      <x:c r="F3" s="25" t="s">
        <x:v>1375</x:v>
      </x:c>
      <x:c r="G3" s="25">
        <x:v>0</x:v>
      </x:c>
      <x:c r="H3" s="7" t="s">
        <x:v>1376</x:v>
      </x:c>
      <x:c r="I3" s="7" t="s">
        <x:v>1381</x:v>
      </x:c>
      <x:c r="J3" s="23" t="s">
        <x:v>1382</x:v>
      </x:c>
      <x:c r="K3" s="80" t="str">
        <x:v>常用</x:v>
      </x:c>
      <x:c r="L3" s="82" t="n">
        <x:v>4</x:v>
      </x:c>
      <x:c r="M3" s="82" t="n">
        <x:v>6</x:v>
      </x:c>
      <x:c r="N3" s="82" t="n">
        <x:f>M3-L3</x:f>
        <x:v>2</x:v>
      </x:c>
      <x:c r="O3" s="83" t="n">
        <x:f>IF(M3=0,0,N3/M3)</x:f>
        <x:v>0.3333333333333333</x:v>
      </x:c>
      <x:c r="P3" s="80" t="str">
        <x:v>qian</x:v>
      </x:c>
    </x:row>
    <x:row r="4">
      <x:c r="A4" s="7" t="s">
        <x:v>1145</x:v>
      </x:c>
      <x:c r="B4" s="7" t="s">
        <x:v>1144</x:v>
      </x:c>
      <x:c r="C4" s="7" t="s">
        <x:v>1372</x:v>
      </x:c>
      <x:c r="D4" s="7" t="s">
        <x:v>1383</x:v>
      </x:c>
      <x:c r="E4" s="7" t="s">
        <x:v>1384</x:v>
      </x:c>
      <x:c r="F4" s="7" t="s">
        <x:v>1385</x:v>
      </x:c>
      <x:c r="G4" s="25">
        <x:v>0</x:v>
      </x:c>
      <x:c r="H4" s="7" t="s">
        <x:v>1376</x:v>
      </x:c>
      <x:c r="I4" s="7" t="s">
        <x:v>1386</x:v>
      </x:c>
      <x:c r="J4" s="23" t="s">
        <x:v>1387</x:v>
      </x:c>
      <x:c r="K4" s="80" t="str">
        <x:v>常用</x:v>
      </x:c>
      <x:c r="L4" s="82" t="n">
        <x:v>4</x:v>
      </x:c>
      <x:c r="M4" s="82" t="n">
        <x:v>7</x:v>
      </x:c>
      <x:c r="N4" s="82" t="n">
        <x:f>M4-L4</x:f>
        <x:v>3</x:v>
      </x:c>
      <x:c r="O4" s="83" t="n">
        <x:f>IF(M4=0,0,N4/M4)</x:f>
        <x:v>0.42857142857142855</x:v>
      </x:c>
      <x:c r="P4" s="80" t="str">
        <x:v>qian</x:v>
      </x:c>
    </x:row>
    <x:row r="5">
      <x:c r="A5" s="7" t="s">
        <x:v>1148</x:v>
      </x:c>
      <x:c r="B5" s="7" t="s">
        <x:v>1147</x:v>
      </x:c>
      <x:c r="C5" s="7" t="s">
        <x:v>1388</x:v>
      </x:c>
      <x:c r="D5" s="7" t="s">
        <x:v>1389</x:v>
      </x:c>
      <x:c r="E5" s="7" t="s">
        <x:v>1390</x:v>
      </x:c>
      <x:c r="F5" s="25" t="s">
        <x:v>1375</x:v>
      </x:c>
      <x:c r="G5" s="25">
        <x:v>0</x:v>
      </x:c>
      <x:c r="H5" s="7" t="s">
        <x:v>1376</x:v>
      </x:c>
      <x:c r="I5" s="7" t="s">
        <x:v>1391</x:v>
      </x:c>
      <x:c r="J5" s="23" t="s">
        <x:v>1392</x:v>
      </x:c>
      <x:c r="K5" s="80" t="str">
        <x:v>平价</x:v>
      </x:c>
      <x:c r="L5" s="82" t="n">
        <x:v>2</x:v>
      </x:c>
      <x:c r="M5" s="82" t="n">
        <x:v>4</x:v>
      </x:c>
      <x:c r="N5" s="82" t="n">
        <x:f>M5-L5</x:f>
        <x:v>2</x:v>
      </x:c>
      <x:c r="O5" s="83" t="n">
        <x:f>IF(M5=0,0,N5/M5)</x:f>
        <x:v>0.5</x:v>
      </x:c>
      <x:c r="P5" s="80" t="str">
        <x:v>qian</x:v>
      </x:c>
    </x:row>
    <x:row r="6">
      <x:c r="A6" s="7" t="s">
        <x:v>1151</x:v>
      </x:c>
      <x:c r="B6" s="7" t="s">
        <x:v>1150</x:v>
      </x:c>
      <x:c r="C6" s="7" t="s">
        <x:v>1393</x:v>
      </x:c>
      <x:c r="D6" s="7" t="s">
        <x:v>1383</x:v>
      </x:c>
      <x:c r="E6" s="7" t="s">
        <x:v>1394</x:v>
      </x:c>
      <x:c r="F6" s="25" t="s">
        <x:v>1375</x:v>
      </x:c>
      <x:c r="G6" s="25">
        <x:v>0</x:v>
      </x:c>
      <x:c r="H6" s="7" t="s">
        <x:v>1376</x:v>
      </x:c>
      <x:c r="I6" s="7" t="s">
        <x:v>1395</x:v>
      </x:c>
      <x:c r="J6" s="23" t="s">
        <x:v>1396</x:v>
      </x:c>
      <x:c r="K6" s="80" t="str">
        <x:v>常用</x:v>
      </x:c>
      <x:c r="L6" s="82" t="n">
        <x:v>5</x:v>
      </x:c>
      <x:c r="M6" s="82" t="n">
        <x:v>8</x:v>
      </x:c>
      <x:c r="N6" s="82" t="n">
        <x:f>M6-L6</x:f>
        <x:v>3</x:v>
      </x:c>
      <x:c r="O6" s="83" t="n">
        <x:f>IF(M6=0,0,N6/M6)</x:f>
        <x:v>0.375</x:v>
      </x:c>
      <x:c r="P6" s="80" t="str">
        <x:v>qian</x:v>
      </x:c>
    </x:row>
    <x:row r="7">
      <x:c r="A7" s="7" t="s">
        <x:v>1153</x:v>
      </x:c>
      <x:c r="B7" s="7" t="s">
        <x:v>1152</x:v>
      </x:c>
      <x:c r="C7" s="7" t="s">
        <x:v>1372</x:v>
      </x:c>
      <x:c r="D7" s="7" t="s">
        <x:v>1397</x:v>
      </x:c>
      <x:c r="E7" s="7" t="s">
        <x:v>1384</x:v>
      </x:c>
      <x:c r="F7" s="25" t="s">
        <x:v>1375</x:v>
      </x:c>
      <x:c r="G7" s="25">
        <x:v>0</x:v>
      </x:c>
      <x:c r="H7" s="7" t="s">
        <x:v>1376</x:v>
      </x:c>
      <x:c r="I7" s="25" t="s">
        <x:v>1398</x:v>
      </x:c>
      <x:c r="J7" s="23" t="s">
        <x:v>1399</x:v>
      </x:c>
      <x:c r="K7" s="80" t="str">
        <x:v>平价</x:v>
      </x:c>
      <x:c r="L7" s="82" t="n">
        <x:v>1</x:v>
      </x:c>
      <x:c r="M7" s="82" t="n">
        <x:v>2</x:v>
      </x:c>
      <x:c r="N7" s="82" t="n">
        <x:f>M7-L7</x:f>
        <x:v>1</x:v>
      </x:c>
      <x:c r="O7" s="83" t="n">
        <x:f>IF(M7=0,0,N7/M7)</x:f>
        <x:v>0.5</x:v>
      </x:c>
      <x:c r="P7" s="80" t="str">
        <x:v>qian</x:v>
      </x:c>
    </x:row>
    <x:row r="8">
      <x:c r="A8" s="7" t="s">
        <x:v>1155</x:v>
      </x:c>
      <x:c r="B8" s="7" t="s">
        <x:v>1154</x:v>
      </x:c>
      <x:c r="C8" s="7" t="s">
        <x:v>1372</x:v>
      </x:c>
      <x:c r="D8" s="7" t="s">
        <x:v>1389</x:v>
      </x:c>
      <x:c r="E8" s="7" t="s">
        <x:v>1400</x:v>
      </x:c>
      <x:c r="F8" s="25" t="s">
        <x:v>1375</x:v>
      </x:c>
      <x:c r="G8" s="25">
        <x:v>0</x:v>
      </x:c>
      <x:c r="H8" s="7" t="s">
        <x:v>1376</x:v>
      </x:c>
      <x:c r="I8" s="7" t="s">
        <x:v>1401</x:v>
      </x:c>
      <x:c r="J8" s="23" t="s">
        <x:v>1387</x:v>
      </x:c>
      <x:c r="K8" s="80" t="str">
        <x:v>平价</x:v>
      </x:c>
      <x:c r="L8" s="82" t="n">
        <x:v>2</x:v>
      </x:c>
      <x:c r="M8" s="82" t="n">
        <x:v>4</x:v>
      </x:c>
      <x:c r="N8" s="82" t="n">
        <x:f>M8-L8</x:f>
        <x:v>2</x:v>
      </x:c>
      <x:c r="O8" s="83" t="n">
        <x:f>IF(M8=0,0,N8/M8)</x:f>
        <x:v>0.5</x:v>
      </x:c>
      <x:c r="P8" s="80" t="str">
        <x:v>qian</x:v>
      </x:c>
    </x:row>
    <x:row r="9">
      <x:c r="A9" s="7" t="s">
        <x:v>1157</x:v>
      </x:c>
      <x:c r="B9" s="7" t="s">
        <x:v>1156</x:v>
      </x:c>
      <x:c r="C9" s="7" t="s">
        <x:v>1393</x:v>
      </x:c>
      <x:c r="D9" s="7" t="s">
        <x:v>1389</x:v>
      </x:c>
      <x:c r="E9" s="7" t="s">
        <x:v>1390</x:v>
      </x:c>
      <x:c r="F9" s="25" t="s">
        <x:v>1375</x:v>
      </x:c>
      <x:c r="G9" s="25">
        <x:v>1</x:v>
      </x:c>
      <x:c r="H9" s="7" t="s">
        <x:v>1376</x:v>
      </x:c>
      <x:c r="I9" s="7" t="s">
        <x:v>1402</x:v>
      </x:c>
      <x:c r="J9" s="23" t="s">
        <x:v>1403</x:v>
      </x:c>
      <x:c r="K9" s="80" t="str">
        <x:v>上品</x:v>
      </x:c>
      <x:c r="L9" s="82" t="n">
        <x:v>8</x:v>
      </x:c>
      <x:c r="M9" s="82" t="n">
        <x:v>14</x:v>
      </x:c>
      <x:c r="N9" s="82" t="n">
        <x:f>M9-L9</x:f>
        <x:v>6</x:v>
      </x:c>
      <x:c r="O9" s="83" t="n">
        <x:f>IF(M9=0,0,N9/M9)</x:f>
        <x:v>0.42857142857142855</x:v>
      </x:c>
      <x:c r="P9" s="80" t="str">
        <x:v>qian</x:v>
      </x:c>
    </x:row>
    <x:row r="10">
      <x:c r="A10" s="7" t="s">
        <x:v>1160</x:v>
      </x:c>
      <x:c r="B10" s="7" t="s">
        <x:v>1159</x:v>
      </x:c>
      <x:c r="C10" s="7" t="s">
        <x:v>1393</x:v>
      </x:c>
      <x:c r="D10" s="7" t="s">
        <x:v>1383</x:v>
      </x:c>
      <x:c r="E10" s="7" t="s">
        <x:v>1390</x:v>
      </x:c>
      <x:c r="F10" s="25" t="s">
        <x:v>1375</x:v>
      </x:c>
      <x:c r="G10" s="25">
        <x:v>2</x:v>
      </x:c>
      <x:c r="H10" s="7" t="s">
        <x:v>1376</x:v>
      </x:c>
      <x:c r="I10" s="7" t="s">
        <x:v>1404</x:v>
      </x:c>
      <x:c r="J10" s="23" t="s">
        <x:v>1405</x:v>
      </x:c>
      <x:c r="K10" s="80" t="str">
        <x:v>上品</x:v>
      </x:c>
      <x:c r="L10" s="82" t="n">
        <x:v>7</x:v>
      </x:c>
      <x:c r="M10" s="82" t="n">
        <x:v>12</x:v>
      </x:c>
      <x:c r="N10" s="82" t="n">
        <x:f>M10-L10</x:f>
        <x:v>5</x:v>
      </x:c>
      <x:c r="O10" s="83" t="n">
        <x:f>IF(M10=0,0,N10/M10)</x:f>
        <x:v>0.4166666666666667</x:v>
      </x:c>
      <x:c r="P10" s="80" t="str">
        <x:v>qian</x:v>
      </x:c>
    </x:row>
    <x:row r="11">
      <x:c r="A11" s="7" t="s">
        <x:v>1162</x:v>
      </x:c>
      <x:c r="B11" s="7" t="s">
        <x:v>1161</x:v>
      </x:c>
      <x:c r="C11" s="7" t="s">
        <x:v>1393</x:v>
      </x:c>
      <x:c r="D11" s="7" t="s">
        <x:v>1373</x:v>
      </x:c>
      <x:c r="E11" s="7" t="s">
        <x:v>1384</x:v>
      </x:c>
      <x:c r="F11" s="25" t="s">
        <x:v>1375</x:v>
      </x:c>
      <x:c r="G11" s="25">
        <x:v>3</x:v>
      </x:c>
      <x:c r="H11" s="7" t="s">
        <x:v>1376</x:v>
      </x:c>
      <x:c r="I11" s="7" t="s">
        <x:v>1406</x:v>
      </x:c>
      <x:c r="J11" s="23" t="s">
        <x:v>1378</x:v>
      </x:c>
      <x:c r="K11" s="80" t="str">
        <x:v>常用</x:v>
      </x:c>
      <x:c r="L11" s="82" t="n">
        <x:v>4</x:v>
      </x:c>
      <x:c r="M11" s="82" t="n">
        <x:v>8</x:v>
      </x:c>
      <x:c r="N11" s="82" t="n">
        <x:f>M11-L11</x:f>
        <x:v>4</x:v>
      </x:c>
      <x:c r="O11" s="83" t="n">
        <x:f>IF(M11=0,0,N11/M11)</x:f>
        <x:v>0.5</x:v>
      </x:c>
      <x:c r="P11" s="80" t="str">
        <x:v>qian</x:v>
      </x:c>
    </x:row>
    <x:row r="12">
      <x:c r="A12" s="7" t="s">
        <x:v>1164</x:v>
      </x:c>
      <x:c r="B12" s="7" t="s">
        <x:v>1163</x:v>
      </x:c>
      <x:c r="C12" s="7" t="s">
        <x:v>1372</x:v>
      </x:c>
      <x:c r="D12" s="7" t="s">
        <x:v>1397</x:v>
      </x:c>
      <x:c r="E12" s="7" t="s">
        <x:v>1407</x:v>
      </x:c>
      <x:c r="F12" s="25" t="s">
        <x:v>1375</x:v>
      </x:c>
      <x:c r="G12" s="25">
        <x:v>4</x:v>
      </x:c>
      <x:c r="H12" s="7" t="s">
        <x:v>1376</x:v>
      </x:c>
      <x:c r="I12" s="7" t="s">
        <x:v>1408</x:v>
      </x:c>
      <x:c r="J12" s="23" t="s">
        <x:v>1396</x:v>
      </x:c>
      <x:c r="K12" s="80" t="str">
        <x:v>平价</x:v>
      </x:c>
      <x:c r="L12" s="82" t="n">
        <x:v>3</x:v>
      </x:c>
      <x:c r="M12" s="82" t="n">
        <x:v>6</x:v>
      </x:c>
      <x:c r="N12" s="82" t="n">
        <x:f>M12-L12</x:f>
        <x:v>3</x:v>
      </x:c>
      <x:c r="O12" s="83" t="n">
        <x:f>IF(M12=0,0,N12/M12)</x:f>
        <x:v>0.5</x:v>
      </x:c>
      <x:c r="P12" s="80" t="str">
        <x:v>qian</x:v>
      </x:c>
    </x:row>
    <x:row r="13">
      <x:c r="A13" s="7" t="s">
        <x:v>1166</x:v>
      </x:c>
      <x:c r="B13" s="7" t="s">
        <x:v>1165</x:v>
      </x:c>
      <x:c r="C13" s="7" t="s">
        <x:v>1409</x:v>
      </x:c>
      <x:c r="D13" s="7" t="s">
        <x:v>1397</x:v>
      </x:c>
      <x:c r="E13" s="7" t="s">
        <x:v>1407</x:v>
      </x:c>
      <x:c r="F13" s="25" t="s">
        <x:v>1375</x:v>
      </x:c>
      <x:c r="G13" s="25">
        <x:v>5</x:v>
      </x:c>
      <x:c r="H13" s="7" t="s">
        <x:v>1376</x:v>
      </x:c>
      <x:c r="I13" s="7" t="s">
        <x:v>1410</x:v>
      </x:c>
      <x:c r="J13" s="23" t="s">
        <x:v>1396</x:v>
      </x:c>
      <x:c r="K13" s="80" t="str">
        <x:v>平价</x:v>
      </x:c>
      <x:c r="L13" s="82" t="n">
        <x:v>3</x:v>
      </x:c>
      <x:c r="M13" s="82" t="n">
        <x:v>6</x:v>
      </x:c>
      <x:c r="N13" s="82" t="n">
        <x:f>M13-L13</x:f>
        <x:v>3</x:v>
      </x:c>
      <x:c r="O13" s="83" t="n">
        <x:f>IF(M13=0,0,N13/M13)</x:f>
        <x:v>0.5</x:v>
      </x:c>
      <x:c r="P13" s="80" t="str">
        <x:v>qian</x:v>
      </x:c>
    </x:row>
    <x:row r="14">
      <x:c r="A14" s="7" t="s">
        <x:v>1168</x:v>
      </x:c>
      <x:c r="B14" s="11" t="s">
        <x:v>1167</x:v>
      </x:c>
      <x:c r="C14" s="7" t="s">
        <x:v>1409</x:v>
      </x:c>
      <x:c r="D14" s="7" t="s">
        <x:v>1411</x:v>
      </x:c>
      <x:c r="E14" s="7" t="s">
        <x:v>1384</x:v>
      </x:c>
      <x:c r="F14" s="25" t="s">
        <x:v>1375</x:v>
      </x:c>
      <x:c r="G14" s="25">
        <x:v>6</x:v>
      </x:c>
      <x:c r="H14" s="7" t="s">
        <x:v>1376</x:v>
      </x:c>
      <x:c r="I14" s="7" t="s">
        <x:v>1412</x:v>
      </x:c>
      <x:c r="J14" s="23" t="s">
        <x:v>1413</x:v>
      </x:c>
      <x:c r="K14" s="80" t="str">
        <x:v>平价</x:v>
      </x:c>
      <x:c r="L14" s="82" t="n">
        <x:v>2</x:v>
      </x:c>
      <x:c r="M14" s="82" t="n">
        <x:v>4</x:v>
      </x:c>
      <x:c r="N14" s="82" t="n">
        <x:f>M14-L14</x:f>
        <x:v>2</x:v>
      </x:c>
      <x:c r="O14" s="83" t="n">
        <x:f>IF(M14=0,0,N14/M14)</x:f>
        <x:v>0.5</x:v>
      </x:c>
      <x:c r="P14" s="80" t="str">
        <x:v>qian</x:v>
      </x:c>
    </x:row>
    <x:row r="15">
      <x:c r="A15" s="7" t="s">
        <x:v>1170</x:v>
      </x:c>
      <x:c r="B15" s="7" t="s">
        <x:v>1169</x:v>
      </x:c>
      <x:c r="C15" s="7" t="s">
        <x:v>1388</x:v>
      </x:c>
      <x:c r="D15" s="7" t="s">
        <x:v>1411</x:v>
      </x:c>
      <x:c r="E15" s="7" t="s">
        <x:v>1414</x:v>
      </x:c>
      <x:c r="F15" s="7" t="s">
        <x:v>1385</x:v>
      </x:c>
      <x:c r="G15" s="25">
        <x:v>7</x:v>
      </x:c>
      <x:c r="H15" s="7" t="s">
        <x:v>1376</x:v>
      </x:c>
      <x:c r="I15" s="7" t="s">
        <x:v>1415</x:v>
      </x:c>
      <x:c r="J15" s="23" t="s">
        <x:v>1392</x:v>
      </x:c>
      <x:c r="K15" s="80" t="str">
        <x:v>常用</x:v>
      </x:c>
      <x:c r="L15" s="82" t="n">
        <x:v>4</x:v>
      </x:c>
      <x:c r="M15" s="82" t="n">
        <x:v>7</x:v>
      </x:c>
      <x:c r="N15" s="82" t="n">
        <x:f>M15-L15</x:f>
        <x:v>3</x:v>
      </x:c>
      <x:c r="O15" s="83" t="n">
        <x:f>IF(M15=0,0,N15/M15)</x:f>
        <x:v>0.42857142857142855</x:v>
      </x:c>
      <x:c r="P15" s="80" t="str">
        <x:v>qian</x:v>
      </x:c>
    </x:row>
    <x:row r="16">
      <x:c r="A16" s="7" t="s">
        <x:v>1172</x:v>
      </x:c>
      <x:c r="B16" s="7" t="s">
        <x:v>1171</x:v>
      </x:c>
      <x:c r="C16" s="7" t="s">
        <x:v>1393</x:v>
      </x:c>
      <x:c r="D16" s="7" t="s">
        <x:v>1389</x:v>
      </x:c>
      <x:c r="E16" s="7" t="s">
        <x:v>1384</x:v>
      </x:c>
      <x:c r="F16" s="25" t="s">
        <x:v>1375</x:v>
      </x:c>
      <x:c r="G16" s="25">
        <x:v>8</x:v>
      </x:c>
      <x:c r="H16" s="7" t="s">
        <x:v>1376</x:v>
      </x:c>
      <x:c r="I16" s="7" t="s">
        <x:v>1416</x:v>
      </x:c>
      <x:c r="J16" s="23" t="s">
        <x:v>1378</x:v>
      </x:c>
      <x:c r="K16" s="80" t="str">
        <x:v>平价</x:v>
      </x:c>
      <x:c r="L16" s="82" t="n">
        <x:v>2</x:v>
      </x:c>
      <x:c r="M16" s="82" t="n">
        <x:v>4</x:v>
      </x:c>
      <x:c r="N16" s="82" t="n">
        <x:f>M16-L16</x:f>
        <x:v>2</x:v>
      </x:c>
      <x:c r="O16" s="83" t="n">
        <x:f>IF(M16=0,0,N16/M16)</x:f>
        <x:v>0.5</x:v>
      </x:c>
      <x:c r="P16" s="80" t="str">
        <x:v>qian</x:v>
      </x:c>
    </x:row>
    <x:row r="17">
      <x:c r="A17" s="7" t="s">
        <x:v>1174</x:v>
      </x:c>
      <x:c r="B17" s="7" t="s">
        <x:v>1173</x:v>
      </x:c>
      <x:c r="C17" s="7" t="s">
        <x:v>1393</x:v>
      </x:c>
      <x:c r="D17" s="7" t="s">
        <x:v>1417</x:v>
      </x:c>
      <x:c r="E17" s="7" t="s">
        <x:v>1400</x:v>
      </x:c>
      <x:c r="F17" s="25" t="s">
        <x:v>1375</x:v>
      </x:c>
      <x:c r="G17" s="25">
        <x:v>9</x:v>
      </x:c>
      <x:c r="H17" s="7" t="s">
        <x:v>1376</x:v>
      </x:c>
      <x:c r="I17" s="7" t="s">
        <x:v>1418</x:v>
      </x:c>
      <x:c r="J17" s="23" t="s">
        <x:v>1419</x:v>
      </x:c>
      <x:c r="K17" s="80" t="str">
        <x:v>平价</x:v>
      </x:c>
      <x:c r="L17" s="82" t="n">
        <x:v>2</x:v>
      </x:c>
      <x:c r="M17" s="82" t="n">
        <x:v>4</x:v>
      </x:c>
      <x:c r="N17" s="82" t="n">
        <x:f>M17-L17</x:f>
        <x:v>2</x:v>
      </x:c>
      <x:c r="O17" s="83" t="n">
        <x:f>IF(M17=0,0,N17/M17)</x:f>
        <x:v>0.5</x:v>
      </x:c>
      <x:c r="P17" s="80" t="str">
        <x:v>qian</x:v>
      </x:c>
    </x:row>
    <x:row r="18">
      <x:c r="A18" s="7" t="s">
        <x:v>1176</x:v>
      </x:c>
      <x:c r="B18" s="7" t="s">
        <x:v>1175</x:v>
      </x:c>
      <x:c r="C18" s="7" t="s">
        <x:v>1393</x:v>
      </x:c>
      <x:c r="D18" s="7" t="s">
        <x:v>1420</x:v>
      </x:c>
      <x:c r="E18" s="7" t="s">
        <x:v>1407</x:v>
      </x:c>
      <x:c r="F18" s="25" t="s">
        <x:v>1375</x:v>
      </x:c>
      <x:c r="G18" s="25">
        <x:v>10</x:v>
      </x:c>
      <x:c r="H18" s="7" t="s">
        <x:v>1376</x:v>
      </x:c>
      <x:c r="I18" s="7" t="s">
        <x:v>1421</x:v>
      </x:c>
      <x:c r="J18" s="23" t="s">
        <x:v>1422</x:v>
      </x:c>
      <x:c r="K18" s="80" t="str">
        <x:v>平价</x:v>
      </x:c>
      <x:c r="L18" s="82" t="n">
        <x:v>3</x:v>
      </x:c>
      <x:c r="M18" s="82" t="n">
        <x:v>6</x:v>
      </x:c>
      <x:c r="N18" s="82" t="n">
        <x:f>M18-L18</x:f>
        <x:v>3</x:v>
      </x:c>
      <x:c r="O18" s="83" t="n">
        <x:f>IF(M18=0,0,N18/M18)</x:f>
        <x:v>0.5</x:v>
      </x:c>
      <x:c r="P18" s="80" t="str">
        <x:v>qian</x:v>
      </x:c>
    </x:row>
    <x:row r="19">
      <x:c r="A19" s="7" t="s">
        <x:v>1178</x:v>
      </x:c>
      <x:c r="B19" s="7" t="s">
        <x:v>1177</x:v>
      </x:c>
      <x:c r="C19" s="7" t="s">
        <x:v>1393</x:v>
      </x:c>
      <x:c r="D19" s="7" t="s">
        <x:v>1389</x:v>
      </x:c>
      <x:c r="E19" s="7" t="s">
        <x:v>1384</x:v>
      </x:c>
      <x:c r="F19" s="25" t="s">
        <x:v>1375</x:v>
      </x:c>
      <x:c r="G19" s="25">
        <x:v>11</x:v>
      </x:c>
      <x:c r="H19" s="7" t="s">
        <x:v>1376</x:v>
      </x:c>
      <x:c r="I19" s="7" t="s">
        <x:v>1423</x:v>
      </x:c>
      <x:c r="J19" s="23" t="s">
        <x:v>1392</x:v>
      </x:c>
      <x:c r="K19" s="80" t="str">
        <x:v>常用</x:v>
      </x:c>
      <x:c r="L19" s="82" t="n">
        <x:v>6</x:v>
      </x:c>
      <x:c r="M19" s="82" t="n">
        <x:v>11</x:v>
      </x:c>
      <x:c r="N19" s="82" t="n">
        <x:f>M19-L19</x:f>
        <x:v>5</x:v>
      </x:c>
      <x:c r="O19" s="83" t="n">
        <x:f>IF(M19=0,0,N19/M19)</x:f>
        <x:v>0.45454545454545453</x:v>
      </x:c>
      <x:c r="P19" s="80" t="str">
        <x:v>qian</x:v>
      </x:c>
    </x:row>
    <x:row r="20">
      <x:c r="A20" s="7" t="s">
        <x:v>1180</x:v>
      </x:c>
      <x:c r="B20" s="7" t="s">
        <x:v>1179</x:v>
      </x:c>
      <x:c r="C20" s="7" t="s">
        <x:v>1393</x:v>
      </x:c>
      <x:c r="D20" s="7" t="s">
        <x:v>1420</x:v>
      </x:c>
      <x:c r="E20" s="7" t="s">
        <x:v>1424</x:v>
      </x:c>
      <x:c r="F20" s="25" t="s">
        <x:v>1375</x:v>
      </x:c>
      <x:c r="G20" s="25">
        <x:v>12</x:v>
      </x:c>
      <x:c r="H20" s="7" t="s">
        <x:v>1376</x:v>
      </x:c>
      <x:c r="I20" s="7" t="s">
        <x:v>1425</x:v>
      </x:c>
      <x:c r="J20" s="23" t="s">
        <x:v>1426</x:v>
      </x:c>
      <x:c r="K20" s="80" t="str">
        <x:v>上品</x:v>
      </x:c>
      <x:c r="L20" s="82" t="n">
        <x:v>12</x:v>
      </x:c>
      <x:c r="M20" s="82" t="n">
        <x:v>20</x:v>
      </x:c>
      <x:c r="N20" s="82" t="n">
        <x:f>M20-L20</x:f>
        <x:v>8</x:v>
      </x:c>
      <x:c r="O20" s="83" t="n">
        <x:f>IF(M20=0,0,N20/M20)</x:f>
        <x:v>0.4</x:v>
      </x:c>
      <x:c r="P20" s="80" t="str">
        <x:v>qian</x:v>
      </x:c>
    </x:row>
    <x:row r="21">
      <x:c r="A21" s="7" t="s">
        <x:v>1182</x:v>
      </x:c>
      <x:c r="B21" s="11" t="s">
        <x:v>1181</x:v>
      </x:c>
      <x:c r="C21" s="7" t="s">
        <x:v>1393</x:v>
      </x:c>
      <x:c r="D21" s="7" t="s">
        <x:v>1383</x:v>
      </x:c>
      <x:c r="E21" s="7" t="s">
        <x:v>1424</x:v>
      </x:c>
      <x:c r="F21" s="25" t="s">
        <x:v>1375</x:v>
      </x:c>
      <x:c r="G21" s="25">
        <x:v>13</x:v>
      </x:c>
      <x:c r="H21" s="7" t="s">
        <x:v>1376</x:v>
      </x:c>
      <x:c r="I21" s="7" t="s">
        <x:v>1427</x:v>
      </x:c>
      <x:c r="J21" s="23" t="s">
        <x:v>1422</x:v>
      </x:c>
      <x:c r="K21" s="80" t="str">
        <x:v>常用</x:v>
      </x:c>
      <x:c r="L21" s="82" t="n">
        <x:v>4</x:v>
      </x:c>
      <x:c r="M21" s="82" t="n">
        <x:v>7</x:v>
      </x:c>
      <x:c r="N21" s="82" t="n">
        <x:f>M21-L21</x:f>
        <x:v>3</x:v>
      </x:c>
      <x:c r="O21" s="83" t="n">
        <x:f>IF(M21=0,0,N21/M21)</x:f>
        <x:v>0.42857142857142855</x:v>
      </x:c>
      <x:c r="P21" s="80" t="str">
        <x:v>qian</x:v>
      </x:c>
    </x:row>
    <x:row r="22">
      <x:c r="A22" s="7" t="s">
        <x:v>1184</x:v>
      </x:c>
      <x:c r="B22" s="7" t="s">
        <x:v>1183</x:v>
      </x:c>
      <x:c r="C22" s="7" t="s">
        <x:v>1409</x:v>
      </x:c>
      <x:c r="D22" s="7" t="s">
        <x:v>1428</x:v>
      </x:c>
      <x:c r="E22" s="7" t="s">
        <x:v>1384</x:v>
      </x:c>
      <x:c r="F22" s="25" t="s">
        <x:v>1375</x:v>
      </x:c>
      <x:c r="G22" s="25">
        <x:v>14</x:v>
      </x:c>
      <x:c r="H22" s="7" t="s">
        <x:v>1376</x:v>
      </x:c>
      <x:c r="I22" s="7" t="s">
        <x:v>1429</x:v>
      </x:c>
      <x:c r="J22" s="23" t="s">
        <x:v>1430</x:v>
      </x:c>
      <x:c r="K22" s="80" t="str">
        <x:v>平价</x:v>
      </x:c>
      <x:c r="L22" s="82" t="n">
        <x:v>1</x:v>
      </x:c>
      <x:c r="M22" s="82" t="n">
        <x:v>2</x:v>
      </x:c>
      <x:c r="N22" s="82" t="n">
        <x:f>M22-L22</x:f>
        <x:v>1</x:v>
      </x:c>
      <x:c r="O22" s="83" t="n">
        <x:f>IF(M22=0,0,N22/M22)</x:f>
        <x:v>0.5</x:v>
      </x:c>
      <x:c r="P22" s="80" t="str">
        <x:v>qian</x:v>
      </x:c>
    </x:row>
    <x:row r="23">
      <x:c r="A23" s="7" t="s">
        <x:v>1186</x:v>
      </x:c>
      <x:c r="B23" s="7" t="s">
        <x:v>1185</x:v>
      </x:c>
      <x:c r="C23" s="7" t="s">
        <x:v>1372</x:v>
      </x:c>
      <x:c r="D23" s="7" t="s">
        <x:v>1397</x:v>
      </x:c>
      <x:c r="E23" s="7" t="s">
        <x:v>1384</x:v>
      </x:c>
      <x:c r="F23" s="25" t="s">
        <x:v>1375</x:v>
      </x:c>
      <x:c r="G23" s="25">
        <x:v>15</x:v>
      </x:c>
      <x:c r="H23" s="7" t="s">
        <x:v>1376</x:v>
      </x:c>
      <x:c r="I23" s="7" t="s">
        <x:v>1431</x:v>
      </x:c>
      <x:c r="J23" s="23" t="s">
        <x:v>1396</x:v>
      </x:c>
      <x:c r="K23" s="80" t="str">
        <x:v>平价</x:v>
      </x:c>
      <x:c r="L23" s="82" t="n">
        <x:v>3</x:v>
      </x:c>
      <x:c r="M23" s="82" t="n">
        <x:v>6</x:v>
      </x:c>
      <x:c r="N23" s="82" t="n">
        <x:f>M23-L23</x:f>
        <x:v>3</x:v>
      </x:c>
      <x:c r="O23" s="83" t="n">
        <x:f>IF(M23=0,0,N23/M23)</x:f>
        <x:v>0.5</x:v>
      </x:c>
      <x:c r="P23" s="80" t="str">
        <x:v>qian</x:v>
      </x:c>
    </x:row>
    <x:row r="24">
      <x:c r="A24" s="7" t="s">
        <x:v>24</x:v>
      </x:c>
      <x:c r="B24" s="7" t="s">
        <x:v>25</x:v>
      </x:c>
      <x:c r="C24" s="7" t="s">
        <x:v>1372</x:v>
      </x:c>
      <x:c r="D24" s="7" t="s">
        <x:v>1397</x:v>
      </x:c>
      <x:c r="E24" s="7" t="s">
        <x:v>1384</x:v>
      </x:c>
      <x:c r="F24" s="7" t="s">
        <x:v>1432</x:v>
      </x:c>
      <x:c r="G24" s="25">
        <x:v>16</x:v>
      </x:c>
      <x:c r="H24" s="7" t="s">
        <x:v>1376</x:v>
      </x:c>
      <x:c r="I24" s="7" t="s">
        <x:v>1433</x:v>
      </x:c>
      <x:c r="J24" s="23" t="s">
        <x:v>1434</x:v>
      </x:c>
      <x:c r="K24" s="80" t="str">
        <x:v>常用</x:v>
      </x:c>
      <x:c r="L24" s="82" t="n">
        <x:v>5</x:v>
      </x:c>
      <x:c r="M24" s="82" t="n">
        <x:v>9</x:v>
      </x:c>
      <x:c r="N24" s="82" t="n">
        <x:f>M24-L24</x:f>
        <x:v>4</x:v>
      </x:c>
      <x:c r="O24" s="83" t="n">
        <x:f>IF(M24=0,0,N24/M24)</x:f>
        <x:v>0.4444444444444444</x:v>
      </x:c>
      <x:c r="P24" s="80" t="str">
        <x:v>qian</x:v>
      </x:c>
    </x:row>
    <x:row r="25">
      <x:c r="A25" s="7" t="s">
        <x:v>1188</x:v>
      </x:c>
      <x:c r="B25" s="7" t="s">
        <x:v>1187</x:v>
      </x:c>
      <x:c r="C25" s="7" t="s">
        <x:v>1393</x:v>
      </x:c>
      <x:c r="D25" s="7" t="s">
        <x:v>1411</x:v>
      </x:c>
      <x:c r="E25" s="7" t="s">
        <x:v>1414</x:v>
      </x:c>
      <x:c r="F25" s="25" t="s">
        <x:v>1375</x:v>
      </x:c>
      <x:c r="G25" s="25">
        <x:v>17</x:v>
      </x:c>
      <x:c r="H25" s="7" t="s">
        <x:v>1376</x:v>
      </x:c>
      <x:c r="I25" s="7" t="s">
        <x:v>1435</x:v>
      </x:c>
      <x:c r="J25" s="23" t="s">
        <x:v>1426</x:v>
      </x:c>
      <x:c r="K25" s="80" t="str">
        <x:v>常用</x:v>
      </x:c>
      <x:c r="L25" s="82" t="n">
        <x:v>5</x:v>
      </x:c>
      <x:c r="M25" s="82" t="n">
        <x:v>9</x:v>
      </x:c>
      <x:c r="N25" s="82" t="n">
        <x:f>M25-L25</x:f>
        <x:v>4</x:v>
      </x:c>
      <x:c r="O25" s="83" t="n">
        <x:f>IF(M25=0,0,N25/M25)</x:f>
        <x:v>0.4444444444444444</x:v>
      </x:c>
      <x:c r="P25" s="80" t="str">
        <x:v>qian</x:v>
      </x:c>
    </x:row>
    <x:row r="26">
      <x:c r="A26" s="7" t="s">
        <x:v>22</x:v>
      </x:c>
      <x:c r="B26" s="7" t="s">
        <x:v>23</x:v>
      </x:c>
      <x:c r="C26" s="7" t="s">
        <x:v>1393</x:v>
      </x:c>
      <x:c r="D26" s="7" t="s">
        <x:v>1411</x:v>
      </x:c>
      <x:c r="E26" s="7" t="s">
        <x:v>1384</x:v>
      </x:c>
      <x:c r="F26" s="25" t="s">
        <x:v>1375</x:v>
      </x:c>
      <x:c r="G26" s="25">
        <x:v>18</x:v>
      </x:c>
      <x:c r="H26" s="7" t="s">
        <x:v>1376</x:v>
      </x:c>
      <x:c r="I26" s="7" t="s">
        <x:v>1436</x:v>
      </x:c>
      <x:c r="J26" s="23" t="s">
        <x:v>1430</x:v>
      </x:c>
      <x:c r="K26" s="80" t="str">
        <x:v>平价</x:v>
      </x:c>
      <x:c r="L26" s="82" t="n">
        <x:v>3</x:v>
      </x:c>
      <x:c r="M26" s="82" t="n">
        <x:v>5</x:v>
      </x:c>
      <x:c r="N26" s="82" t="n">
        <x:f>M26-L26</x:f>
        <x:v>2</x:v>
      </x:c>
      <x:c r="O26" s="83" t="n">
        <x:f>IF(M26=0,0,N26/M26)</x:f>
        <x:v>0.4</x:v>
      </x:c>
      <x:c r="P26" s="80" t="str">
        <x:v>qian</x:v>
      </x:c>
    </x:row>
    <x:row r="27">
      <x:c r="A27" s="7" t="s">
        <x:v>1190</x:v>
      </x:c>
      <x:c r="B27" s="7" t="s">
        <x:v>1189</x:v>
      </x:c>
      <x:c r="C27" s="7" t="s">
        <x:v>1388</x:v>
      </x:c>
      <x:c r="D27" s="7" t="s">
        <x:v>1417</x:v>
      </x:c>
      <x:c r="E27" s="7" t="s">
        <x:v>1437</x:v>
      </x:c>
      <x:c r="F27" s="25" t="s">
        <x:v>1375</x:v>
      </x:c>
      <x:c r="G27" s="25">
        <x:v>19</x:v>
      </x:c>
      <x:c r="H27" s="7" t="s">
        <x:v>1376</x:v>
      </x:c>
      <x:c r="I27" s="7" t="s">
        <x:v>1438</x:v>
      </x:c>
      <x:c r="J27" s="23" t="s">
        <x:v>1439</x:v>
      </x:c>
      <x:c r="K27" s="80" t="str">
        <x:v>常用</x:v>
      </x:c>
      <x:c r="L27" s="82" t="n">
        <x:v>5</x:v>
      </x:c>
      <x:c r="M27" s="82" t="n">
        <x:v>8</x:v>
      </x:c>
      <x:c r="N27" s="82" t="n">
        <x:f>M27-L27</x:f>
        <x:v>3</x:v>
      </x:c>
      <x:c r="O27" s="83" t="n">
        <x:f>IF(M27=0,0,N27/M27)</x:f>
        <x:v>0.375</x:v>
      </x:c>
      <x:c r="P27" s="80" t="str">
        <x:v>qian</x:v>
      </x:c>
    </x:row>
    <x:row r="28">
      <x:c r="A28" s="7" t="s">
        <x:v>1192</x:v>
      </x:c>
      <x:c r="B28" s="7" t="s">
        <x:v>1191</x:v>
      </x:c>
      <x:c r="C28" s="7" t="s">
        <x:v>1393</x:v>
      </x:c>
      <x:c r="D28" s="7" t="s">
        <x:v>1440</x:v>
      </x:c>
      <x:c r="E28" s="7" t="s">
        <x:v>1384</x:v>
      </x:c>
      <x:c r="F28" s="25" t="s">
        <x:v>1375</x:v>
      </x:c>
      <x:c r="G28" s="25">
        <x:v>20</x:v>
      </x:c>
      <x:c r="H28" s="7" t="s">
        <x:v>1376</x:v>
      </x:c>
      <x:c r="I28" s="7" t="s">
        <x:v>1441</x:v>
      </x:c>
      <x:c r="J28" s="23" t="s">
        <x:v>1422</x:v>
      </x:c>
      <x:c r="K28" s="80" t="str">
        <x:v>常用</x:v>
      </x:c>
      <x:c r="L28" s="82" t="n">
        <x:v>4</x:v>
      </x:c>
      <x:c r="M28" s="82" t="n">
        <x:v>7</x:v>
      </x:c>
      <x:c r="N28" s="82" t="n">
        <x:f>M28-L28</x:f>
        <x:v>3</x:v>
      </x:c>
      <x:c r="O28" s="83" t="n">
        <x:f>IF(M28=0,0,N28/M28)</x:f>
        <x:v>0.42857142857142855</x:v>
      </x:c>
      <x:c r="P28" s="80" t="str">
        <x:v>qian</x:v>
      </x:c>
    </x:row>
    <x:row r="29">
      <x:c r="A29" s="7" t="s">
        <x:v>1194</x:v>
      </x:c>
      <x:c r="B29" s="7" t="s">
        <x:v>1193</x:v>
      </x:c>
      <x:c r="C29" s="7" t="s">
        <x:v>1372</x:v>
      </x:c>
      <x:c r="D29" s="7" t="s">
        <x:v>1389</x:v>
      </x:c>
      <x:c r="E29" s="7" t="s">
        <x:v>1384</x:v>
      </x:c>
      <x:c r="F29" s="25" t="s">
        <x:v>1375</x:v>
      </x:c>
      <x:c r="G29" s="25">
        <x:v>21</x:v>
      </x:c>
      <x:c r="H29" s="7" t="s">
        <x:v>1376</x:v>
      </x:c>
      <x:c r="I29" s="7" t="s">
        <x:v>1442</x:v>
      </x:c>
      <x:c r="J29" s="23" t="s">
        <x:v>1392</x:v>
      </x:c>
      <x:c r="K29" s="80" t="str">
        <x:v>上品</x:v>
      </x:c>
      <x:c r="L29" s="82" t="n">
        <x:v>7</x:v>
      </x:c>
      <x:c r="M29" s="82" t="n">
        <x:v>11</x:v>
      </x:c>
      <x:c r="N29" s="82" t="n">
        <x:f>M29-L29</x:f>
        <x:v>4</x:v>
      </x:c>
      <x:c r="O29" s="83" t="n">
        <x:f>IF(M29=0,0,N29/M29)</x:f>
        <x:v>0.36363636363636365</x:v>
      </x:c>
      <x:c r="P29" s="80" t="str">
        <x:v>qian</x:v>
      </x:c>
    </x:row>
    <x:row r="30">
      <x:c r="A30" s="10" t="s">
        <x:v>1196</x:v>
      </x:c>
      <x:c r="B30" s="7" t="s">
        <x:v>1195</x:v>
      </x:c>
      <x:c r="C30" s="7" t="s">
        <x:v>1372</x:v>
      </x:c>
      <x:c r="D30" s="7" t="s">
        <x:v>1443</x:v>
      </x:c>
      <x:c r="E30" s="7" t="s">
        <x:v>1444</x:v>
      </x:c>
      <x:c r="F30" s="25" t="s">
        <x:v>1375</x:v>
      </x:c>
      <x:c r="G30" s="25">
        <x:v>22</x:v>
      </x:c>
      <x:c r="H30" s="7" t="s">
        <x:v>1376</x:v>
      </x:c>
      <x:c r="I30" s="7" t="s">
        <x:v>1445</x:v>
      </x:c>
      <x:c r="J30" s="23" t="s">
        <x:v>1392</x:v>
      </x:c>
      <x:c r="K30" s="80" t="str">
        <x:v>常用</x:v>
      </x:c>
      <x:c r="L30" s="82" t="n">
        <x:v>6</x:v>
      </x:c>
      <x:c r="M30" s="82" t="n">
        <x:v>10</x:v>
      </x:c>
      <x:c r="N30" s="82" t="n">
        <x:f>M30-L30</x:f>
        <x:v>4</x:v>
      </x:c>
      <x:c r="O30" s="83" t="n">
        <x:f>IF(M30=0,0,N30/M30)</x:f>
        <x:v>0.4</x:v>
      </x:c>
      <x:c r="P30" s="80" t="str">
        <x:v>qian</x:v>
      </x:c>
    </x:row>
    <x:row r="31">
      <x:c r="A31" s="7" t="s">
        <x:v>1198</x:v>
      </x:c>
      <x:c r="B31" s="7" t="s">
        <x:v>1197</x:v>
      </x:c>
      <x:c r="C31" s="7" t="s">
        <x:v>1372</x:v>
      </x:c>
      <x:c r="D31" s="7" t="s">
        <x:v>1379</x:v>
      </x:c>
      <x:c r="E31" s="7" t="s">
        <x:v>1446</x:v>
      </x:c>
      <x:c r="F31" s="25" t="s">
        <x:v>1375</x:v>
      </x:c>
      <x:c r="G31" s="25">
        <x:v>23</x:v>
      </x:c>
      <x:c r="H31" s="7" t="s">
        <x:v>1376</x:v>
      </x:c>
      <x:c r="I31" s="7" t="s">
        <x:v>1447</x:v>
      </x:c>
      <x:c r="J31" s="23" t="s">
        <x:v>1426</x:v>
      </x:c>
      <x:c r="K31" s="80" t="str">
        <x:v>常用</x:v>
      </x:c>
      <x:c r="L31" s="82" t="n">
        <x:v>5</x:v>
      </x:c>
      <x:c r="M31" s="82" t="n">
        <x:v>9</x:v>
      </x:c>
      <x:c r="N31" s="82" t="n">
        <x:f>M31-L31</x:f>
        <x:v>4</x:v>
      </x:c>
      <x:c r="O31" s="83" t="n">
        <x:f>IF(M31=0,0,N31/M31)</x:f>
        <x:v>0.4444444444444444</x:v>
      </x:c>
      <x:c r="P31" s="80" t="str">
        <x:v>qian</x:v>
      </x:c>
    </x:row>
    <x:row r="32">
      <x:c r="A32" s="7" t="s">
        <x:v>1200</x:v>
      </x:c>
      <x:c r="B32" s="11" t="s">
        <x:v>1199</x:v>
      </x:c>
      <x:c r="C32" s="7" t="s">
        <x:v>1448</x:v>
      </x:c>
      <x:c r="D32" s="7" t="s">
        <x:v>1373</x:v>
      </x:c>
      <x:c r="E32" s="7" t="s">
        <x:v>1449</x:v>
      </x:c>
      <x:c r="F32" s="7" t="s">
        <x:v>1450</x:v>
      </x:c>
      <x:c r="G32" s="25">
        <x:v>24</x:v>
      </x:c>
      <x:c r="H32" s="7" t="s">
        <x:v>1376</x:v>
      </x:c>
      <x:c r="I32" s="7" t="s">
        <x:v>1451</x:v>
      </x:c>
      <x:c r="J32" s="23" t="s">
        <x:v>1434</x:v>
      </x:c>
      <x:c r="K32" s="80" t="str">
        <x:v>上品</x:v>
      </x:c>
      <x:c r="L32" s="82" t="n">
        <x:v>7</x:v>
      </x:c>
      <x:c r="M32" s="82" t="n">
        <x:v>13</x:v>
      </x:c>
      <x:c r="N32" s="82" t="n">
        <x:f>M32-L32</x:f>
        <x:v>6</x:v>
      </x:c>
      <x:c r="O32" s="83" t="n">
        <x:f>IF(M32=0,0,N32/M32)</x:f>
        <x:v>0.46153846153846156</x:v>
      </x:c>
      <x:c r="P32" s="80" t="str">
        <x:v>qian</x:v>
      </x:c>
    </x:row>
    <x:row r="33">
      <x:c r="A33" s="7" t="s">
        <x:v>1202</x:v>
      </x:c>
      <x:c r="B33" s="7" t="s">
        <x:v>1201</x:v>
      </x:c>
      <x:c r="C33" s="7" t="s">
        <x:v>1388</x:v>
      </x:c>
      <x:c r="D33" s="7" t="s">
        <x:v>1389</x:v>
      </x:c>
      <x:c r="E33" s="7" t="s">
        <x:v>1384</x:v>
      </x:c>
      <x:c r="F33" s="25" t="s">
        <x:v>1375</x:v>
      </x:c>
      <x:c r="G33" s="25">
        <x:v>25</x:v>
      </x:c>
      <x:c r="H33" s="7" t="s">
        <x:v>1376</x:v>
      </x:c>
      <x:c r="I33" s="7" t="s">
        <x:v>1452</x:v>
      </x:c>
      <x:c r="J33" s="23" t="s">
        <x:v>1453</x:v>
      </x:c>
      <x:c r="K33" s="80" t="str">
        <x:v>平价</x:v>
      </x:c>
      <x:c r="L33" s="82" t="n">
        <x:v>3</x:v>
      </x:c>
      <x:c r="M33" s="82" t="n">
        <x:v>7</x:v>
      </x:c>
      <x:c r="N33" s="82" t="n">
        <x:f>M33-L33</x:f>
        <x:v>4</x:v>
      </x:c>
      <x:c r="O33" s="83" t="n">
        <x:f>IF(M33=0,0,N33/M33)</x:f>
        <x:v>0.5714285714285714</x:v>
      </x:c>
      <x:c r="P33" s="80" t="str">
        <x:v>qian</x:v>
      </x:c>
    </x:row>
    <x:row r="34">
      <x:c r="A34" s="10" t="s">
        <x:v>1205</x:v>
      </x:c>
      <x:c r="B34" s="7" t="s">
        <x:v>1204</x:v>
      </x:c>
      <x:c r="C34" s="7" t="s">
        <x:v>1393</x:v>
      </x:c>
      <x:c r="D34" s="7" t="s">
        <x:v>1454</x:v>
      </x:c>
      <x:c r="E34" s="7" t="s">
        <x:v>1384</x:v>
      </x:c>
      <x:c r="F34" s="25" t="s">
        <x:v>1375</x:v>
      </x:c>
      <x:c r="G34" s="25">
        <x:v>26</x:v>
      </x:c>
      <x:c r="H34" s="7" t="s">
        <x:v>1376</x:v>
      </x:c>
      <x:c r="I34" s="7" t="s">
        <x:v>1455</x:v>
      </x:c>
      <x:c r="J34" s="23" t="s">
        <x:v>1456</x:v>
      </x:c>
      <x:c r="K34" s="80" t="str">
        <x:v>平价</x:v>
      </x:c>
      <x:c r="L34" s="82" t="n">
        <x:v>1</x:v>
      </x:c>
      <x:c r="M34" s="82" t="n">
        <x:v>2</x:v>
      </x:c>
      <x:c r="N34" s="82" t="n">
        <x:f>M34-L34</x:f>
        <x:v>1</x:v>
      </x:c>
      <x:c r="O34" s="83" t="n">
        <x:f>IF(M34=0,0,N34/M34)</x:f>
        <x:v>0.5</x:v>
      </x:c>
      <x:c r="P34" s="80" t="str">
        <x:v>qian</x:v>
      </x:c>
    </x:row>
    <x:row r="35">
      <x:c r="A35" s="10" t="s">
        <x:v>1207</x:v>
      </x:c>
      <x:c r="B35" s="7" t="s">
        <x:v>1206</x:v>
      </x:c>
      <x:c r="C35" s="7" t="s">
        <x:v>1393</x:v>
      </x:c>
      <x:c r="D35" s="7" t="s">
        <x:v>1443</x:v>
      </x:c>
      <x:c r="E35" s="7" t="s">
        <x:v>1457</x:v>
      </x:c>
      <x:c r="F35" s="25" t="s">
        <x:v>1375</x:v>
      </x:c>
      <x:c r="G35" s="25">
        <x:v>27</x:v>
      </x:c>
      <x:c r="H35" s="7" t="s">
        <x:v>1376</x:v>
      </x:c>
      <x:c r="I35" s="7" t="s">
        <x:v>1458</x:v>
      </x:c>
      <x:c r="J35" s="23" t="s">
        <x:v>1392</x:v>
      </x:c>
      <x:c r="K35" s="80" t="str">
        <x:v>常用</x:v>
      </x:c>
      <x:c r="L35" s="82" t="n">
        <x:v>5</x:v>
      </x:c>
      <x:c r="M35" s="82" t="n">
        <x:v>9</x:v>
      </x:c>
      <x:c r="N35" s="82" t="n">
        <x:f>M35-L35</x:f>
        <x:v>4</x:v>
      </x:c>
      <x:c r="O35" s="83" t="n">
        <x:f>IF(M35=0,0,N35/M35)</x:f>
        <x:v>0.4444444444444444</x:v>
      </x:c>
      <x:c r="P35" s="80" t="str">
        <x:v>qian</x:v>
      </x:c>
    </x:row>
    <x:row r="36">
      <x:c r="A36" s="10" t="s">
        <x:v>1209</x:v>
      </x:c>
      <x:c r="B36" s="7" t="s">
        <x:v>1208</x:v>
      </x:c>
      <x:c r="C36" s="7" t="s">
        <x:v>1388</x:v>
      </x:c>
      <x:c r="D36" s="7" t="s">
        <x:v>1389</x:v>
      </x:c>
      <x:c r="E36" s="7" t="s">
        <x:v>1384</x:v>
      </x:c>
      <x:c r="F36" s="25" t="s">
        <x:v>1375</x:v>
      </x:c>
      <x:c r="G36" s="25">
        <x:v>28</x:v>
      </x:c>
      <x:c r="H36" s="7" t="s">
        <x:v>1376</x:v>
      </x:c>
      <x:c r="I36" s="7" t="s">
        <x:v>1459</x:v>
      </x:c>
      <x:c r="J36" s="23" t="s">
        <x:v>1460</x:v>
      </x:c>
      <x:c r="K36" s="80" t="str">
        <x:v>平价</x:v>
      </x:c>
      <x:c r="L36" s="82" t="n">
        <x:v>1</x:v>
      </x:c>
      <x:c r="M36" s="82" t="n">
        <x:v>2</x:v>
      </x:c>
      <x:c r="N36" s="82" t="n">
        <x:f>M36-L36</x:f>
        <x:v>1</x:v>
      </x:c>
      <x:c r="O36" s="83" t="n">
        <x:f>IF(M36=0,0,N36/M36)</x:f>
        <x:v>0.5</x:v>
      </x:c>
      <x:c r="P36" s="80" t="str">
        <x:v>qian</x:v>
      </x:c>
    </x:row>
    <x:row r="37">
      <x:c r="A37" s="7" t="s">
        <x:v>1211</x:v>
      </x:c>
      <x:c r="B37" s="7" t="s">
        <x:v>1210</x:v>
      </x:c>
      <x:c r="C37" s="7" t="s">
        <x:v>1409</x:v>
      </x:c>
      <x:c r="D37" s="7" t="s">
        <x:v>1417</x:v>
      </x:c>
      <x:c r="E37" s="7" t="s">
        <x:v>1384</x:v>
      </x:c>
      <x:c r="F37" s="25" t="s">
        <x:v>1375</x:v>
      </x:c>
      <x:c r="G37" s="25">
        <x:v>29</x:v>
      </x:c>
      <x:c r="H37" s="7" t="s">
        <x:v>1376</x:v>
      </x:c>
      <x:c r="I37" s="7" t="s">
        <x:v>1461</x:v>
      </x:c>
      <x:c r="J37" s="23" t="s">
        <x:v>1462</x:v>
      </x:c>
      <x:c r="K37" s="80" t="str">
        <x:v>平价</x:v>
      </x:c>
      <x:c r="L37" s="82" t="n">
        <x:v>2</x:v>
      </x:c>
      <x:c r="M37" s="82" t="n">
        <x:v>4</x:v>
      </x:c>
      <x:c r="N37" s="82" t="n">
        <x:f>M37-L37</x:f>
        <x:v>2</x:v>
      </x:c>
      <x:c r="O37" s="83" t="n">
        <x:f>IF(M37=0,0,N37/M37)</x:f>
        <x:v>0.5</x:v>
      </x:c>
      <x:c r="P37" s="80" t="str">
        <x:v>qian</x:v>
      </x:c>
    </x:row>
    <x:row r="38">
      <x:c r="A38" s="7" t="s">
        <x:v>1213</x:v>
      </x:c>
      <x:c r="B38" s="7" t="s">
        <x:v>1212</x:v>
      </x:c>
      <x:c r="C38" s="7" t="s">
        <x:v>1372</x:v>
      </x:c>
      <x:c r="D38" s="7" t="s">
        <x:v>1373</x:v>
      </x:c>
      <x:c r="E38" s="7" t="s">
        <x:v>1463</x:v>
      </x:c>
      <x:c r="F38" s="25" t="s">
        <x:v>1375</x:v>
      </x:c>
      <x:c r="G38" s="25">
        <x:v>30</x:v>
      </x:c>
      <x:c r="H38" s="7" t="s">
        <x:v>1376</x:v>
      </x:c>
      <x:c r="I38" s="7" t="s">
        <x:v>1464</x:v>
      </x:c>
      <x:c r="J38" s="23" t="s">
        <x:v>1426</x:v>
      </x:c>
      <x:c r="K38" s="80" t="str">
        <x:v>上品</x:v>
      </x:c>
      <x:c r="L38" s="82" t="n">
        <x:v>7</x:v>
      </x:c>
      <x:c r="M38" s="82" t="n">
        <x:v>12</x:v>
      </x:c>
      <x:c r="N38" s="82" t="n">
        <x:f>M38-L38</x:f>
        <x:v>5</x:v>
      </x:c>
      <x:c r="O38" s="83" t="n">
        <x:f>IF(M38=0,0,N38/M38)</x:f>
        <x:v>0.4166666666666667</x:v>
      </x:c>
      <x:c r="P38" s="80" t="str">
        <x:v>qian</x:v>
      </x:c>
    </x:row>
    <x:row r="39">
      <x:c r="A39" s="7" t="s">
        <x:v>1215</x:v>
      </x:c>
      <x:c r="B39" s="7" t="s">
        <x:v>1214</x:v>
      </x:c>
      <x:c r="C39" s="7" t="s">
        <x:v>1372</x:v>
      </x:c>
      <x:c r="D39" s="7" t="s">
        <x:v>1373</x:v>
      </x:c>
      <x:c r="E39" s="7" t="s">
        <x:v>1463</x:v>
      </x:c>
      <x:c r="F39" s="25" t="s">
        <x:v>1375</x:v>
      </x:c>
      <x:c r="G39" s="25">
        <x:v>31</x:v>
      </x:c>
      <x:c r="H39" s="7" t="s">
        <x:v>1376</x:v>
      </x:c>
      <x:c r="I39" s="7" t="s">
        <x:v>1465</x:v>
      </x:c>
      <x:c r="J39" s="23" t="s">
        <x:v>1426</x:v>
      </x:c>
      <x:c r="K39" s="80" t="str">
        <x:v>上品</x:v>
      </x:c>
      <x:c r="L39" s="82" t="n">
        <x:v>7</x:v>
      </x:c>
      <x:c r="M39" s="82" t="n">
        <x:v>12</x:v>
      </x:c>
      <x:c r="N39" s="82" t="n">
        <x:f>M39-L39</x:f>
        <x:v>5</x:v>
      </x:c>
      <x:c r="O39" s="83" t="n">
        <x:f>IF(M39=0,0,N39/M39)</x:f>
        <x:v>0.4166666666666667</x:v>
      </x:c>
      <x:c r="P39" s="80" t="str">
        <x:v>qian</x:v>
      </x:c>
    </x:row>
    <x:row r="40">
      <x:c r="A40" s="7" t="s">
        <x:v>1217</x:v>
      </x:c>
      <x:c r="B40" s="7" t="s">
        <x:v>1216</x:v>
      </x:c>
      <x:c r="C40" s="7" t="s">
        <x:v>1372</x:v>
      </x:c>
      <x:c r="D40" s="7" t="s">
        <x:v>1454</x:v>
      </x:c>
      <x:c r="E40" s="7" t="s">
        <x:v>1466</x:v>
      </x:c>
      <x:c r="F40" s="25" t="s">
        <x:v>1375</x:v>
      </x:c>
      <x:c r="G40" s="25">
        <x:v>32</x:v>
      </x:c>
      <x:c r="H40" s="7" t="s">
        <x:v>1376</x:v>
      </x:c>
      <x:c r="I40" s="7" t="s">
        <x:v>1467</x:v>
      </x:c>
      <x:c r="J40" s="23" t="s">
        <x:v>1396</x:v>
      </x:c>
      <x:c r="K40" s="80" t="str">
        <x:v>上品</x:v>
      </x:c>
      <x:c r="L40" s="82" t="n">
        <x:v>8</x:v>
      </x:c>
      <x:c r="M40" s="82" t="n">
        <x:v>12</x:v>
      </x:c>
      <x:c r="N40" s="82" t="n">
        <x:f>M40-L40</x:f>
        <x:v>4</x:v>
      </x:c>
      <x:c r="O40" s="83" t="n">
        <x:f>IF(M40=0,0,N40/M40)</x:f>
        <x:v>0.3333333333333333</x:v>
      </x:c>
      <x:c r="P40" s="80" t="str">
        <x:v>qian</x:v>
      </x:c>
    </x:row>
    <x:row r="41">
      <x:c r="A41" s="7" t="s">
        <x:v>1219</x:v>
      </x:c>
      <x:c r="B41" s="7" t="s">
        <x:v>1218</x:v>
      </x:c>
      <x:c r="C41" s="7" t="s">
        <x:v>1372</x:v>
      </x:c>
      <x:c r="D41" s="7" t="s">
        <x:v>1397</x:v>
      </x:c>
      <x:c r="E41" s="7" t="s">
        <x:v>1468</x:v>
      </x:c>
      <x:c r="F41" s="25" t="s">
        <x:v>1375</x:v>
      </x:c>
      <x:c r="G41" s="25">
        <x:v>33</x:v>
      </x:c>
      <x:c r="H41" s="7" t="s">
        <x:v>1376</x:v>
      </x:c>
      <x:c r="I41" s="7" t="s">
        <x:v>1469</x:v>
      </x:c>
      <x:c r="J41" s="23" t="s">
        <x:v>1396</x:v>
      </x:c>
      <x:c r="K41" s="80" t="str">
        <x:v>上品</x:v>
      </x:c>
      <x:c r="L41" s="82" t="n">
        <x:v>7</x:v>
      </x:c>
      <x:c r="M41" s="82" t="n">
        <x:v>11</x:v>
      </x:c>
      <x:c r="N41" s="82" t="n">
        <x:f>M41-L41</x:f>
        <x:v>4</x:v>
      </x:c>
      <x:c r="O41" s="83" t="n">
        <x:f>IF(M41=0,0,N41/M41)</x:f>
        <x:v>0.36363636363636365</x:v>
      </x:c>
      <x:c r="P41" s="80" t="str">
        <x:v>qian</x:v>
      </x:c>
    </x:row>
    <x:row r="42">
      <x:c r="A42" s="7" t="s">
        <x:v>1221</x:v>
      </x:c>
      <x:c r="B42" s="7" t="s">
        <x:v>1220</x:v>
      </x:c>
      <x:c r="C42" s="7" t="s">
        <x:v>1388</x:v>
      </x:c>
      <x:c r="D42" s="7" t="s">
        <x:v>1373</x:v>
      </x:c>
      <x:c r="E42" s="7" t="s">
        <x:v>1394</x:v>
      </x:c>
      <x:c r="F42" s="25" t="s">
        <x:v>1375</x:v>
      </x:c>
      <x:c r="G42" s="25">
        <x:v>34</x:v>
      </x:c>
      <x:c r="H42" s="7" t="s">
        <x:v>1376</x:v>
      </x:c>
      <x:c r="I42" s="7" t="s">
        <x:v>1470</x:v>
      </x:c>
      <x:c r="J42" s="23" t="s">
        <x:v>1426</x:v>
      </x:c>
      <x:c r="K42" s="80" t="str">
        <x:v>上品</x:v>
      </x:c>
      <x:c r="L42" s="82" t="n">
        <x:v>8</x:v>
      </x:c>
      <x:c r="M42" s="82" t="n">
        <x:v>14</x:v>
      </x:c>
      <x:c r="N42" s="82" t="n">
        <x:f>M42-L42</x:f>
        <x:v>6</x:v>
      </x:c>
      <x:c r="O42" s="83" t="n">
        <x:f>IF(M42=0,0,N42/M42)</x:f>
        <x:v>0.42857142857142855</x:v>
      </x:c>
      <x:c r="P42" s="80" t="str">
        <x:v>qian</x:v>
      </x:c>
    </x:row>
    <x:row r="43">
      <x:c r="A43" s="7" t="s">
        <x:v>1223</x:v>
      </x:c>
      <x:c r="B43" s="7" t="s">
        <x:v>1222</x:v>
      </x:c>
      <x:c r="C43" s="7" t="s">
        <x:v>1409</x:v>
      </x:c>
      <x:c r="D43" s="7" t="s">
        <x:v>1454</x:v>
      </x:c>
      <x:c r="E43" s="7" t="s">
        <x:v>1384</x:v>
      </x:c>
      <x:c r="F43" s="25" t="s">
        <x:v>1375</x:v>
      </x:c>
      <x:c r="G43" s="25">
        <x:v>35</x:v>
      </x:c>
      <x:c r="H43" s="7" t="s">
        <x:v>1376</x:v>
      </x:c>
      <x:c r="I43" s="7" t="s">
        <x:v>1471</x:v>
      </x:c>
      <x:c r="J43" s="23" t="s">
        <x:v>1403</x:v>
      </x:c>
      <x:c r="K43" s="80" t="str">
        <x:v>常用</x:v>
      </x:c>
      <x:c r="L43" s="82" t="n">
        <x:v>4</x:v>
      </x:c>
      <x:c r="M43" s="82" t="n">
        <x:v>8</x:v>
      </x:c>
      <x:c r="N43" s="82" t="n">
        <x:f>M43-L43</x:f>
        <x:v>4</x:v>
      </x:c>
      <x:c r="O43" s="83" t="n">
        <x:f>IF(M43=0,0,N43/M43)</x:f>
        <x:v>0.5</x:v>
      </x:c>
      <x:c r="P43" s="80" t="str">
        <x:v>qian</x:v>
      </x:c>
    </x:row>
    <x:row r="44">
      <x:c r="A44" s="10" t="s">
        <x:v>1224</x:v>
      </x:c>
      <x:c r="B44" s="7" t="s">
        <x:v>306</x:v>
      </x:c>
      <x:c r="C44" s="7" t="s">
        <x:v>1372</x:v>
      </x:c>
      <x:c r="D44" s="7" t="s">
        <x:v>1420</x:v>
      </x:c>
      <x:c r="E44" s="7" t="s">
        <x:v>1390</x:v>
      </x:c>
      <x:c r="F44" s="25" t="s">
        <x:v>1375</x:v>
      </x:c>
      <x:c r="G44" s="25">
        <x:v>36</x:v>
      </x:c>
      <x:c r="H44" s="7" t="s">
        <x:v>1376</x:v>
      </x:c>
      <x:c r="I44" s="7" t="s">
        <x:v>1472</x:v>
      </x:c>
      <x:c r="J44" s="23" t="s">
        <x:v>1392</x:v>
      </x:c>
      <x:c r="K44" s="80" t="str">
        <x:v>极品</x:v>
      </x:c>
      <x:c r="L44" s="82" t="n">
        <x:v>60</x:v>
      </x:c>
      <x:c r="M44" s="82" t="n">
        <x:v>77</x:v>
      </x:c>
      <x:c r="N44" s="82" t="n">
        <x:f>M44-L44</x:f>
        <x:v>17</x:v>
      </x:c>
      <x:c r="O44" s="83" t="n">
        <x:f>IF(M44=0,0,N44/M44)</x:f>
        <x:v>0.22077922077922077</x:v>
      </x:c>
      <x:c r="P44" s="80" t="str">
        <x:v>qian</x:v>
      </x:c>
    </x:row>
    <x:row r="45">
      <x:c r="A45" s="10" t="s">
        <x:v>1226</x:v>
      </x:c>
      <x:c r="B45" s="7" t="s">
        <x:v>1225</x:v>
      </x:c>
      <x:c r="C45" s="7" t="s">
        <x:v>1372</x:v>
      </x:c>
      <x:c r="D45" s="7" t="s">
        <x:v>1389</x:v>
      </x:c>
      <x:c r="E45" s="7" t="s">
        <x:v>1473</x:v>
      </x:c>
      <x:c r="F45" s="25" t="s">
        <x:v>1375</x:v>
      </x:c>
      <x:c r="G45" s="25">
        <x:v>37</x:v>
      </x:c>
      <x:c r="H45" s="7" t="s">
        <x:v>1376</x:v>
      </x:c>
      <x:c r="I45" s="7" t="s">
        <x:v>1474</x:v>
      </x:c>
      <x:c r="J45" s="23" t="s">
        <x:v>1405</x:v>
      </x:c>
      <x:c r="K45" s="80" t="str">
        <x:v>上品</x:v>
      </x:c>
      <x:c r="L45" s="82" t="n">
        <x:v>10</x:v>
      </x:c>
      <x:c r="M45" s="82" t="n">
        <x:v>15</x:v>
      </x:c>
      <x:c r="N45" s="82" t="n">
        <x:f>M45-L45</x:f>
        <x:v>5</x:v>
      </x:c>
      <x:c r="O45" s="83" t="n">
        <x:f>IF(M45=0,0,N45/M45)</x:f>
        <x:v>0.3333333333333333</x:v>
      </x:c>
      <x:c r="P45" s="80" t="str">
        <x:v>qian</x:v>
      </x:c>
    </x:row>
    <x:row r="46">
      <x:c r="A46" s="10" t="s">
        <x:v>1228</x:v>
      </x:c>
      <x:c r="B46" s="7" t="s">
        <x:v>1227</x:v>
      </x:c>
      <x:c r="C46" s="7" t="s">
        <x:v>1372</x:v>
      </x:c>
      <x:c r="D46" s="7" t="s">
        <x:v>1475</x:v>
      </x:c>
      <x:c r="E46" s="7" t="s">
        <x:v>1380</x:v>
      </x:c>
      <x:c r="F46" s="25" t="s">
        <x:v>1375</x:v>
      </x:c>
      <x:c r="G46" s="25">
        <x:v>38</x:v>
      </x:c>
      <x:c r="H46" s="7" t="s">
        <x:v>1376</x:v>
      </x:c>
      <x:c r="I46" s="7" t="s">
        <x:v>1476</x:v>
      </x:c>
      <x:c r="J46" s="23" t="s">
        <x:v>1403</x:v>
      </x:c>
      <x:c r="K46" s="80" t="str">
        <x:v>上品</x:v>
      </x:c>
      <x:c r="L46" s="82" t="n">
        <x:v>8</x:v>
      </x:c>
      <x:c r="M46" s="82" t="n">
        <x:v>13</x:v>
      </x:c>
      <x:c r="N46" s="82" t="n">
        <x:f>M46-L46</x:f>
        <x:v>5</x:v>
      </x:c>
      <x:c r="O46" s="83" t="n">
        <x:f>IF(M46=0,0,N46/M46)</x:f>
        <x:v>0.38461538461538464</x:v>
      </x:c>
      <x:c r="P46" s="80" t="str">
        <x:v>qian</x:v>
      </x:c>
    </x:row>
    <x:row r="47">
      <x:c r="A47" s="10" t="s">
        <x:v>1230</x:v>
      </x:c>
      <x:c r="B47" s="7" t="s">
        <x:v>1229</x:v>
      </x:c>
      <x:c r="C47" s="7" t="s">
        <x:v>1372</x:v>
      </x:c>
      <x:c r="D47" s="7" t="s">
        <x:v>1373</x:v>
      </x:c>
      <x:c r="E47" s="7" t="s">
        <x:v>1414</x:v>
      </x:c>
      <x:c r="F47" s="25" t="s">
        <x:v>1375</x:v>
      </x:c>
      <x:c r="G47" s="25">
        <x:v>39</x:v>
      </x:c>
      <x:c r="H47" s="7" t="s">
        <x:v>1376</x:v>
      </x:c>
      <x:c r="I47" s="7" t="s">
        <x:v>1477</x:v>
      </x:c>
      <x:c r="J47" s="23" t="s">
        <x:v>1405</x:v>
      </x:c>
      <x:c r="K47" s="80" t="str">
        <x:v>常用</x:v>
      </x:c>
      <x:c r="L47" s="82" t="n">
        <x:v>6</x:v>
      </x:c>
      <x:c r="M47" s="82" t="n">
        <x:v>11</x:v>
      </x:c>
      <x:c r="N47" s="82" t="n">
        <x:f>M47-L47</x:f>
        <x:v>5</x:v>
      </x:c>
      <x:c r="O47" s="83" t="n">
        <x:f>IF(M47=0,0,N47/M47)</x:f>
        <x:v>0.45454545454545453</x:v>
      </x:c>
      <x:c r="P47" s="80" t="str">
        <x:v>qian</x:v>
      </x:c>
    </x:row>
    <x:row r="48">
      <x:c r="A48" s="10" t="s">
        <x:v>1232</x:v>
      </x:c>
      <x:c r="B48" s="7" t="s">
        <x:v>1231</x:v>
      </x:c>
      <x:c r="C48" s="7" t="s">
        <x:v>1393</x:v>
      </x:c>
      <x:c r="D48" s="7" t="s">
        <x:v>1389</x:v>
      </x:c>
      <x:c r="E48" s="7" t="s">
        <x:v>1414</x:v>
      </x:c>
      <x:c r="F48" s="25" t="s">
        <x:v>1375</x:v>
      </x:c>
      <x:c r="G48" s="25">
        <x:v>40</x:v>
      </x:c>
      <x:c r="H48" s="7" t="s">
        <x:v>1376</x:v>
      </x:c>
      <x:c r="I48" s="7" t="s">
        <x:v>1478</x:v>
      </x:c>
      <x:c r="J48" s="23" t="s">
        <x:v>1422</x:v>
      </x:c>
      <x:c r="K48" s="80" t="str">
        <x:v>常用</x:v>
      </x:c>
      <x:c r="L48" s="82" t="n">
        <x:v>5</x:v>
      </x:c>
      <x:c r="M48" s="82" t="n">
        <x:v>9</x:v>
      </x:c>
      <x:c r="N48" s="82" t="n">
        <x:f>M48-L48</x:f>
        <x:v>4</x:v>
      </x:c>
      <x:c r="O48" s="83" t="n">
        <x:f>IF(M48=0,0,N48/M48)</x:f>
        <x:v>0.4444444444444444</x:v>
      </x:c>
      <x:c r="P48" s="80" t="str">
        <x:v>qian</x:v>
      </x:c>
    </x:row>
    <x:row r="49">
      <x:c r="A49" s="10" t="s">
        <x:v>1234</x:v>
      </x:c>
      <x:c r="B49" s="11" t="s">
        <x:v>1233</x:v>
      </x:c>
      <x:c r="C49" s="7" t="s">
        <x:v>1393</x:v>
      </x:c>
      <x:c r="D49" s="7" t="s">
        <x:v>1420</x:v>
      </x:c>
      <x:c r="E49" s="7" t="s">
        <x:v>1390</x:v>
      </x:c>
      <x:c r="F49" s="25" t="s">
        <x:v>1375</x:v>
      </x:c>
      <x:c r="G49" s="25">
        <x:v>41</x:v>
      </x:c>
      <x:c r="H49" s="7" t="s">
        <x:v>1376</x:v>
      </x:c>
      <x:c r="I49" s="7" t="s">
        <x:v>1479</x:v>
      </x:c>
      <x:c r="J49" s="23" t="s">
        <x:v>1405</x:v>
      </x:c>
      <x:c r="K49" s="80" t="str">
        <x:v>上品</x:v>
      </x:c>
      <x:c r="L49" s="82" t="n">
        <x:v>9</x:v>
      </x:c>
      <x:c r="M49" s="82" t="n">
        <x:v>15</x:v>
      </x:c>
      <x:c r="N49" s="82" t="n">
        <x:f>M49-L49</x:f>
        <x:v>6</x:v>
      </x:c>
      <x:c r="O49" s="83" t="n">
        <x:f>IF(M49=0,0,N49/M49)</x:f>
        <x:v>0.4</x:v>
      </x:c>
      <x:c r="P49" s="80" t="str">
        <x:v>qian</x:v>
      </x:c>
    </x:row>
    <x:row r="50">
      <x:c r="A50" s="10" t="s">
        <x:v>1236</x:v>
      </x:c>
      <x:c r="B50" s="7" t="s">
        <x:v>1235</x:v>
      </x:c>
      <x:c r="C50" s="7" t="s">
        <x:v>1393</x:v>
      </x:c>
      <x:c r="D50" s="7" t="s">
        <x:v>1389</x:v>
      </x:c>
      <x:c r="E50" s="7" t="s">
        <x:v>1384</x:v>
      </x:c>
      <x:c r="F50" s="25" t="s">
        <x:v>1375</x:v>
      </x:c>
      <x:c r="G50" s="25">
        <x:v>42</x:v>
      </x:c>
      <x:c r="H50" s="7" t="s">
        <x:v>1376</x:v>
      </x:c>
      <x:c r="I50" s="7" t="s">
        <x:v>1480</x:v>
      </x:c>
      <x:c r="J50" s="23" t="s">
        <x:v>1392</x:v>
      </x:c>
      <x:c r="K50" s="80" t="str">
        <x:v>上品</x:v>
      </x:c>
      <x:c r="L50" s="82" t="n">
        <x:v>7</x:v>
      </x:c>
      <x:c r="M50" s="82" t="n">
        <x:v>12</x:v>
      </x:c>
      <x:c r="N50" s="82" t="n">
        <x:f>M50-L50</x:f>
        <x:v>5</x:v>
      </x:c>
      <x:c r="O50" s="83" t="n">
        <x:f>IF(M50=0,0,N50/M50)</x:f>
        <x:v>0.4166666666666667</x:v>
      </x:c>
      <x:c r="P50" s="80" t="str">
        <x:v>qian</x:v>
      </x:c>
    </x:row>
    <x:row r="51">
      <x:c r="A51" s="10" t="s">
        <x:v>1238</x:v>
      </x:c>
      <x:c r="B51" s="7" t="s">
        <x:v>1237</x:v>
      </x:c>
      <x:c r="C51" s="7" t="s">
        <x:v>1393</x:v>
      </x:c>
      <x:c r="D51" s="7" t="s">
        <x:v>1420</x:v>
      </x:c>
      <x:c r="E51" s="7" t="s">
        <x:v>1384</x:v>
      </x:c>
      <x:c r="F51" s="25" t="s">
        <x:v>1375</x:v>
      </x:c>
      <x:c r="G51" s="25">
        <x:v>43</x:v>
      </x:c>
      <x:c r="H51" s="7" t="s">
        <x:v>1376</x:v>
      </x:c>
      <x:c r="I51" s="7" t="s">
        <x:v>1481</x:v>
      </x:c>
      <x:c r="J51" s="23" t="s">
        <x:v>1403</x:v>
      </x:c>
      <x:c r="K51" s="80" t="str">
        <x:v>上品</x:v>
      </x:c>
      <x:c r="L51" s="82" t="n">
        <x:v>7</x:v>
      </x:c>
      <x:c r="M51" s="82" t="n">
        <x:v>12</x:v>
      </x:c>
      <x:c r="N51" s="82" t="n">
        <x:f>M51-L51</x:f>
        <x:v>5</x:v>
      </x:c>
      <x:c r="O51" s="83" t="n">
        <x:f>IF(M51=0,0,N51/M51)</x:f>
        <x:v>0.4166666666666667</x:v>
      </x:c>
      <x:c r="P51" s="80" t="str">
        <x:v>qian</x:v>
      </x:c>
    </x:row>
    <x:row r="52">
      <x:c r="A52" s="10" t="s">
        <x:v>1240</x:v>
      </x:c>
      <x:c r="B52" s="7" t="s">
        <x:v>1239</x:v>
      </x:c>
      <x:c r="C52" s="7" t="s">
        <x:v>1372</x:v>
      </x:c>
      <x:c r="D52" s="7" t="s">
        <x:v>1389</x:v>
      </x:c>
      <x:c r="E52" s="7" t="s">
        <x:v>1444</x:v>
      </x:c>
      <x:c r="F52" s="25" t="s">
        <x:v>1375</x:v>
      </x:c>
      <x:c r="G52" s="25">
        <x:v>44</x:v>
      </x:c>
      <x:c r="H52" s="7" t="s">
        <x:v>1376</x:v>
      </x:c>
      <x:c r="I52" s="7" t="s">
        <x:v>1482</x:v>
      </x:c>
      <x:c r="J52" s="23" t="s">
        <x:v>1483</x:v>
      </x:c>
      <x:c r="K52" s="80" t="str">
        <x:v>平价</x:v>
      </x:c>
      <x:c r="L52" s="82" t="n">
        <x:v>2</x:v>
      </x:c>
      <x:c r="M52" s="82" t="n">
        <x:v>4</x:v>
      </x:c>
      <x:c r="N52" s="82" t="n">
        <x:f>M52-L52</x:f>
        <x:v>2</x:v>
      </x:c>
      <x:c r="O52" s="83" t="n">
        <x:f>IF(M52=0,0,N52/M52)</x:f>
        <x:v>0.5</x:v>
      </x:c>
      <x:c r="P52" s="80" t="str">
        <x:v>qian</x:v>
      </x:c>
    </x:row>
    <x:row r="53">
      <x:c r="A53" s="10" t="s">
        <x:v>1242</x:v>
      </x:c>
      <x:c r="B53" s="7" t="s">
        <x:v>1241</x:v>
      </x:c>
      <x:c r="C53" s="7" t="s">
        <x:v>1409</x:v>
      </x:c>
      <x:c r="D53" s="7" t="s">
        <x:v>1411</x:v>
      </x:c>
      <x:c r="E53" s="7" t="s">
        <x:v>1407</x:v>
      </x:c>
      <x:c r="F53" s="7" t="s">
        <x:v>1432</x:v>
      </x:c>
      <x:c r="G53" s="25">
        <x:v>45</x:v>
      </x:c>
      <x:c r="H53" s="7" t="s">
        <x:v>1376</x:v>
      </x:c>
      <x:c r="I53" s="7" t="s">
        <x:v>1484</x:v>
      </x:c>
      <x:c r="J53" s="23" t="s">
        <x:v>1434</x:v>
      </x:c>
      <x:c r="K53" s="80" t="str">
        <x:v>上品</x:v>
      </x:c>
      <x:c r="L53" s="82" t="n">
        <x:v>8</x:v>
      </x:c>
      <x:c r="M53" s="82" t="n">
        <x:v>14</x:v>
      </x:c>
      <x:c r="N53" s="82" t="n">
        <x:f>M53-L53</x:f>
        <x:v>6</x:v>
      </x:c>
      <x:c r="O53" s="83" t="n">
        <x:f>IF(M53=0,0,N53/M53)</x:f>
        <x:v>0.42857142857142855</x:v>
      </x:c>
      <x:c r="P53" s="80" t="str">
        <x:v>qian</x:v>
      </x:c>
    </x:row>
    <x:row r="54">
      <x:c r="A54" s="10" t="s">
        <x:v>1244</x:v>
      </x:c>
      <x:c r="B54" s="7" t="s">
        <x:v>1243</x:v>
      </x:c>
      <x:c r="C54" s="7" t="s">
        <x:v>1393</x:v>
      </x:c>
      <x:c r="D54" s="7" t="s">
        <x:v>1389</x:v>
      </x:c>
      <x:c r="E54" s="7" t="s">
        <x:v>1384</x:v>
      </x:c>
      <x:c r="F54" s="25" t="s">
        <x:v>1375</x:v>
      </x:c>
      <x:c r="G54" s="25">
        <x:v>46</x:v>
      </x:c>
      <x:c r="H54" s="7" t="s">
        <x:v>1376</x:v>
      </x:c>
      <x:c r="I54" s="7" t="s">
        <x:v>1485</x:v>
      </x:c>
      <x:c r="J54" s="23" t="s">
        <x:v>1403</x:v>
      </x:c>
      <x:c r="K54" s="80" t="str">
        <x:v>上品</x:v>
      </x:c>
      <x:c r="L54" s="82" t="n">
        <x:v>7</x:v>
      </x:c>
      <x:c r="M54" s="82" t="n">
        <x:v>12</x:v>
      </x:c>
      <x:c r="N54" s="82" t="n">
        <x:f>M54-L54</x:f>
        <x:v>5</x:v>
      </x:c>
      <x:c r="O54" s="83" t="n">
        <x:f>IF(M54=0,0,N54/M54)</x:f>
        <x:v>0.4166666666666667</x:v>
      </x:c>
      <x:c r="P54" s="80" t="str">
        <x:v>qian</x:v>
      </x:c>
    </x:row>
    <x:row r="55">
      <x:c r="A55" s="10" t="s">
        <x:v>1246</x:v>
      </x:c>
      <x:c r="B55" s="7" t="s">
        <x:v>1245</x:v>
      </x:c>
      <x:c r="C55" s="7" t="s">
        <x:v>1393</x:v>
      </x:c>
      <x:c r="D55" s="7" t="s">
        <x:v>1383</x:v>
      </x:c>
      <x:c r="E55" s="7" t="s">
        <x:v>1486</x:v>
      </x:c>
      <x:c r="F55" s="25" t="s">
        <x:v>1375</x:v>
      </x:c>
      <x:c r="G55" s="25">
        <x:v>47</x:v>
      </x:c>
      <x:c r="H55" s="7" t="s">
        <x:v>1376</x:v>
      </x:c>
      <x:c r="I55" s="7" t="s">
        <x:v>1487</x:v>
      </x:c>
      <x:c r="J55" s="23" t="s">
        <x:v>1426</x:v>
      </x:c>
      <x:c r="K55" s="80" t="str">
        <x:v>常用</x:v>
      </x:c>
      <x:c r="L55" s="82" t="n">
        <x:v>6</x:v>
      </x:c>
      <x:c r="M55" s="82" t="n">
        <x:v>11</x:v>
      </x:c>
      <x:c r="N55" s="82" t="n">
        <x:f>M55-L55</x:f>
        <x:v>5</x:v>
      </x:c>
      <x:c r="O55" s="83" t="n">
        <x:f>IF(M55=0,0,N55/M55)</x:f>
        <x:v>0.45454545454545453</x:v>
      </x:c>
      <x:c r="P55" s="80" t="str">
        <x:v>qian</x:v>
      </x:c>
    </x:row>
    <x:row r="56">
      <x:c r="A56" s="10" t="s">
        <x:v>1248</x:v>
      </x:c>
      <x:c r="B56" s="7" t="s">
        <x:v>1247</x:v>
      </x:c>
      <x:c r="C56" s="7" t="s">
        <x:v>1393</x:v>
      </x:c>
      <x:c r="D56" s="7" t="s">
        <x:v>1440</x:v>
      </x:c>
      <x:c r="E56" s="7" t="s">
        <x:v>1384</x:v>
      </x:c>
      <x:c r="F56" s="25" t="s">
        <x:v>1375</x:v>
      </x:c>
      <x:c r="G56" s="25">
        <x:v>48</x:v>
      </x:c>
      <x:c r="H56" s="7" t="s">
        <x:v>1376</x:v>
      </x:c>
      <x:c r="I56" s="7" t="s">
        <x:v>1488</x:v>
      </x:c>
      <x:c r="J56" s="23" t="s">
        <x:v>1422</x:v>
      </x:c>
      <x:c r="K56" s="80" t="str">
        <x:v>常用</x:v>
      </x:c>
      <x:c r="L56" s="82" t="n">
        <x:v>5</x:v>
      </x:c>
      <x:c r="M56" s="82" t="n">
        <x:v>9</x:v>
      </x:c>
      <x:c r="N56" s="82" t="n">
        <x:f>M56-L56</x:f>
        <x:v>4</x:v>
      </x:c>
      <x:c r="O56" s="83" t="n">
        <x:f>IF(M56=0,0,N56/M56)</x:f>
        <x:v>0.4444444444444444</x:v>
      </x:c>
      <x:c r="P56" s="80" t="str">
        <x:v>qian</x:v>
      </x:c>
    </x:row>
    <x:row r="57">
      <x:c r="A57" s="10" t="s">
        <x:v>1250</x:v>
      </x:c>
      <x:c r="B57" s="7" t="s">
        <x:v>1249</x:v>
      </x:c>
      <x:c r="C57" s="7" t="s">
        <x:v>1448</x:v>
      </x:c>
      <x:c r="D57" s="7" t="s">
        <x:v>1397</x:v>
      </x:c>
      <x:c r="E57" s="7" t="s">
        <x:v>1437</x:v>
      </x:c>
      <x:c r="F57" s="25" t="s">
        <x:v>1375</x:v>
      </x:c>
      <x:c r="G57" s="25">
        <x:v>49</x:v>
      </x:c>
      <x:c r="H57" s="7" t="s">
        <x:v>1376</x:v>
      </x:c>
      <x:c r="I57" s="7" t="s">
        <x:v>1489</x:v>
      </x:c>
      <x:c r="J57" s="23" t="s">
        <x:v>1399</x:v>
      </x:c>
      <x:c r="K57" s="80" t="str">
        <x:v>平价</x:v>
      </x:c>
      <x:c r="L57" s="82" t="n">
        <x:v>3</x:v>
      </x:c>
      <x:c r="M57" s="82" t="n">
        <x:v>6</x:v>
      </x:c>
      <x:c r="N57" s="82" t="n">
        <x:f>M57-L57</x:f>
        <x:v>3</x:v>
      </x:c>
      <x:c r="O57" s="83" t="n">
        <x:f>IF(M57=0,0,N57/M57)</x:f>
        <x:v>0.5</x:v>
      </x:c>
      <x:c r="P57" s="80" t="str">
        <x:v>qian</x:v>
      </x:c>
    </x:row>
    <x:row r="58">
      <x:c r="A58" s="10" t="s">
        <x:v>1252</x:v>
      </x:c>
      <x:c r="B58" s="7" t="s">
        <x:v>1251</x:v>
      </x:c>
      <x:c r="C58" s="7" t="s">
        <x:v>1372</x:v>
      </x:c>
      <x:c r="D58" s="7" t="s">
        <x:v>1397</x:v>
      </x:c>
      <x:c r="E58" s="7" t="s">
        <x:v>1380</x:v>
      </x:c>
      <x:c r="F58" s="7" t="s">
        <x:v>1385</x:v>
      </x:c>
      <x:c r="G58" s="25">
        <x:v>50</x:v>
      </x:c>
      <x:c r="H58" s="7" t="s">
        <x:v>1376</x:v>
      </x:c>
      <x:c r="I58" s="7" t="s">
        <x:v>1490</x:v>
      </x:c>
      <x:c r="J58" s="23" t="s">
        <x:v>1426</x:v>
      </x:c>
      <x:c r="K58" s="80" t="str">
        <x:v>上品</x:v>
      </x:c>
      <x:c r="L58" s="82" t="n">
        <x:v>8</x:v>
      </x:c>
      <x:c r="M58" s="82" t="n">
        <x:v>14</x:v>
      </x:c>
      <x:c r="N58" s="82" t="n">
        <x:f>M58-L58</x:f>
        <x:v>6</x:v>
      </x:c>
      <x:c r="O58" s="83" t="n">
        <x:f>IF(M58=0,0,N58/M58)</x:f>
        <x:v>0.42857142857142855</x:v>
      </x:c>
      <x:c r="P58" s="80" t="str">
        <x:v>qian</x:v>
      </x:c>
    </x:row>
    <x:row r="59">
      <x:c r="A59" s="10" t="s">
        <x:v>1254</x:v>
      </x:c>
      <x:c r="B59" s="7" t="s">
        <x:v>1253</x:v>
      </x:c>
      <x:c r="C59" s="7" t="s">
        <x:v>1372</x:v>
      </x:c>
      <x:c r="D59" s="7" t="s">
        <x:v>1373</x:v>
      </x:c>
      <x:c r="E59" s="7" t="s">
        <x:v>1394</x:v>
      </x:c>
      <x:c r="F59" s="25" t="s">
        <x:v>1375</x:v>
      </x:c>
      <x:c r="G59" s="25">
        <x:v>51</x:v>
      </x:c>
      <x:c r="H59" s="7" t="s">
        <x:v>1376</x:v>
      </x:c>
      <x:c r="I59" s="7" t="s">
        <x:v>1491</x:v>
      </x:c>
      <x:c r="J59" s="23" t="s">
        <x:v>1392</x:v>
      </x:c>
      <x:c r="K59" s="80" t="str">
        <x:v>常用</x:v>
      </x:c>
      <x:c r="L59" s="82" t="n">
        <x:v>5</x:v>
      </x:c>
      <x:c r="M59" s="82" t="n">
        <x:v>9</x:v>
      </x:c>
      <x:c r="N59" s="82" t="n">
        <x:f>M59-L59</x:f>
        <x:v>4</x:v>
      </x:c>
      <x:c r="O59" s="83" t="n">
        <x:f>IF(M59=0,0,N59/M59)</x:f>
        <x:v>0.4444444444444444</x:v>
      </x:c>
      <x:c r="P59" s="80" t="str">
        <x:v>qian</x:v>
      </x:c>
    </x:row>
    <x:row r="60">
      <x:c r="A60" s="10" t="s">
        <x:v>1256</x:v>
      </x:c>
      <x:c r="B60" s="7" t="s">
        <x:v>1255</x:v>
      </x:c>
      <x:c r="C60" s="7" t="s">
        <x:v>1372</x:v>
      </x:c>
      <x:c r="D60" s="7" t="s">
        <x:v>1411</x:v>
      </x:c>
      <x:c r="E60" s="7" t="s">
        <x:v>1384</x:v>
      </x:c>
      <x:c r="F60" s="25" t="s">
        <x:v>1375</x:v>
      </x:c>
      <x:c r="G60" s="25">
        <x:v>52</x:v>
      </x:c>
      <x:c r="H60" s="7" t="s">
        <x:v>1376</x:v>
      </x:c>
      <x:c r="I60" s="7" t="s">
        <x:v>1492</x:v>
      </x:c>
      <x:c r="J60" s="23" t="s">
        <x:v>1493</x:v>
      </x:c>
      <x:c r="K60" s="80" t="str">
        <x:v>上品</x:v>
      </x:c>
      <x:c r="L60" s="82" t="n">
        <x:v>7</x:v>
      </x:c>
      <x:c r="M60" s="82" t="n">
        <x:v>12</x:v>
      </x:c>
      <x:c r="N60" s="82" t="n">
        <x:f>M60-L60</x:f>
        <x:v>5</x:v>
      </x:c>
      <x:c r="O60" s="83" t="n">
        <x:f>IF(M60=0,0,N60/M60)</x:f>
        <x:v>0.4166666666666667</x:v>
      </x:c>
      <x:c r="P60" s="80" t="str">
        <x:v>qian</x:v>
      </x:c>
    </x:row>
    <x:row r="61">
      <x:c r="A61" s="10" t="s">
        <x:v>1258</x:v>
      </x:c>
      <x:c r="B61" s="7" t="s">
        <x:v>1257</x:v>
      </x:c>
      <x:c r="C61" s="7" t="s">
        <x:v>1388</x:v>
      </x:c>
      <x:c r="D61" s="7" t="s">
        <x:v>1389</x:v>
      </x:c>
      <x:c r="E61" s="7" t="s">
        <x:v>1457</x:v>
      </x:c>
      <x:c r="F61" s="25" t="s">
        <x:v>1375</x:v>
      </x:c>
      <x:c r="G61" s="25">
        <x:v>53</x:v>
      </x:c>
      <x:c r="H61" s="7" t="s">
        <x:v>1376</x:v>
      </x:c>
      <x:c r="I61" s="7" t="s">
        <x:v>1494</x:v>
      </x:c>
      <x:c r="J61" s="48" t="s">
        <x:v>1495</x:v>
      </x:c>
      <x:c r="K61" s="80" t="str">
        <x:v>常用</x:v>
      </x:c>
      <x:c r="L61" s="82" t="n">
        <x:v>4</x:v>
      </x:c>
      <x:c r="M61" s="82" t="n">
        <x:v>7</x:v>
      </x:c>
      <x:c r="N61" s="82" t="n">
        <x:f>M61-L61</x:f>
        <x:v>3</x:v>
      </x:c>
      <x:c r="O61" s="83" t="n">
        <x:f>IF(M61=0,0,N61/M61)</x:f>
        <x:v>0.42857142857142855</x:v>
      </x:c>
      <x:c r="P61" s="80" t="str">
        <x:v>qian</x:v>
      </x:c>
    </x:row>
    <x:row r="62">
      <x:c r="A62" s="10" t="s">
        <x:v>1260</x:v>
      </x:c>
      <x:c r="B62" s="7" t="s">
        <x:v>1259</x:v>
      </x:c>
      <x:c r="C62" s="7" t="s">
        <x:v>1388</x:v>
      </x:c>
      <x:c r="D62" s="7" t="s">
        <x:v>1428</x:v>
      </x:c>
      <x:c r="E62" s="7" t="s">
        <x:v>1496</x:v>
      </x:c>
      <x:c r="F62" s="25" t="s">
        <x:v>1375</x:v>
      </x:c>
      <x:c r="G62" s="25">
        <x:v>54</x:v>
      </x:c>
      <x:c r="H62" s="7" t="s">
        <x:v>1376</x:v>
      </x:c>
      <x:c r="I62" s="7" t="s">
        <x:v>1497</x:v>
      </x:c>
      <x:c r="J62" s="23" t="s">
        <x:v>1498</x:v>
      </x:c>
      <x:c r="K62" s="80" t="str">
        <x:v>常用</x:v>
      </x:c>
      <x:c r="L62" s="82" t="n">
        <x:v>5</x:v>
      </x:c>
      <x:c r="M62" s="82" t="n">
        <x:v>9</x:v>
      </x:c>
      <x:c r="N62" s="82" t="n">
        <x:f>M62-L62</x:f>
        <x:v>4</x:v>
      </x:c>
      <x:c r="O62" s="83" t="n">
        <x:f>IF(M62=0,0,N62/M62)</x:f>
        <x:v>0.4444444444444444</x:v>
      </x:c>
      <x:c r="P62" s="80" t="str">
        <x:v>qian</x:v>
      </x:c>
    </x:row>
    <x:row r="63">
      <x:c r="A63" s="10" t="s">
        <x:v>1262</x:v>
      </x:c>
      <x:c r="B63" s="7" t="s">
        <x:v>1261</x:v>
      </x:c>
      <x:c r="C63" s="7" t="s">
        <x:v>1372</x:v>
      </x:c>
      <x:c r="D63" s="7" t="s">
        <x:v>1397</x:v>
      </x:c>
      <x:c r="E63" s="7" t="s">
        <x:v>1499</x:v>
      </x:c>
      <x:c r="F63" s="25" t="s">
        <x:v>1375</x:v>
      </x:c>
      <x:c r="G63" s="25">
        <x:v>55</x:v>
      </x:c>
      <x:c r="H63" s="7" t="s">
        <x:v>1376</x:v>
      </x:c>
      <x:c r="I63" s="7" t="s">
        <x:v>1500</x:v>
      </x:c>
      <x:c r="J63" s="23" t="s">
        <x:v>1396</x:v>
      </x:c>
      <x:c r="K63" s="80" t="str">
        <x:v>上品</x:v>
      </x:c>
      <x:c r="L63" s="82" t="n">
        <x:v>10</x:v>
      </x:c>
      <x:c r="M63" s="82" t="n">
        <x:v>17</x:v>
      </x:c>
      <x:c r="N63" s="82" t="n">
        <x:f>M63-L63</x:f>
        <x:v>7</x:v>
      </x:c>
      <x:c r="O63" s="83" t="n">
        <x:f>IF(M63=0,0,N63/M63)</x:f>
        <x:v>0.4117647058823529</x:v>
      </x:c>
      <x:c r="P63" s="80" t="str">
        <x:v>qian</x:v>
      </x:c>
    </x:row>
    <x:row r="64">
      <x:c r="A64" s="10" t="s">
        <x:v>1264</x:v>
      </x:c>
      <x:c r="B64" s="7" t="s">
        <x:v>1263</x:v>
      </x:c>
      <x:c r="C64" s="7" t="s">
        <x:v>1372</x:v>
      </x:c>
      <x:c r="D64" s="7" t="s">
        <x:v>1397</x:v>
      </x:c>
      <x:c r="E64" s="7" t="s">
        <x:v>1384</x:v>
      </x:c>
      <x:c r="F64" s="25" t="s">
        <x:v>1375</x:v>
      </x:c>
      <x:c r="G64" s="25">
        <x:v>56</x:v>
      </x:c>
      <x:c r="H64" s="7" t="s">
        <x:v>1376</x:v>
      </x:c>
      <x:c r="I64" s="7" t="s">
        <x:v>1501</x:v>
      </x:c>
      <x:c r="J64" s="23" t="s">
        <x:v>1396</x:v>
      </x:c>
      <x:c r="K64" s="80" t="str">
        <x:v>常用</x:v>
      </x:c>
      <x:c r="L64" s="82" t="n">
        <x:v>5</x:v>
      </x:c>
      <x:c r="M64" s="82" t="n">
        <x:v>9</x:v>
      </x:c>
      <x:c r="N64" s="82" t="n">
        <x:f>M64-L64</x:f>
        <x:v>4</x:v>
      </x:c>
      <x:c r="O64" s="83" t="n">
        <x:f>IF(M64=0,0,N64/M64)</x:f>
        <x:v>0.4444444444444444</x:v>
      </x:c>
      <x:c r="P64" s="80" t="str">
        <x:v>qian</x:v>
      </x:c>
    </x:row>
    <x:row r="65">
      <x:c r="A65" s="10" t="s">
        <x:v>1266</x:v>
      </x:c>
      <x:c r="B65" s="7" t="s">
        <x:v>1265</x:v>
      </x:c>
      <x:c r="C65" s="7" t="s">
        <x:v>1372</x:v>
      </x:c>
      <x:c r="D65" s="7" t="s">
        <x:v>1397</x:v>
      </x:c>
      <x:c r="E65" s="7" t="s">
        <x:v>1384</x:v>
      </x:c>
      <x:c r="F65" s="25" t="s">
        <x:v>1375</x:v>
      </x:c>
      <x:c r="G65" s="25">
        <x:v>57</x:v>
      </x:c>
      <x:c r="H65" s="7" t="s">
        <x:v>1376</x:v>
      </x:c>
      <x:c r="I65" s="7" t="s">
        <x:v>1502</x:v>
      </x:c>
      <x:c r="J65" s="23" t="s">
        <x:v>1396</x:v>
      </x:c>
      <x:c r="K65" s="80" t="str">
        <x:v>常用</x:v>
      </x:c>
      <x:c r="L65" s="82" t="n">
        <x:v>5</x:v>
      </x:c>
      <x:c r="M65" s="82" t="n">
        <x:v>9</x:v>
      </x:c>
      <x:c r="N65" s="82" t="n">
        <x:f>M65-L65</x:f>
        <x:v>4</x:v>
      </x:c>
      <x:c r="O65" s="83" t="n">
        <x:f>IF(M65=0,0,N65/M65)</x:f>
        <x:v>0.4444444444444444</x:v>
      </x:c>
      <x:c r="P65" s="80" t="str">
        <x:v>qian</x:v>
      </x:c>
    </x:row>
    <x:row r="66">
      <x:c r="A66" s="10" t="s">
        <x:v>1268</x:v>
      </x:c>
      <x:c r="B66" s="7" t="s">
        <x:v>1267</x:v>
      </x:c>
      <x:c r="C66" s="7" t="s">
        <x:v>1372</x:v>
      </x:c>
      <x:c r="D66" s="7" t="s">
        <x:v>1397</x:v>
      </x:c>
      <x:c r="E66" s="7" t="s">
        <x:v>1384</x:v>
      </x:c>
      <x:c r="F66" s="25" t="s">
        <x:v>1375</x:v>
      </x:c>
      <x:c r="G66" s="25">
        <x:v>58</x:v>
      </x:c>
      <x:c r="H66" s="7" t="s">
        <x:v>1376</x:v>
      </x:c>
      <x:c r="I66" s="7" t="s">
        <x:v>1503</x:v>
      </x:c>
      <x:c r="J66" s="23" t="s">
        <x:v>1504</x:v>
      </x:c>
      <x:c r="K66" s="80" t="str">
        <x:v>平价</x:v>
      </x:c>
      <x:c r="L66" s="82" t="n">
        <x:v>3</x:v>
      </x:c>
      <x:c r="M66" s="82" t="n">
        <x:v>6</x:v>
      </x:c>
      <x:c r="N66" s="82" t="n">
        <x:f>M66-L66</x:f>
        <x:v>3</x:v>
      </x:c>
      <x:c r="O66" s="83" t="n">
        <x:f>IF(M66=0,0,N66/M66)</x:f>
        <x:v>0.5</x:v>
      </x:c>
      <x:c r="P66" s="80" t="str">
        <x:v>qian</x:v>
      </x:c>
    </x:row>
    <x:row r="67">
      <x:c r="A67" s="10" t="s">
        <x:v>1270</x:v>
      </x:c>
      <x:c r="B67" s="7" t="s">
        <x:v>1269</x:v>
      </x:c>
      <x:c r="C67" s="7" t="s">
        <x:v>1393</x:v>
      </x:c>
      <x:c r="D67" s="7" t="s">
        <x:v>1383</x:v>
      </x:c>
      <x:c r="E67" s="7" t="s">
        <x:v>1496</x:v>
      </x:c>
      <x:c r="F67" s="25" t="s">
        <x:v>1375</x:v>
      </x:c>
      <x:c r="G67" s="25">
        <x:v>59</x:v>
      </x:c>
      <x:c r="H67" s="7" t="s">
        <x:v>1376</x:v>
      </x:c>
      <x:c r="I67" s="7" t="s">
        <x:v>1505</x:v>
      </x:c>
      <x:c r="J67" s="23" t="s">
        <x:v>1403</x:v>
      </x:c>
      <x:c r="K67" s="80" t="str">
        <x:v>常用</x:v>
      </x:c>
      <x:c r="L67" s="82" t="n">
        <x:v>6</x:v>
      </x:c>
      <x:c r="M67" s="82" t="n">
        <x:v>11</x:v>
      </x:c>
      <x:c r="N67" s="82" t="n">
        <x:f>M67-L67</x:f>
        <x:v>5</x:v>
      </x:c>
      <x:c r="O67" s="83" t="n">
        <x:f>IF(M67=0,0,N67/M67)</x:f>
        <x:v>0.45454545454545453</x:v>
      </x:c>
      <x:c r="P67" s="80" t="str">
        <x:v>qian</x:v>
      </x:c>
    </x:row>
    <x:row r="68">
      <x:c r="A68" s="10" t="s">
        <x:v>1272</x:v>
      </x:c>
      <x:c r="B68" s="7" t="s">
        <x:v>1271</x:v>
      </x:c>
      <x:c r="C68" s="7" t="s">
        <x:v>1393</x:v>
      </x:c>
      <x:c r="D68" s="7" t="s">
        <x:v>1420</x:v>
      </x:c>
      <x:c r="E68" s="7" t="s">
        <x:v>1506</x:v>
      </x:c>
      <x:c r="F68" s="25" t="s">
        <x:v>1375</x:v>
      </x:c>
      <x:c r="G68" s="25">
        <x:v>60</x:v>
      </x:c>
      <x:c r="H68" s="7" t="s">
        <x:v>1376</x:v>
      </x:c>
      <x:c r="I68" s="7" t="s">
        <x:v>1507</x:v>
      </x:c>
      <x:c r="J68" s="23" t="s">
        <x:v>1405</x:v>
      </x:c>
      <x:c r="K68" s="80" t="str">
        <x:v>上品</x:v>
      </x:c>
      <x:c r="L68" s="82" t="n">
        <x:v>8</x:v>
      </x:c>
      <x:c r="M68" s="82" t="n">
        <x:v>13</x:v>
      </x:c>
      <x:c r="N68" s="82" t="n">
        <x:f>M68-L68</x:f>
        <x:v>5</x:v>
      </x:c>
      <x:c r="O68" s="83" t="n">
        <x:f>IF(M68=0,0,N68/M68)</x:f>
        <x:v>0.38461538461538464</x:v>
      </x:c>
      <x:c r="P68" s="80" t="str">
        <x:v>qian</x:v>
      </x:c>
    </x:row>
    <x:row r="69">
      <x:c r="A69" s="10" t="s">
        <x:v>1274</x:v>
      </x:c>
      <x:c r="B69" s="7" t="s">
        <x:v>1273</x:v>
      </x:c>
      <x:c r="C69" s="7" t="s">
        <x:v>1393</x:v>
      </x:c>
      <x:c r="D69" s="7" t="s">
        <x:v>1389</x:v>
      </x:c>
      <x:c r="E69" s="7" t="s">
        <x:v>1508</x:v>
      </x:c>
      <x:c r="F69" s="25" t="s">
        <x:v>1375</x:v>
      </x:c>
      <x:c r="G69" s="25">
        <x:v>61</x:v>
      </x:c>
      <x:c r="H69" s="7" t="s">
        <x:v>1376</x:v>
      </x:c>
      <x:c r="I69" s="7" t="s">
        <x:v>1509</x:v>
      </x:c>
      <x:c r="J69" s="23" t="s">
        <x:v>1419</x:v>
      </x:c>
      <x:c r="K69" s="80" t="str">
        <x:v>常用</x:v>
      </x:c>
      <x:c r="L69" s="82" t="n">
        <x:v>4</x:v>
      </x:c>
      <x:c r="M69" s="82" t="n">
        <x:v>7</x:v>
      </x:c>
      <x:c r="N69" s="82" t="n">
        <x:f>M69-L69</x:f>
        <x:v>3</x:v>
      </x:c>
      <x:c r="O69" s="83" t="n">
        <x:f>IF(M69=0,0,N69/M69)</x:f>
        <x:v>0.42857142857142855</x:v>
      </x:c>
      <x:c r="P69" s="80" t="str">
        <x:v>qian</x:v>
      </x:c>
    </x:row>
    <x:row r="70">
      <x:c r="A70" s="10" t="s">
        <x:v>1276</x:v>
      </x:c>
      <x:c r="B70" s="7" t="s">
        <x:v>1275</x:v>
      </x:c>
      <x:c r="C70" s="7" t="s">
        <x:v>1372</x:v>
      </x:c>
      <x:c r="D70" s="7" t="s">
        <x:v>1373</x:v>
      </x:c>
      <x:c r="E70" s="7" t="s">
        <x:v>1400</x:v>
      </x:c>
      <x:c r="F70" s="25" t="s">
        <x:v>1375</x:v>
      </x:c>
      <x:c r="G70" s="25">
        <x:v>62</x:v>
      </x:c>
      <x:c r="H70" s="7" t="s">
        <x:v>1376</x:v>
      </x:c>
      <x:c r="I70" s="7" t="s">
        <x:v>1510</x:v>
      </x:c>
      <x:c r="J70" s="23" t="s">
        <x:v>1511</x:v>
      </x:c>
      <x:c r="K70" s="80" t="str">
        <x:v>上品</x:v>
      </x:c>
      <x:c r="L70" s="82" t="n">
        <x:v>9</x:v>
      </x:c>
      <x:c r="M70" s="82" t="n">
        <x:v>16</x:v>
      </x:c>
      <x:c r="N70" s="82" t="n">
        <x:f>M70-L70</x:f>
        <x:v>7</x:v>
      </x:c>
      <x:c r="O70" s="83" t="n">
        <x:f>IF(M70=0,0,N70/M70)</x:f>
        <x:v>0.4375</x:v>
      </x:c>
      <x:c r="P70" s="80" t="str">
        <x:v>qian</x:v>
      </x:c>
    </x:row>
    <x:row r="71">
      <x:c r="A71" s="10" t="s">
        <x:v>1278</x:v>
      </x:c>
      <x:c r="B71" s="7" t="s">
        <x:v>1277</x:v>
      </x:c>
      <x:c r="C71" s="7" t="s">
        <x:v>1388</x:v>
      </x:c>
      <x:c r="D71" s="7" t="s">
        <x:v>1417</x:v>
      </x:c>
      <x:c r="E71" s="7" t="s">
        <x:v>1400</x:v>
      </x:c>
      <x:c r="F71" s="25" t="s">
        <x:v>1375</x:v>
      </x:c>
      <x:c r="G71" s="25">
        <x:v>63</x:v>
      </x:c>
      <x:c r="H71" s="7" t="s">
        <x:v>1376</x:v>
      </x:c>
      <x:c r="I71" s="7" t="s">
        <x:v>1512</x:v>
      </x:c>
      <x:c r="J71" s="23" t="s">
        <x:v>1439</x:v>
      </x:c>
      <x:c r="K71" s="80" t="str">
        <x:v>上品</x:v>
      </x:c>
      <x:c r="L71" s="82" t="n">
        <x:v>8</x:v>
      </x:c>
      <x:c r="M71" s="82" t="n">
        <x:v>13</x:v>
      </x:c>
      <x:c r="N71" s="82" t="n">
        <x:f>M71-L71</x:f>
        <x:v>5</x:v>
      </x:c>
      <x:c r="O71" s="83" t="n">
        <x:f>IF(M71=0,0,N71/M71)</x:f>
        <x:v>0.38461538461538464</x:v>
      </x:c>
      <x:c r="P71" s="80" t="str">
        <x:v>qian</x:v>
      </x:c>
    </x:row>
    <x:row r="72">
      <x:c r="A72" s="10" t="s">
        <x:v>1280</x:v>
      </x:c>
      <x:c r="B72" s="7" t="s">
        <x:v>1279</x:v>
      </x:c>
      <x:c r="C72" s="7" t="s">
        <x:v>1388</x:v>
      </x:c>
      <x:c r="D72" s="7" t="s">
        <x:v>1513</x:v>
      </x:c>
      <x:c r="E72" s="7" t="s">
        <x:v>1514</x:v>
      </x:c>
      <x:c r="F72" s="25" t="s">
        <x:v>1375</x:v>
      </x:c>
      <x:c r="G72" s="25">
        <x:v>64</x:v>
      </x:c>
      <x:c r="H72" s="7" t="s">
        <x:v>1376</x:v>
      </x:c>
      <x:c r="I72" s="7" t="s">
        <x:v>1515</x:v>
      </x:c>
      <x:c r="J72" s="23" t="s">
        <x:v>1422</x:v>
      </x:c>
      <x:c r="K72" s="80" t="str">
        <x:v>珍稀</x:v>
      </x:c>
      <x:c r="L72" s="82" t="n">
        <x:v>14</x:v>
      </x:c>
      <x:c r="M72" s="82" t="n">
        <x:v>21</x:v>
      </x:c>
      <x:c r="N72" s="82" t="n">
        <x:f>M72-L72</x:f>
        <x:v>7</x:v>
      </x:c>
      <x:c r="O72" s="83" t="n">
        <x:f>IF(M72=0,0,N72/M72)</x:f>
        <x:v>0.3333333333333333</x:v>
      </x:c>
      <x:c r="P72" s="80" t="str">
        <x:v>qian</x:v>
      </x:c>
    </x:row>
    <x:row r="73">
      <x:c r="A73" s="10" t="s">
        <x:v>1282</x:v>
      </x:c>
      <x:c r="B73" s="7" t="s">
        <x:v>1281</x:v>
      </x:c>
      <x:c r="C73" s="7" t="s">
        <x:v>1388</x:v>
      </x:c>
      <x:c r="D73" s="7" t="s">
        <x:v>1389</x:v>
      </x:c>
      <x:c r="E73" s="7" t="s">
        <x:v>1380</x:v>
      </x:c>
      <x:c r="F73" s="25" t="s">
        <x:v>1375</x:v>
      </x:c>
      <x:c r="G73" s="25">
        <x:v>65</x:v>
      </x:c>
      <x:c r="H73" s="7" t="s">
        <x:v>1376</x:v>
      </x:c>
      <x:c r="I73" s="7" t="s">
        <x:v>1516</x:v>
      </x:c>
      <x:c r="J73" s="23" t="s">
        <x:v>1382</x:v>
      </x:c>
      <x:c r="K73" s="80" t="str">
        <x:v>珍稀</x:v>
      </x:c>
      <x:c r="L73" s="82" t="n">
        <x:v>13</x:v>
      </x:c>
      <x:c r="M73" s="82" t="n">
        <x:v>20</x:v>
      </x:c>
      <x:c r="N73" s="82" t="n">
        <x:f>M73-L73</x:f>
        <x:v>7</x:v>
      </x:c>
      <x:c r="O73" s="83" t="n">
        <x:f>IF(M73=0,0,N73/M73)</x:f>
        <x:v>0.35</x:v>
      </x:c>
      <x:c r="P73" s="80" t="str">
        <x:v>qian</x:v>
      </x:c>
    </x:row>
    <x:row r="74">
      <x:c r="A74" s="10" t="s">
        <x:v>1284</x:v>
      </x:c>
      <x:c r="B74" s="7" t="s">
        <x:v>1283</x:v>
      </x:c>
      <x:c r="C74" s="7" t="s">
        <x:v>1372</x:v>
      </x:c>
      <x:c r="D74" s="7" t="s">
        <x:v>1411</x:v>
      </x:c>
      <x:c r="E74" s="7" t="s">
        <x:v>1380</x:v>
      </x:c>
      <x:c r="F74" s="25" t="s">
        <x:v>1375</x:v>
      </x:c>
      <x:c r="G74" s="25">
        <x:v>66</x:v>
      </x:c>
      <x:c r="H74" s="7" t="s">
        <x:v>1376</x:v>
      </x:c>
      <x:c r="I74" s="7" t="s">
        <x:v>1517</x:v>
      </x:c>
      <x:c r="J74" s="23" t="s">
        <x:v>1392</x:v>
      </x:c>
      <x:c r="K74" s="80" t="str">
        <x:v>上品</x:v>
      </x:c>
      <x:c r="L74" s="82" t="n">
        <x:v>9</x:v>
      </x:c>
      <x:c r="M74" s="82" t="n">
        <x:v>15</x:v>
      </x:c>
      <x:c r="N74" s="82" t="n">
        <x:f>M74-L74</x:f>
        <x:v>6</x:v>
      </x:c>
      <x:c r="O74" s="83" t="n">
        <x:f>IF(M74=0,0,N74/M74)</x:f>
        <x:v>0.4</x:v>
      </x:c>
      <x:c r="P74" s="80" t="str">
        <x:v>qian</x:v>
      </x:c>
    </x:row>
    <x:row r="75">
      <x:c r="A75" s="10" t="s">
        <x:v>1286</x:v>
      </x:c>
      <x:c r="B75" s="7" t="s">
        <x:v>1285</x:v>
      </x:c>
      <x:c r="C75" s="11" t="s">
        <x:v>1448</x:v>
      </x:c>
      <x:c r="D75" s="7" t="s">
        <x:v>1379</x:v>
      </x:c>
      <x:c r="E75" s="7" t="s">
        <x:v>1449</x:v>
      </x:c>
      <x:c r="F75" s="25" t="s">
        <x:v>1375</x:v>
      </x:c>
      <x:c r="G75" s="25">
        <x:v>67</x:v>
      </x:c>
      <x:c r="H75" s="7" t="s">
        <x:v>1376</x:v>
      </x:c>
      <x:c r="I75" s="7" t="s">
        <x:v>1518</x:v>
      </x:c>
      <x:c r="J75" s="23" t="s">
        <x:v>1382</x:v>
      </x:c>
      <x:c r="K75" s="80" t="str">
        <x:v>上品</x:v>
      </x:c>
      <x:c r="L75" s="82" t="n">
        <x:v>12</x:v>
      </x:c>
      <x:c r="M75" s="82" t="n">
        <x:v>20</x:v>
      </x:c>
      <x:c r="N75" s="82" t="n">
        <x:f>M75-L75</x:f>
        <x:v>8</x:v>
      </x:c>
      <x:c r="O75" s="83" t="n">
        <x:f>IF(M75=0,0,N75/M75)</x:f>
        <x:v>0.4</x:v>
      </x:c>
      <x:c r="P75" s="80" t="str">
        <x:v>qian</x:v>
      </x:c>
    </x:row>
    <x:row r="76">
      <x:c r="A76" s="10" t="s">
        <x:v>1288</x:v>
      </x:c>
      <x:c r="B76" s="7" t="s">
        <x:v>1287</x:v>
      </x:c>
      <x:c r="C76" s="11" t="s">
        <x:v>1388</x:v>
      </x:c>
      <x:c r="D76" s="7" t="s">
        <x:v>1420</x:v>
      </x:c>
      <x:c r="E76" s="7" t="s">
        <x:v>1466</x:v>
      </x:c>
      <x:c r="F76" s="25" t="s">
        <x:v>1385</x:v>
      </x:c>
      <x:c r="G76" s="25">
        <x:v>68</x:v>
      </x:c>
      <x:c r="H76" s="7" t="s">
        <x:v>1376</x:v>
      </x:c>
      <x:c r="I76" s="7" t="s">
        <x:v>1519</x:v>
      </x:c>
      <x:c r="J76" s="48" t="s">
        <x:v>1387</x:v>
      </x:c>
      <x:c r="K76" s="80" t="str">
        <x:v>常用</x:v>
      </x:c>
      <x:c r="L76" s="82" t="n">
        <x:v>6</x:v>
      </x:c>
      <x:c r="M76" s="82" t="n">
        <x:v>11</x:v>
      </x:c>
      <x:c r="N76" s="82" t="n">
        <x:f>M76-L76</x:f>
        <x:v>5</x:v>
      </x:c>
      <x:c r="O76" s="83" t="n">
        <x:f>IF(M76=0,0,N76/M76)</x:f>
        <x:v>0.45454545454545453</x:v>
      </x:c>
      <x:c r="P76" s="80" t="str">
        <x:v>qian</x:v>
      </x:c>
    </x:row>
    <x:row r="77">
      <x:c r="A77" s="10" t="s">
        <x:v>1290</x:v>
      </x:c>
      <x:c r="B77" s="11" t="s">
        <x:v>1289</x:v>
      </x:c>
      <x:c r="C77" s="11" t="s">
        <x:v>1372</x:v>
      </x:c>
      <x:c r="D77" s="11" t="s">
        <x:v>1397</x:v>
      </x:c>
      <x:c r="E77" s="7" t="s">
        <x:v>1514</x:v>
      </x:c>
      <x:c r="F77" s="25" t="s">
        <x:v>1375</x:v>
      </x:c>
      <x:c r="G77" s="25">
        <x:v>69</x:v>
      </x:c>
      <x:c r="H77" s="7" t="s">
        <x:v>1376</x:v>
      </x:c>
      <x:c r="I77" s="7" t="s">
        <x:v>1520</x:v>
      </x:c>
      <x:c r="J77" s="48" t="s">
        <x:v>1378</x:v>
      </x:c>
      <x:c r="K77" s="80" t="str">
        <x:v>上品</x:v>
      </x:c>
      <x:c r="L77" s="82" t="n">
        <x:v>7</x:v>
      </x:c>
      <x:c r="M77" s="82" t="n">
        <x:v>12</x:v>
      </x:c>
      <x:c r="N77" s="82" t="n">
        <x:f>M77-L77</x:f>
        <x:v>5</x:v>
      </x:c>
      <x:c r="O77" s="83" t="n">
        <x:f>IF(M77=0,0,N77/M77)</x:f>
        <x:v>0.4166666666666667</x:v>
      </x:c>
      <x:c r="P77" s="80" t="str">
        <x:v>qian</x:v>
      </x:c>
    </x:row>
    <x:row r="78">
      <x:c r="A78" s="7" t="s">
        <x:v>1292</x:v>
      </x:c>
      <x:c r="B78" s="7" t="s">
        <x:v>1291</x:v>
      </x:c>
      <x:c r="C78" s="7" t="s">
        <x:v>1393</x:v>
      </x:c>
      <x:c r="D78" s="7" t="s">
        <x:v>1383</x:v>
      </x:c>
      <x:c r="E78" s="7" t="s">
        <x:v>1394</x:v>
      </x:c>
      <x:c r="F78" s="25" t="s">
        <x:v>1375</x:v>
      </x:c>
      <x:c r="G78" s="25">
        <x:v>70</x:v>
      </x:c>
      <x:c r="H78" s="7" t="s">
        <x:v>1376</x:v>
      </x:c>
      <x:c r="I78" s="7" t="s">
        <x:v>1521</x:v>
      </x:c>
      <x:c r="J78" s="23" t="s">
        <x:v>1396</x:v>
      </x:c>
      <x:c r="K78" s="80" t="str">
        <x:v>常用</x:v>
      </x:c>
      <x:c r="L78" s="82" t="n">
        <x:v>6</x:v>
      </x:c>
      <x:c r="M78" s="82" t="n">
        <x:v>11</x:v>
      </x:c>
      <x:c r="N78" s="82" t="n">
        <x:f>M78-L78</x:f>
        <x:v>5</x:v>
      </x:c>
      <x:c r="O78" s="83" t="n">
        <x:f>IF(M78=0,0,N78/M78)</x:f>
        <x:v>0.45454545454545453</x:v>
      </x:c>
      <x:c r="P78" s="80" t="str">
        <x:v>qian</x:v>
      </x:c>
    </x:row>
    <x:row r="79">
      <x:c r="A79" s="10" t="s">
        <x:v>1294</x:v>
      </x:c>
      <x:c r="B79" s="7" t="s">
        <x:v>1293</x:v>
      </x:c>
      <x:c r="C79" s="7" t="s">
        <x:v>1388</x:v>
      </x:c>
      <x:c r="D79" s="7" t="s">
        <x:v>1522</x:v>
      </x:c>
      <x:c r="E79" s="7" t="s">
        <x:v>1473</x:v>
      </x:c>
      <x:c r="F79" s="25" t="s">
        <x:v>1375</x:v>
      </x:c>
      <x:c r="G79" s="25">
        <x:v>71</x:v>
      </x:c>
      <x:c r="H79" s="7" t="s">
        <x:v>1376</x:v>
      </x:c>
      <x:c r="I79" s="7" t="s">
        <x:v>1523</x:v>
      </x:c>
      <x:c r="J79" s="23" t="s">
        <x:v>1405</x:v>
      </x:c>
      <x:c r="K79" s="80" t="str">
        <x:v>上品</x:v>
      </x:c>
      <x:c r="L79" s="82" t="n">
        <x:v>7</x:v>
      </x:c>
      <x:c r="M79" s="82" t="n">
        <x:v>12</x:v>
      </x:c>
      <x:c r="N79" s="82" t="n">
        <x:f>M79-L79</x:f>
        <x:v>5</x:v>
      </x:c>
      <x:c r="O79" s="83" t="n">
        <x:f>IF(M79=0,0,N79/M79)</x:f>
        <x:v>0.4166666666666667</x:v>
      </x:c>
      <x:c r="P79" s="80" t="str">
        <x:v>qian</x:v>
      </x:c>
    </x:row>
    <x:row r="80">
      <x:c r="A80" s="10" t="s">
        <x:v>1296</x:v>
      </x:c>
      <x:c r="B80" s="7" t="s">
        <x:v>1295</x:v>
      </x:c>
      <x:c r="C80" s="7" t="s">
        <x:v>1393</x:v>
      </x:c>
      <x:c r="D80" s="7" t="s">
        <x:v>1411</x:v>
      </x:c>
      <x:c r="E80" s="7" t="s">
        <x:v>1407</x:v>
      </x:c>
      <x:c r="F80" s="25" t="s">
        <x:v>1375</x:v>
      </x:c>
      <x:c r="G80" s="25">
        <x:v>72</x:v>
      </x:c>
      <x:c r="H80" s="7" t="s">
        <x:v>1376</x:v>
      </x:c>
      <x:c r="I80" s="7" t="s">
        <x:v>1524</x:v>
      </x:c>
      <x:c r="J80" s="23" t="s">
        <x:v>1426</x:v>
      </x:c>
      <x:c r="K80" s="80" t="str">
        <x:v>常用</x:v>
      </x:c>
      <x:c r="L80" s="82" t="n">
        <x:v>6</x:v>
      </x:c>
      <x:c r="M80" s="82" t="n">
        <x:v>11</x:v>
      </x:c>
      <x:c r="N80" s="82" t="n">
        <x:f>M80-L80</x:f>
        <x:v>5</x:v>
      </x:c>
      <x:c r="O80" s="83" t="n">
        <x:f>IF(M80=0,0,N80/M80)</x:f>
        <x:v>0.45454545454545453</x:v>
      </x:c>
      <x:c r="P80" s="80" t="str">
        <x:v>qian</x:v>
      </x:c>
    </x:row>
    <x:row r="81">
      <x:c r="A81" s="10" t="s">
        <x:v>1298</x:v>
      </x:c>
      <x:c r="B81" s="11" t="s">
        <x:v>1297</x:v>
      </x:c>
      <x:c r="C81" s="7" t="s">
        <x:v>1393</x:v>
      </x:c>
      <x:c r="D81" s="7" t="s">
        <x:v>1420</x:v>
      </x:c>
      <x:c r="E81" s="7" t="s">
        <x:v>1374</x:v>
      </x:c>
      <x:c r="F81" s="25" t="s">
        <x:v>1375</x:v>
      </x:c>
      <x:c r="G81" s="25">
        <x:v>73</x:v>
      </x:c>
      <x:c r="H81" s="7" t="s">
        <x:v>1376</x:v>
      </x:c>
      <x:c r="I81" s="7" t="s">
        <x:v>1525</x:v>
      </x:c>
      <x:c r="J81" s="23" t="s">
        <x:v>1403</x:v>
      </x:c>
      <x:c r="K81" s="80" t="str">
        <x:v>上品</x:v>
      </x:c>
      <x:c r="L81" s="82" t="n">
        <x:v>10</x:v>
      </x:c>
      <x:c r="M81" s="82" t="n">
        <x:v>17</x:v>
      </x:c>
      <x:c r="N81" s="82" t="n">
        <x:f>M81-L81</x:f>
        <x:v>7</x:v>
      </x:c>
      <x:c r="O81" s="83" t="n">
        <x:f>IF(M81=0,0,N81/M81)</x:f>
        <x:v>0.4117647058823529</x:v>
      </x:c>
      <x:c r="P81" s="80" t="str">
        <x:v>qian</x:v>
      </x:c>
    </x:row>
    <x:row r="82">
      <x:c r="A82" s="10" t="s">
        <x:v>1300</x:v>
      </x:c>
      <x:c r="B82" s="7" t="s">
        <x:v>1299</x:v>
      </x:c>
      <x:c r="C82" s="7" t="s">
        <x:v>1393</x:v>
      </x:c>
      <x:c r="D82" s="7" t="s">
        <x:v>1526</x:v>
      </x:c>
      <x:c r="E82" s="7" t="s">
        <x:v>1457</x:v>
      </x:c>
      <x:c r="F82" s="25" t="s">
        <x:v>1375</x:v>
      </x:c>
      <x:c r="G82" s="25">
        <x:v>74</x:v>
      </x:c>
      <x:c r="H82" s="7" t="s">
        <x:v>1376</x:v>
      </x:c>
      <x:c r="I82" s="7" t="s">
        <x:v>1527</x:v>
      </x:c>
      <x:c r="J82" s="23" t="s">
        <x:v>1392</x:v>
      </x:c>
      <x:c r="K82" s="80" t="str">
        <x:v>上品</x:v>
      </x:c>
      <x:c r="L82" s="82" t="n">
        <x:v>8</x:v>
      </x:c>
      <x:c r="M82" s="82" t="n">
        <x:v>14</x:v>
      </x:c>
      <x:c r="N82" s="82" t="n">
        <x:f>M82-L82</x:f>
        <x:v>6</x:v>
      </x:c>
      <x:c r="O82" s="83" t="n">
        <x:f>IF(M82=0,0,N82/M82)</x:f>
        <x:v>0.42857142857142855</x:v>
      </x:c>
      <x:c r="P82" s="80" t="str">
        <x:v>qian</x:v>
      </x:c>
    </x:row>
    <x:row r="83">
      <x:c r="A83" s="10" t="s">
        <x:v>1302</x:v>
      </x:c>
      <x:c r="B83" s="7" t="s">
        <x:v>1301</x:v>
      </x:c>
      <x:c r="C83" s="7" t="s">
        <x:v>1393</x:v>
      </x:c>
      <x:c r="D83" s="7" t="s">
        <x:v>1383</x:v>
      </x:c>
      <x:c r="E83" s="7" t="s">
        <x:v>1514</x:v>
      </x:c>
      <x:c r="F83" s="25" t="s">
        <x:v>1375</x:v>
      </x:c>
      <x:c r="G83" s="25">
        <x:v>75</x:v>
      </x:c>
      <x:c r="H83" s="7" t="s">
        <x:v>1376</x:v>
      </x:c>
      <x:c r="I83" s="7" t="s">
        <x:v>1528</x:v>
      </x:c>
      <x:c r="J83" s="23" t="s">
        <x:v>1392</x:v>
      </x:c>
      <x:c r="K83" s="80" t="str">
        <x:v>上品</x:v>
      </x:c>
      <x:c r="L83" s="82" t="n">
        <x:v>8</x:v>
      </x:c>
      <x:c r="M83" s="82" t="n">
        <x:v>14</x:v>
      </x:c>
      <x:c r="N83" s="82" t="n">
        <x:f>M83-L83</x:f>
        <x:v>6</x:v>
      </x:c>
      <x:c r="O83" s="83" t="n">
        <x:f>IF(M83=0,0,N83/M83)</x:f>
        <x:v>0.42857142857142855</x:v>
      </x:c>
      <x:c r="P83" s="80" t="str">
        <x:v>qian</x:v>
      </x:c>
    </x:row>
    <x:row r="84">
      <x:c r="A84" s="10" t="s">
        <x:v>1304</x:v>
      </x:c>
      <x:c r="B84" s="7" t="s">
        <x:v>1303</x:v>
      </x:c>
      <x:c r="C84" s="7" t="s">
        <x:v>1393</x:v>
      </x:c>
      <x:c r="D84" s="7" t="s">
        <x:v>1383</x:v>
      </x:c>
      <x:c r="E84" s="7" t="s">
        <x:v>1466</x:v>
      </x:c>
      <x:c r="F84" s="25" t="s">
        <x:v>1375</x:v>
      </x:c>
      <x:c r="G84" s="25">
        <x:v>76</x:v>
      </x:c>
      <x:c r="H84" s="7" t="s">
        <x:v>1376</x:v>
      </x:c>
      <x:c r="I84" s="7" t="s">
        <x:v>1529</x:v>
      </x:c>
      <x:c r="J84" s="23" t="s">
        <x:v>1426</x:v>
      </x:c>
      <x:c r="K84" s="80" t="str">
        <x:v>上品</x:v>
      </x:c>
      <x:c r="L84" s="82" t="n">
        <x:v>12</x:v>
      </x:c>
      <x:c r="M84" s="82" t="n">
        <x:v>20</x:v>
      </x:c>
      <x:c r="N84" s="82" t="n">
        <x:f>M84-L84</x:f>
        <x:v>8</x:v>
      </x:c>
      <x:c r="O84" s="83" t="n">
        <x:f>IF(M84=0,0,N84/M84)</x:f>
        <x:v>0.4</x:v>
      </x:c>
      <x:c r="P84" s="80" t="str">
        <x:v>qian</x:v>
      </x:c>
    </x:row>
    <x:row r="85">
      <x:c r="A85" s="10" t="s">
        <x:v>1306</x:v>
      </x:c>
      <x:c r="B85" s="7" t="s">
        <x:v>1305</x:v>
      </x:c>
      <x:c r="C85" s="7" t="s">
        <x:v>1372</x:v>
      </x:c>
      <x:c r="D85" s="7" t="s">
        <x:v>1389</x:v>
      </x:c>
      <x:c r="E85" s="7" t="s">
        <x:v>1400</x:v>
      </x:c>
      <x:c r="F85" s="25" t="s">
        <x:v>1375</x:v>
      </x:c>
      <x:c r="G85" s="25">
        <x:v>77</x:v>
      </x:c>
      <x:c r="H85" s="7" t="s">
        <x:v>1376</x:v>
      </x:c>
      <x:c r="I85" s="7" t="s">
        <x:v>1530</x:v>
      </x:c>
      <x:c r="J85" s="23" t="s">
        <x:v>1504</x:v>
      </x:c>
      <x:c r="K85" s="80" t="str">
        <x:v>常用</x:v>
      </x:c>
      <x:c r="L85" s="82" t="n">
        <x:v>5</x:v>
      </x:c>
      <x:c r="M85" s="82" t="n">
        <x:v>10</x:v>
      </x:c>
      <x:c r="N85" s="82" t="n">
        <x:f>M85-L85</x:f>
        <x:v>5</x:v>
      </x:c>
      <x:c r="O85" s="83" t="n">
        <x:f>IF(M85=0,0,N85/M85)</x:f>
        <x:v>0.5</x:v>
      </x:c>
      <x:c r="P85" s="80" t="str">
        <x:v>qian</x:v>
      </x:c>
    </x:row>
    <x:row r="86">
      <x:c r="A86" s="10" t="s">
        <x:v>1308</x:v>
      </x:c>
      <x:c r="B86" s="7" t="s">
        <x:v>1307</x:v>
      </x:c>
      <x:c r="C86" s="7" t="s">
        <x:v>1372</x:v>
      </x:c>
      <x:c r="D86" s="7" t="s">
        <x:v>1373</x:v>
      </x:c>
      <x:c r="E86" s="7" t="s">
        <x:v>1394</x:v>
      </x:c>
      <x:c r="F86" s="25" t="s">
        <x:v>1375</x:v>
      </x:c>
      <x:c r="G86" s="25">
        <x:v>78</x:v>
      </x:c>
      <x:c r="H86" s="7" t="s">
        <x:v>1376</x:v>
      </x:c>
      <x:c r="I86" s="7" t="s">
        <x:v>1531</x:v>
      </x:c>
      <x:c r="J86" s="23" t="s">
        <x:v>1422</x:v>
      </x:c>
      <x:c r="K86" s="80" t="str">
        <x:v>上品</x:v>
      </x:c>
      <x:c r="L86" s="82" t="n">
        <x:v>10</x:v>
      </x:c>
      <x:c r="M86" s="82" t="n">
        <x:v>17</x:v>
      </x:c>
      <x:c r="N86" s="82" t="n">
        <x:f>M86-L86</x:f>
        <x:v>7</x:v>
      </x:c>
      <x:c r="O86" s="83" t="n">
        <x:f>IF(M86=0,0,N86/M86)</x:f>
        <x:v>0.4117647058823529</x:v>
      </x:c>
      <x:c r="P86" s="80" t="str">
        <x:v>qian</x:v>
      </x:c>
    </x:row>
    <x:row r="87">
      <x:c r="A87" s="10" t="s">
        <x:v>1310</x:v>
      </x:c>
      <x:c r="B87" s="7" t="s">
        <x:v>1309</x:v>
      </x:c>
      <x:c r="C87" s="7" t="s">
        <x:v>1393</x:v>
      </x:c>
      <x:c r="D87" s="7" t="s">
        <x:v>1383</x:v>
      </x:c>
      <x:c r="E87" s="7" t="s">
        <x:v>1468</x:v>
      </x:c>
      <x:c r="F87" s="25" t="s">
        <x:v>1375</x:v>
      </x:c>
      <x:c r="G87" s="25">
        <x:v>79</x:v>
      </x:c>
      <x:c r="H87" s="7" t="s">
        <x:v>1376</x:v>
      </x:c>
      <x:c r="I87" s="7" t="s">
        <x:v>1532</x:v>
      </x:c>
      <x:c r="J87" s="23" t="s">
        <x:v>1426</x:v>
      </x:c>
      <x:c r="K87" s="80" t="str">
        <x:v>上品</x:v>
      </x:c>
      <x:c r="L87" s="82" t="n">
        <x:v>8</x:v>
      </x:c>
      <x:c r="M87" s="82" t="n">
        <x:v>14</x:v>
      </x:c>
      <x:c r="N87" s="82" t="n">
        <x:f>M87-L87</x:f>
        <x:v>6</x:v>
      </x:c>
      <x:c r="O87" s="83" t="n">
        <x:f>IF(M87=0,0,N87/M87)</x:f>
        <x:v>0.42857142857142855</x:v>
      </x:c>
      <x:c r="P87" s="80" t="str">
        <x:v>qian</x:v>
      </x:c>
    </x:row>
    <x:row r="88">
      <x:c r="A88" s="10" t="s">
        <x:v>1312</x:v>
      </x:c>
      <x:c r="B88" s="7" t="s">
        <x:v>1311</x:v>
      </x:c>
      <x:c r="C88" s="7" t="s">
        <x:v>1393</x:v>
      </x:c>
      <x:c r="D88" s="7" t="s">
        <x:v>1417</x:v>
      </x:c>
      <x:c r="E88" s="11" t="s">
        <x:v>1463</x:v>
      </x:c>
      <x:c r="F88" s="25" t="s">
        <x:v>1375</x:v>
      </x:c>
      <x:c r="G88" s="25">
        <x:v>80</x:v>
      </x:c>
      <x:c r="H88" s="7" t="s">
        <x:v>1376</x:v>
      </x:c>
      <x:c r="I88" s="7" t="s">
        <x:v>1533</x:v>
      </x:c>
      <x:c r="J88" s="23" t="s">
        <x:v>1511</x:v>
      </x:c>
      <x:c r="K88" s="80" t="str">
        <x:v>常用</x:v>
      </x:c>
      <x:c r="L88" s="82" t="n">
        <x:v>5</x:v>
      </x:c>
      <x:c r="M88" s="82" t="n">
        <x:v>9</x:v>
      </x:c>
      <x:c r="N88" s="82" t="n">
        <x:f>M88-L88</x:f>
        <x:v>4</x:v>
      </x:c>
      <x:c r="O88" s="83" t="n">
        <x:f>IF(M88=0,0,N88/M88)</x:f>
        <x:v>0.4444444444444444</x:v>
      </x:c>
      <x:c r="P88" s="80" t="str">
        <x:v>qian</x:v>
      </x:c>
    </x:row>
    <x:row r="89">
      <x:c r="A89" s="10" t="s">
        <x:v>1314</x:v>
      </x:c>
      <x:c r="B89" s="7" t="s">
        <x:v>1313</x:v>
      </x:c>
      <x:c r="C89" s="7" t="s">
        <x:v>1393</x:v>
      </x:c>
      <x:c r="D89" s="7" t="s">
        <x:v>1389</x:v>
      </x:c>
      <x:c r="E89" s="7" t="s">
        <x:v>1534</x:v>
      </x:c>
      <x:c r="F89" s="25" t="s">
        <x:v>1375</x:v>
      </x:c>
      <x:c r="G89" s="25">
        <x:v>81</x:v>
      </x:c>
      <x:c r="H89" s="7" t="s">
        <x:v>1376</x:v>
      </x:c>
      <x:c r="I89" s="7" t="s">
        <x:v>1535</x:v>
      </x:c>
      <x:c r="J89" s="48" t="s">
        <x:v>1405</x:v>
      </x:c>
      <x:c r="K89" s="80" t="str">
        <x:v>常用</x:v>
      </x:c>
      <x:c r="L89" s="82" t="n">
        <x:v>5</x:v>
      </x:c>
      <x:c r="M89" s="82" t="n">
        <x:v>9</x:v>
      </x:c>
      <x:c r="N89" s="82" t="n">
        <x:f>M89-L89</x:f>
        <x:v>4</x:v>
      </x:c>
      <x:c r="O89" s="83" t="n">
        <x:f>IF(M89=0,0,N89/M89)</x:f>
        <x:v>0.4444444444444444</x:v>
      </x:c>
      <x:c r="P89" s="80" t="str">
        <x:v>qian</x:v>
      </x:c>
    </x:row>
    <x:row r="90">
      <x:c r="A90" s="10" t="s">
        <x:v>1316</x:v>
      </x:c>
      <x:c r="B90" s="7" t="s">
        <x:v>1315</x:v>
      </x:c>
      <x:c r="C90" s="7" t="s">
        <x:v>1372</x:v>
      </x:c>
      <x:c r="D90" s="7" t="s">
        <x:v>1397</x:v>
      </x:c>
      <x:c r="E90" s="7" t="s">
        <x:v>1446</x:v>
      </x:c>
      <x:c r="F90" s="25" t="s">
        <x:v>1375</x:v>
      </x:c>
      <x:c r="G90" s="25">
        <x:v>82</x:v>
      </x:c>
      <x:c r="H90" s="7" t="s">
        <x:v>1376</x:v>
      </x:c>
      <x:c r="I90" s="7" t="s">
        <x:v>1536</x:v>
      </x:c>
      <x:c r="J90" s="23" t="s">
        <x:v>1495</x:v>
      </x:c>
      <x:c r="K90" s="80" t="str">
        <x:v>平价</x:v>
      </x:c>
      <x:c r="L90" s="82" t="n">
        <x:v>2</x:v>
      </x:c>
      <x:c r="M90" s="82" t="n">
        <x:v>4</x:v>
      </x:c>
      <x:c r="N90" s="82" t="n">
        <x:f>M90-L90</x:f>
        <x:v>2</x:v>
      </x:c>
      <x:c r="O90" s="83" t="n">
        <x:f>IF(M90=0,0,N90/M90)</x:f>
        <x:v>0.5</x:v>
      </x:c>
      <x:c r="P90" s="80" t="str">
        <x:v>qian</x:v>
      </x:c>
    </x:row>
    <x:row r="91">
      <x:c r="A91" s="10" t="s">
        <x:v>1318</x:v>
      </x:c>
      <x:c r="B91" s="7" t="s">
        <x:v>1317</x:v>
      </x:c>
      <x:c r="C91" s="7" t="s">
        <x:v>1388</x:v>
      </x:c>
      <x:c r="D91" s="7" t="s">
        <x:v>1389</x:v>
      </x:c>
      <x:c r="E91" s="7" t="s">
        <x:v>1473</x:v>
      </x:c>
      <x:c r="F91" s="25" t="s">
        <x:v>1375</x:v>
      </x:c>
      <x:c r="G91" s="25">
        <x:v>83</x:v>
      </x:c>
      <x:c r="H91" s="7" t="s">
        <x:v>1376</x:v>
      </x:c>
      <x:c r="I91" s="7" t="s">
        <x:v>1537</x:v>
      </x:c>
      <x:c r="J91" s="23" t="s">
        <x:v>1422</x:v>
      </x:c>
      <x:c r="K91" s="80" t="str">
        <x:v>上品</x:v>
      </x:c>
      <x:c r="L91" s="82" t="n">
        <x:v>8</x:v>
      </x:c>
      <x:c r="M91" s="82" t="n">
        <x:v>13</x:v>
      </x:c>
      <x:c r="N91" s="82" t="n">
        <x:f>M91-L91</x:f>
        <x:v>5</x:v>
      </x:c>
      <x:c r="O91" s="83" t="n">
        <x:f>IF(M91=0,0,N91/M91)</x:f>
        <x:v>0.38461538461538464</x:v>
      </x:c>
      <x:c r="P91" s="80" t="str">
        <x:v>qian</x:v>
      </x:c>
    </x:row>
    <x:row r="92">
      <x:c r="A92" s="10" t="s">
        <x:v>1320</x:v>
      </x:c>
      <x:c r="B92" s="7" t="s">
        <x:v>1319</x:v>
      </x:c>
      <x:c r="C92" s="7" t="s">
        <x:v>1372</x:v>
      </x:c>
      <x:c r="D92" s="7" t="s">
        <x:v>1397</x:v>
      </x:c>
      <x:c r="E92" s="7" t="s">
        <x:v>1457</x:v>
      </x:c>
      <x:c r="F92" s="25" t="s">
        <x:v>1375</x:v>
      </x:c>
      <x:c r="G92" s="25">
        <x:v>84</x:v>
      </x:c>
      <x:c r="H92" s="7" t="s">
        <x:v>1376</x:v>
      </x:c>
      <x:c r="I92" s="7" t="s">
        <x:v>1538</x:v>
      </x:c>
      <x:c r="J92" s="23" t="s">
        <x:v>1382</x:v>
      </x:c>
      <x:c r="K92" s="80" t="str">
        <x:v>上品</x:v>
      </x:c>
      <x:c r="L92" s="82" t="n">
        <x:v>8</x:v>
      </x:c>
      <x:c r="M92" s="82" t="n">
        <x:v>13</x:v>
      </x:c>
      <x:c r="N92" s="82" t="n">
        <x:f>M92-L92</x:f>
        <x:v>5</x:v>
      </x:c>
      <x:c r="O92" s="83" t="n">
        <x:f>IF(M92=0,0,N92/M92)</x:f>
        <x:v>0.38461538461538464</x:v>
      </x:c>
      <x:c r="P92" s="80" t="str">
        <x:v>qian</x:v>
      </x:c>
    </x:row>
    <x:row r="93">
      <x:c r="A93" s="10" t="s">
        <x:v>1322</x:v>
      </x:c>
      <x:c r="B93" s="7" t="s">
        <x:v>1321</x:v>
      </x:c>
      <x:c r="C93" s="7" t="s">
        <x:v>1372</x:v>
      </x:c>
      <x:c r="D93" s="7" t="s">
        <x:v>1373</x:v>
      </x:c>
      <x:c r="E93" s="7" t="s">
        <x:v>1499</x:v>
      </x:c>
      <x:c r="F93" s="25" t="s">
        <x:v>1375</x:v>
      </x:c>
      <x:c r="G93" s="25">
        <x:v>85</x:v>
      </x:c>
      <x:c r="H93" s="7" t="s">
        <x:v>1376</x:v>
      </x:c>
      <x:c r="I93" s="7" t="s">
        <x:v>1539</x:v>
      </x:c>
      <x:c r="J93" s="23" t="s">
        <x:v>1382</x:v>
      </x:c>
      <x:c r="K93" s="80" t="str">
        <x:v>名贵</x:v>
      </x:c>
      <x:c r="L93" s="82" t="n">
        <x:v>40</x:v>
      </x:c>
      <x:c r="M93" s="82" t="n">
        <x:v>60</x:v>
      </x:c>
      <x:c r="N93" s="82" t="n">
        <x:f>M93-L93</x:f>
        <x:v>20</x:v>
      </x:c>
      <x:c r="O93" s="83" t="n">
        <x:f>IF(M93=0,0,N93/M93)</x:f>
        <x:v>0.3333333333333333</x:v>
      </x:c>
      <x:c r="P93" s="80" t="str">
        <x:v>qian</x:v>
      </x:c>
    </x:row>
    <x:row r="94">
      <x:c r="A94" s="10" t="s">
        <x:v>1324</x:v>
      </x:c>
      <x:c r="B94" s="7" t="s">
        <x:v>1323</x:v>
      </x:c>
      <x:c r="C94" s="7" t="s">
        <x:v>1388</x:v>
      </x:c>
      <x:c r="D94" s="7" t="s">
        <x:v>1540</x:v>
      </x:c>
      <x:c r="E94" s="7" t="s">
        <x:v>1394</x:v>
      </x:c>
      <x:c r="F94" s="25" t="s">
        <x:v>1375</x:v>
      </x:c>
      <x:c r="G94" s="25">
        <x:v>86</x:v>
      </x:c>
      <x:c r="H94" s="7" t="s">
        <x:v>1376</x:v>
      </x:c>
      <x:c r="I94" s="7" t="s">
        <x:v>1541</x:v>
      </x:c>
      <x:c r="J94" s="23" t="s">
        <x:v>1511</x:v>
      </x:c>
      <x:c r="K94" s="80" t="str">
        <x:v>常用</x:v>
      </x:c>
      <x:c r="L94" s="82" t="n">
        <x:v>6</x:v>
      </x:c>
      <x:c r="M94" s="82" t="n">
        <x:v>11</x:v>
      </x:c>
      <x:c r="N94" s="82" t="n">
        <x:f>M94-L94</x:f>
        <x:v>5</x:v>
      </x:c>
      <x:c r="O94" s="83" t="n">
        <x:f>IF(M94=0,0,N94/M94)</x:f>
        <x:v>0.45454545454545453</x:v>
      </x:c>
      <x:c r="P94" s="80" t="str">
        <x:v>qian</x:v>
      </x:c>
    </x:row>
    <x:row r="95">
      <x:c r="A95" s="10" t="s">
        <x:v>1326</x:v>
      </x:c>
      <x:c r="B95" s="11" t="s">
        <x:v>1325</x:v>
      </x:c>
      <x:c r="C95" s="7" t="s">
        <x:v>1372</x:v>
      </x:c>
      <x:c r="D95" s="7" t="s">
        <x:v>1526</x:v>
      </x:c>
      <x:c r="E95" s="7" t="s">
        <x:v>1468</x:v>
      </x:c>
      <x:c r="F95" s="25" t="s">
        <x:v>1375</x:v>
      </x:c>
      <x:c r="G95" s="25">
        <x:v>87</x:v>
      </x:c>
      <x:c r="H95" s="7" t="s">
        <x:v>1376</x:v>
      </x:c>
      <x:c r="I95" s="7" t="s">
        <x:v>1542</x:v>
      </x:c>
      <x:c r="J95" s="48" t="s">
        <x:v>1543</x:v>
      </x:c>
      <x:c r="K95" s="80" t="str">
        <x:v>上品</x:v>
      </x:c>
      <x:c r="L95" s="82" t="n">
        <x:v>9</x:v>
      </x:c>
      <x:c r="M95" s="82" t="n">
        <x:v>16</x:v>
      </x:c>
      <x:c r="N95" s="82" t="n">
        <x:f>M95-L95</x:f>
        <x:v>7</x:v>
      </x:c>
      <x:c r="O95" s="83" t="n">
        <x:f>IF(M95=0,0,N95/M95)</x:f>
        <x:v>0.4375</x:v>
      </x:c>
      <x:c r="P95" s="80" t="str">
        <x:v>qian</x:v>
      </x:c>
    </x:row>
    <x:row r="96">
      <x:c r="A96" s="10" t="s">
        <x:v>1328</x:v>
      </x:c>
      <x:c r="B96" s="7" t="s">
        <x:v>1327</x:v>
      </x:c>
      <x:c r="C96" s="7" t="s">
        <x:v>1393</x:v>
      </x:c>
      <x:c r="D96" s="7" t="s">
        <x:v>1411</x:v>
      </x:c>
      <x:c r="E96" s="7" t="s">
        <x:v>1506</x:v>
      </x:c>
      <x:c r="F96" s="25" t="s">
        <x:v>1375</x:v>
      </x:c>
      <x:c r="G96" s="25">
        <x:v>88</x:v>
      </x:c>
      <x:c r="H96" s="7" t="s">
        <x:v>1376</x:v>
      </x:c>
      <x:c r="I96" s="7" t="s">
        <x:v>1544</x:v>
      </x:c>
      <x:c r="J96" s="23" t="s">
        <x:v>1396</x:v>
      </x:c>
      <x:c r="K96" s="80" t="str">
        <x:v>上品</x:v>
      </x:c>
      <x:c r="L96" s="82" t="n">
        <x:v>7</x:v>
      </x:c>
      <x:c r="M96" s="82" t="n">
        <x:v>11</x:v>
      </x:c>
      <x:c r="N96" s="82" t="n">
        <x:f>M96-L96</x:f>
        <x:v>4</x:v>
      </x:c>
      <x:c r="O96" s="83" t="n">
        <x:f>IF(M96=0,0,N96/M96)</x:f>
        <x:v>0.36363636363636365</x:v>
      </x:c>
      <x:c r="P96" s="80" t="str">
        <x:v>qian</x:v>
      </x:c>
    </x:row>
    <x:row r="97">
      <x:c r="A97" s="10" t="s">
        <x:v>1330</x:v>
      </x:c>
      <x:c r="B97" s="11" t="s">
        <x:v>1329</x:v>
      </x:c>
      <x:c r="C97" s="7" t="s">
        <x:v>1372</x:v>
      </x:c>
      <x:c r="D97" s="7" t="s">
        <x:v>1373</x:v>
      </x:c>
      <x:c r="E97" s="7" t="s">
        <x:v>1466</x:v>
      </x:c>
      <x:c r="F97" s="25" t="s">
        <x:v>1375</x:v>
      </x:c>
      <x:c r="G97" s="25">
        <x:v>89</x:v>
      </x:c>
      <x:c r="H97" s="7" t="s">
        <x:v>1376</x:v>
      </x:c>
      <x:c r="I97" s="7" t="s">
        <x:v>1545</x:v>
      </x:c>
      <x:c r="J97" s="23" t="s">
        <x:v>1426</x:v>
      </x:c>
      <x:c r="K97" s="80" t="str">
        <x:v>上品</x:v>
      </x:c>
      <x:c r="L97" s="82" t="n">
        <x:v>11</x:v>
      </x:c>
      <x:c r="M97" s="82" t="n">
        <x:v>19</x:v>
      </x:c>
      <x:c r="N97" s="82" t="n">
        <x:f>M97-L97</x:f>
        <x:v>8</x:v>
      </x:c>
      <x:c r="O97" s="83" t="n">
        <x:f>IF(M97=0,0,N97/M97)</x:f>
        <x:v>0.42105263157894735</x:v>
      </x:c>
      <x:c r="P97" s="80" t="str">
        <x:v>qian</x:v>
      </x:c>
    </x:row>
    <x:row r="98">
      <x:c r="A98" s="10" t="s">
        <x:v>1332</x:v>
      </x:c>
      <x:c r="B98" s="7" t="s">
        <x:v>1331</x:v>
      </x:c>
      <x:c r="C98" s="7" t="s">
        <x:v>1393</x:v>
      </x:c>
      <x:c r="D98" s="7" t="s">
        <x:v>1383</x:v>
      </x:c>
      <x:c r="E98" s="7" t="s">
        <x:v>1446</x:v>
      </x:c>
      <x:c r="F98" s="7" t="s">
        <x:v>1385</x:v>
      </x:c>
      <x:c r="G98" s="25">
        <x:v>90</x:v>
      </x:c>
      <x:c r="H98" s="7" t="s">
        <x:v>1376</x:v>
      </x:c>
      <x:c r="I98" s="7" t="s">
        <x:v>1546</x:v>
      </x:c>
      <x:c r="J98" s="23" t="s">
        <x:v>1493</x:v>
      </x:c>
      <x:c r="K98" s="80" t="str">
        <x:v>上品</x:v>
      </x:c>
      <x:c r="L98" s="82" t="n">
        <x:v>7</x:v>
      </x:c>
      <x:c r="M98" s="82" t="n">
        <x:v>12</x:v>
      </x:c>
      <x:c r="N98" s="82" t="n">
        <x:f>M98-L98</x:f>
        <x:v>5</x:v>
      </x:c>
      <x:c r="O98" s="83" t="n">
        <x:f>IF(M98=0,0,N98/M98)</x:f>
        <x:v>0.4166666666666667</x:v>
      </x:c>
      <x:c r="P98" s="80" t="str">
        <x:v>qian</x:v>
      </x:c>
    </x:row>
    <x:row r="99">
      <x:c r="A99" s="10" t="s">
        <x:v>1334</x:v>
      </x:c>
      <x:c r="B99" s="7" t="s">
        <x:v>1333</x:v>
      </x:c>
      <x:c r="C99" s="7" t="s">
        <x:v>1409</x:v>
      </x:c>
      <x:c r="D99" s="7" t="s">
        <x:v>1389</x:v>
      </x:c>
      <x:c r="E99" s="7" t="s">
        <x:v>1468</x:v>
      </x:c>
      <x:c r="F99" s="25" t="s">
        <x:v>1375</x:v>
      </x:c>
      <x:c r="G99" s="25">
        <x:v>91</x:v>
      </x:c>
      <x:c r="H99" s="7" t="s">
        <x:v>1376</x:v>
      </x:c>
      <x:c r="I99" s="7" t="s">
        <x:v>1547</x:v>
      </x:c>
      <x:c r="J99" s="23" t="s">
        <x:v>1403</x:v>
      </x:c>
      <x:c r="K99" s="80" t="str">
        <x:v>上品</x:v>
      </x:c>
      <x:c r="L99" s="82" t="n">
        <x:v>11</x:v>
      </x:c>
      <x:c r="M99" s="82" t="n">
        <x:v>19</x:v>
      </x:c>
      <x:c r="N99" s="82" t="n">
        <x:f>M99-L99</x:f>
        <x:v>8</x:v>
      </x:c>
      <x:c r="O99" s="83" t="n">
        <x:f>IF(M99=0,0,N99/M99)</x:f>
        <x:v>0.42105263157894735</x:v>
      </x:c>
      <x:c r="P99" s="80" t="str">
        <x:v>qian</x:v>
      </x:c>
    </x:row>
    <x:row r="100">
      <x:c r="A100" s="7" t="s">
        <x:v>1336</x:v>
      </x:c>
      <x:c r="B100" s="7" t="s">
        <x:v>1335</x:v>
      </x:c>
      <x:c r="C100" s="7" t="s">
        <x:v>1393</x:v>
      </x:c>
      <x:c r="D100" s="7" t="s">
        <x:v>1420</x:v>
      </x:c>
      <x:c r="E100" s="7" t="s">
        <x:v>1407</x:v>
      </x:c>
      <x:c r="F100" s="25" t="s">
        <x:v>1375</x:v>
      </x:c>
      <x:c r="G100" s="25">
        <x:v>92</x:v>
      </x:c>
      <x:c r="H100" s="7" t="s">
        <x:v>1376</x:v>
      </x:c>
      <x:c r="I100" s="7" t="s">
        <x:v>1548</x:v>
      </x:c>
      <x:c r="J100" s="23" t="s">
        <x:v>1378</x:v>
      </x:c>
      <x:c r="K100" s="80" t="str">
        <x:v>常用</x:v>
      </x:c>
      <x:c r="L100" s="82" t="n">
        <x:v>5</x:v>
      </x:c>
      <x:c r="M100" s="82" t="n">
        <x:v>9</x:v>
      </x:c>
      <x:c r="N100" s="82" t="n">
        <x:f>M100-L100</x:f>
        <x:v>4</x:v>
      </x:c>
      <x:c r="O100" s="83" t="n">
        <x:f>IF(M100=0,0,N100/M100)</x:f>
        <x:v>0.4444444444444444</x:v>
      </x:c>
      <x:c r="P100" s="80" t="str">
        <x:v>qian</x:v>
      </x:c>
    </x:row>
    <x:row r="101">
      <x:c r="A101" s="10" t="s">
        <x:v>1338</x:v>
      </x:c>
      <x:c r="B101" s="7" t="s">
        <x:v>1337</x:v>
      </x:c>
      <x:c r="C101" s="7" t="s">
        <x:v>1388</x:v>
      </x:c>
      <x:c r="D101" s="7" t="s">
        <x:v>1549</x:v>
      </x:c>
      <x:c r="E101" s="7" t="s">
        <x:v>1374</x:v>
      </x:c>
      <x:c r="F101" s="7" t="s">
        <x:v>1385</x:v>
      </x:c>
      <x:c r="G101" s="25">
        <x:v>93</x:v>
      </x:c>
      <x:c r="H101" s="7" t="s">
        <x:v>1376</x:v>
      </x:c>
      <x:c r="I101" s="7" t="s">
        <x:v>1550</x:v>
      </x:c>
      <x:c r="J101" s="49" t="s">
        <x:v>1551</x:v>
      </x:c>
      <x:c r="K101" s="80" t="str">
        <x:v>名贵</x:v>
      </x:c>
      <x:c r="L101" s="82" t="n">
        <x:v>28</x:v>
      </x:c>
      <x:c r="M101" s="82" t="n">
        <x:v>43</x:v>
      </x:c>
      <x:c r="N101" s="82" t="n">
        <x:f>M101-L101</x:f>
        <x:v>15</x:v>
      </x:c>
      <x:c r="O101" s="83" t="n">
        <x:f>IF(M101=0,0,N101/M101)</x:f>
        <x:v>0.3488372093023256</x:v>
      </x:c>
      <x:c r="P101" s="80" t="str">
        <x:v>qian</x:v>
      </x:c>
    </x:row>
    <x:row r="102">
      <x:c r="A102" s="10" t="s">
        <x:v>1340</x:v>
      </x:c>
      <x:c r="B102" s="7" t="s">
        <x:v>1339</x:v>
      </x:c>
      <x:c r="C102" s="7" t="s">
        <x:v>1372</x:v>
      </x:c>
      <x:c r="D102" s="7" t="s">
        <x:v>1552</x:v>
      </x:c>
      <x:c r="E102" s="7" t="s">
        <x:v>1473</x:v>
      </x:c>
      <x:c r="F102" s="25" t="s">
        <x:v>1375</x:v>
      </x:c>
      <x:c r="G102" s="25">
        <x:v>94</x:v>
      </x:c>
      <x:c r="H102" s="7" t="s">
        <x:v>1376</x:v>
      </x:c>
      <x:c r="I102" s="7" t="s">
        <x:v>1553</x:v>
      </x:c>
      <x:c r="J102" s="23" t="s">
        <x:v>1422</x:v>
      </x:c>
      <x:c r="K102" s="80" t="str">
        <x:v>上品</x:v>
      </x:c>
      <x:c r="L102" s="82" t="n">
        <x:v>10</x:v>
      </x:c>
      <x:c r="M102" s="82" t="n">
        <x:v>16</x:v>
      </x:c>
      <x:c r="N102" s="82" t="n">
        <x:f>M102-L102</x:f>
        <x:v>6</x:v>
      </x:c>
      <x:c r="O102" s="83" t="n">
        <x:f>IF(M102=0,0,N102/M102)</x:f>
        <x:v>0.375</x:v>
      </x:c>
      <x:c r="P102" s="80" t="str">
        <x:v>qian</x:v>
      </x:c>
    </x:row>
    <x:row r="103">
      <x:c r="A103" s="10" t="s">
        <x:v>1342</x:v>
      </x:c>
      <x:c r="B103" s="7" t="s">
        <x:v>1341</x:v>
      </x:c>
      <x:c r="C103" s="11" t="s">
        <x:v>1448</x:v>
      </x:c>
      <x:c r="D103" s="7" t="s">
        <x:v>1379</x:v>
      </x:c>
      <x:c r="E103" s="7" t="s">
        <x:v>1496</x:v>
      </x:c>
      <x:c r="F103" s="25" t="s">
        <x:v>1450</x:v>
      </x:c>
      <x:c r="G103" s="25">
        <x:v>95</x:v>
      </x:c>
      <x:c r="H103" s="7" t="s">
        <x:v>1376</x:v>
      </x:c>
      <x:c r="I103" s="7" t="s">
        <x:v>1554</x:v>
      </x:c>
      <x:c r="J103" s="23" t="s">
        <x:v>1434</x:v>
      </x:c>
      <x:c r="K103" s="80" t="str">
        <x:v>珍稀</x:v>
      </x:c>
      <x:c r="L103" s="82" t="n">
        <x:v>16</x:v>
      </x:c>
      <x:c r="M103" s="82" t="n">
        <x:v>27</x:v>
      </x:c>
      <x:c r="N103" s="82" t="n">
        <x:f>M103-L103</x:f>
        <x:v>11</x:v>
      </x:c>
      <x:c r="O103" s="83" t="n">
        <x:f>IF(M103=0,0,N103/M103)</x:f>
        <x:v>0.4074074074074074</x:v>
      </x:c>
      <x:c r="P103" s="80" t="str">
        <x:v>qian</x:v>
      </x:c>
    </x:row>
    <x:row r="104">
      <x:c r="A104" s="10" t="s">
        <x:v>1344</x:v>
      </x:c>
      <x:c r="B104" s="7" t="s">
        <x:v>1343</x:v>
      </x:c>
      <x:c r="C104" s="7" t="s">
        <x:v>1409</x:v>
      </x:c>
      <x:c r="D104" s="7" t="s">
        <x:v>1555</x:v>
      </x:c>
      <x:c r="E104" s="7" t="s">
        <x:v>1506</x:v>
      </x:c>
      <x:c r="F104" s="25" t="s">
        <x:v>1375</x:v>
      </x:c>
      <x:c r="G104" s="25">
        <x:v>96</x:v>
      </x:c>
      <x:c r="H104" s="7" t="s">
        <x:v>1376</x:v>
      </x:c>
      <x:c r="I104" s="7" t="s">
        <x:v>1556</x:v>
      </x:c>
      <x:c r="J104" s="23" t="s">
        <x:v>1557</x:v>
      </x:c>
      <x:c r="K104" s="80" t="str">
        <x:v>名贵</x:v>
      </x:c>
      <x:c r="L104" s="82" t="n">
        <x:v>50</x:v>
      </x:c>
      <x:c r="M104" s="82" t="n">
        <x:v>75</x:v>
      </x:c>
      <x:c r="N104" s="82" t="n">
        <x:f>M104-L104</x:f>
        <x:v>25</x:v>
      </x:c>
      <x:c r="O104" s="83" t="n">
        <x:f>IF(M104=0,0,N104/M104)</x:f>
        <x:v>0.3333333333333333</x:v>
      </x:c>
      <x:c r="P104" s="80" t="str">
        <x:v>qian</x:v>
      </x:c>
    </x:row>
    <x:row r="105">
      <x:c r="A105" s="10" t="s">
        <x:v>1346</x:v>
      </x:c>
      <x:c r="B105" s="7" t="s">
        <x:v>1345</x:v>
      </x:c>
      <x:c r="C105" s="7" t="s">
        <x:v>1372</x:v>
      </x:c>
      <x:c r="D105" s="7" t="s">
        <x:v>1555</x:v>
      </x:c>
      <x:c r="E105" s="7" t="s">
        <x:v>1473</x:v>
      </x:c>
      <x:c r="F105" s="25" t="s">
        <x:v>1375</x:v>
      </x:c>
      <x:c r="G105" s="25">
        <x:v>97</x:v>
      </x:c>
      <x:c r="H105" s="7" t="s">
        <x:v>1376</x:v>
      </x:c>
      <x:c r="I105" s="7" t="s">
        <x:v>1558</x:v>
      </x:c>
      <x:c r="J105" s="23" t="s">
        <x:v>1559</x:v>
      </x:c>
      <x:c r="K105" s="80" t="str">
        <x:v>极品</x:v>
      </x:c>
      <x:c r="L105" s="82" t="n">
        <x:v>75</x:v>
      </x:c>
      <x:c r="M105" s="82" t="n">
        <x:v>106</x:v>
      </x:c>
      <x:c r="N105" s="82" t="n">
        <x:f>M105-L105</x:f>
        <x:v>31</x:v>
      </x:c>
      <x:c r="O105" s="83" t="n">
        <x:f>IF(M105=0,0,N105/M105)</x:f>
        <x:v>0.29245283018867924</x:v>
      </x:c>
      <x:c r="P105" s="80" t="str">
        <x:v>qian</x:v>
      </x:c>
    </x:row>
    <x:row r="106">
      <x:c r="A106" s="10" t="s">
        <x:v>1348</x:v>
      </x:c>
      <x:c r="B106" s="7" t="s">
        <x:v>1347</x:v>
      </x:c>
      <x:c r="C106" s="7" t="s">
        <x:v>1372</x:v>
      </x:c>
      <x:c r="D106" s="7" t="s">
        <x:v>1389</x:v>
      </x:c>
      <x:c r="E106" s="7" t="s">
        <x:v>1446</x:v>
      </x:c>
      <x:c r="F106" s="25" t="s">
        <x:v>1375</x:v>
      </x:c>
      <x:c r="G106" s="25">
        <x:v>98</x:v>
      </x:c>
      <x:c r="H106" s="7" t="s">
        <x:v>1376</x:v>
      </x:c>
      <x:c r="I106" s="7" t="s">
        <x:v>1560</x:v>
      </x:c>
      <x:c r="J106" s="23" t="s">
        <x:v>1403</x:v>
      </x:c>
      <x:c r="K106" s="80" t="str">
        <x:v>上品</x:v>
      </x:c>
      <x:c r="L106" s="82" t="n">
        <x:v>12</x:v>
      </x:c>
      <x:c r="M106" s="82" t="n">
        <x:v>21</x:v>
      </x:c>
      <x:c r="N106" s="82" t="n">
        <x:f>M106-L106</x:f>
        <x:v>9</x:v>
      </x:c>
      <x:c r="O106" s="83" t="n">
        <x:f>IF(M106=0,0,N106/M106)</x:f>
        <x:v>0.42857142857142855</x:v>
      </x:c>
      <x:c r="P106" s="80" t="str">
        <x:v>qian</x:v>
      </x:c>
    </x:row>
    <x:row r="107">
      <x:c r="A107" s="10" t="s">
        <x:v>1350</x:v>
      </x:c>
      <x:c r="B107" s="7" t="s">
        <x:v>1349</x:v>
      </x:c>
      <x:c r="C107" s="7" t="s">
        <x:v>1372</x:v>
      </x:c>
      <x:c r="D107" s="7" t="s">
        <x:v>1389</x:v>
      </x:c>
      <x:c r="E107" s="7" t="s">
        <x:v>1473</x:v>
      </x:c>
      <x:c r="F107" s="25" t="s">
        <x:v>1375</x:v>
      </x:c>
      <x:c r="G107" s="25">
        <x:v>99</x:v>
      </x:c>
      <x:c r="H107" s="7" t="s">
        <x:v>1376</x:v>
      </x:c>
      <x:c r="I107" s="7" t="s">
        <x:v>1561</x:v>
      </x:c>
      <x:c r="J107" s="23" t="s">
        <x:v>1405</x:v>
      </x:c>
      <x:c r="K107" s="80" t="str">
        <x:v>上品</x:v>
      </x:c>
      <x:c r="L107" s="82" t="n">
        <x:v>11</x:v>
      </x:c>
      <x:c r="M107" s="82" t="n">
        <x:v>19</x:v>
      </x:c>
      <x:c r="N107" s="82" t="n">
        <x:f>M107-L107</x:f>
        <x:v>8</x:v>
      </x:c>
      <x:c r="O107" s="83" t="n">
        <x:f>IF(M107=0,0,N107/M107)</x:f>
        <x:v>0.42105263157894735</x:v>
      </x:c>
      <x:c r="P107" s="80" t="str">
        <x:v>qian</x:v>
      </x:c>
    </x:row>
    <x:row r="108">
      <x:c r="A108" s="10" t="s">
        <x:v>1352</x:v>
      </x:c>
      <x:c r="B108" s="7" t="s">
        <x:v>1351</x:v>
      </x:c>
      <x:c r="C108" s="7" t="s">
        <x:v>1388</x:v>
      </x:c>
      <x:c r="D108" s="7" t="s">
        <x:v>1428</x:v>
      </x:c>
      <x:c r="E108" s="7" t="s">
        <x:v>1499</x:v>
      </x:c>
      <x:c r="F108" s="25" t="s">
        <x:v>1375</x:v>
      </x:c>
      <x:c r="G108" s="25">
        <x:v>100</x:v>
      </x:c>
      <x:c r="H108" s="7" t="s">
        <x:v>1376</x:v>
      </x:c>
      <x:c r="I108" s="7" t="s">
        <x:v>1562</x:v>
      </x:c>
      <x:c r="J108" s="23" t="s">
        <x:v>1498</x:v>
      </x:c>
      <x:c r="K108" s="80" t="str">
        <x:v>常用</x:v>
      </x:c>
      <x:c r="L108" s="82" t="n">
        <x:v>5</x:v>
      </x:c>
      <x:c r="M108" s="82" t="n">
        <x:v>9</x:v>
      </x:c>
      <x:c r="N108" s="82" t="n">
        <x:f>M108-L108</x:f>
        <x:v>4</x:v>
      </x:c>
      <x:c r="O108" s="83" t="n">
        <x:f>IF(M108=0,0,N108/M108)</x:f>
        <x:v>0.4444444444444444</x:v>
      </x:c>
      <x:c r="P108" s="80" t="str">
        <x:v>qian</x:v>
      </x:c>
    </x:row>
    <x:row r="109">
      <x:c r="A109" s="10" t="s">
        <x:v>1354</x:v>
      </x:c>
      <x:c r="B109" s="7" t="s">
        <x:v>1353</x:v>
      </x:c>
      <x:c r="C109" s="7" t="s">
        <x:v>1388</x:v>
      </x:c>
      <x:c r="D109" s="7" t="s">
        <x:v>1428</x:v>
      </x:c>
      <x:c r="E109" s="7" t="s">
        <x:v>1506</x:v>
      </x:c>
      <x:c r="F109" s="25" t="s">
        <x:v>1375</x:v>
      </x:c>
      <x:c r="G109" s="25">
        <x:v>101</x:v>
      </x:c>
      <x:c r="H109" s="7" t="s">
        <x:v>1376</x:v>
      </x:c>
      <x:c r="I109" s="7" t="s">
        <x:v>1563</x:v>
      </x:c>
      <x:c r="J109" s="49" t="s">
        <x:v>1551</x:v>
      </x:c>
      <x:c r="K109" s="80" t="str">
        <x:v>上品</x:v>
      </x:c>
      <x:c r="L109" s="82" t="n">
        <x:v>8</x:v>
      </x:c>
      <x:c r="M109" s="82" t="n">
        <x:v>14</x:v>
      </x:c>
      <x:c r="N109" s="82" t="n">
        <x:f>M109-L109</x:f>
        <x:v>6</x:v>
      </x:c>
      <x:c r="O109" s="83" t="n">
        <x:f>IF(M109=0,0,N109/M109)</x:f>
        <x:v>0.42857142857142855</x:v>
      </x:c>
      <x:c r="P109" s="80" t="str">
        <x:v>qian</x:v>
      </x:c>
    </x:row>
    <x:row r="110">
      <x:c r="A110" s="10" t="s">
        <x:v>1356</x:v>
      </x:c>
      <x:c r="B110" s="7" t="s">
        <x:v>1355</x:v>
      </x:c>
      <x:c r="C110" s="7" t="s">
        <x:v>1393</x:v>
      </x:c>
      <x:c r="D110" s="7" t="s">
        <x:v>1549</x:v>
      </x:c>
      <x:c r="E110" s="7" t="s">
        <x:v>1473</x:v>
      </x:c>
      <x:c r="F110" s="25" t="s">
        <x:v>1375</x:v>
      </x:c>
      <x:c r="G110" s="25">
        <x:v>102</x:v>
      </x:c>
      <x:c r="H110" s="7" t="s">
        <x:v>1376</x:v>
      </x:c>
      <x:c r="I110" s="7" t="s">
        <x:v>1564</x:v>
      </x:c>
      <x:c r="J110" s="23" t="s">
        <x:v>1565</x:v>
      </x:c>
      <x:c r="K110" s="80" t="str">
        <x:v>常用</x:v>
      </x:c>
      <x:c r="L110" s="82" t="n">
        <x:v>4</x:v>
      </x:c>
      <x:c r="M110" s="82" t="n">
        <x:v>8</x:v>
      </x:c>
      <x:c r="N110" s="82" t="n">
        <x:f>M110-L110</x:f>
        <x:v>4</x:v>
      </x:c>
      <x:c r="O110" s="83" t="n">
        <x:f>IF(M110=0,0,N110/M110)</x:f>
        <x:v>0.5</x:v>
      </x:c>
      <x:c r="P110" s="80" t="str">
        <x:v>qian</x:v>
      </x:c>
    </x:row>
    <x:row r="111">
      <x:c r="A111" s="10" t="s">
        <x:v>1358</x:v>
      </x:c>
      <x:c r="B111" s="7" t="s">
        <x:v>1357</x:v>
      </x:c>
      <x:c r="C111" s="7" t="s">
        <x:v>1388</x:v>
      </x:c>
      <x:c r="D111" s="7" t="s">
        <x:v>1428</x:v>
      </x:c>
      <x:c r="E111" s="7" t="s">
        <x:v>1566</x:v>
      </x:c>
      <x:c r="F111" s="25" t="s">
        <x:v>1375</x:v>
      </x:c>
      <x:c r="G111" s="25">
        <x:v>103</x:v>
      </x:c>
      <x:c r="H111" s="7" t="s">
        <x:v>1376</x:v>
      </x:c>
      <x:c r="I111" s="7" t="s">
        <x:v>1567</x:v>
      </x:c>
      <x:c r="J111" s="23" t="s">
        <x:v>1498</x:v>
      </x:c>
      <x:c r="K111" s="80" t="str">
        <x:v>上品</x:v>
      </x:c>
      <x:c r="L111" s="82" t="n">
        <x:v>7</x:v>
      </x:c>
      <x:c r="M111" s="82" t="n">
        <x:v>12</x:v>
      </x:c>
      <x:c r="N111" s="82" t="n">
        <x:f>M111-L111</x:f>
        <x:v>5</x:v>
      </x:c>
      <x:c r="O111" s="83" t="n">
        <x:f>IF(M111=0,0,N111/M111)</x:f>
        <x:v>0.4166666666666667</x:v>
      </x:c>
      <x:c r="P111" s="80" t="str">
        <x:v>qian</x:v>
      </x:c>
    </x:row>
    <x:row r="112">
      <x:c r="A112" s="10" t="s">
        <x:v>1360</x:v>
      </x:c>
      <x:c r="B112" s="11" t="s">
        <x:v>1359</x:v>
      </x:c>
      <x:c r="C112" s="11" t="s">
        <x:v>1372</x:v>
      </x:c>
      <x:c r="D112" s="7" t="s">
        <x:v>1411</x:v>
      </x:c>
      <x:c r="E112" s="7" t="s">
        <x:v>1473</x:v>
      </x:c>
      <x:c r="F112" s="25" t="s">
        <x:v>1375</x:v>
      </x:c>
      <x:c r="G112" s="25">
        <x:v>104</x:v>
      </x:c>
      <x:c r="H112" s="7" t="s">
        <x:v>1376</x:v>
      </x:c>
      <x:c r="I112" s="7" t="s">
        <x:v>1568</x:v>
      </x:c>
      <x:c r="J112" s="48" t="s">
        <x:v>1378</x:v>
      </x:c>
      <x:c r="K112" s="80" t="str">
        <x:v>上品</x:v>
      </x:c>
      <x:c r="L112" s="82" t="n">
        <x:v>10</x:v>
      </x:c>
      <x:c r="M112" s="82" t="n">
        <x:v>17</x:v>
      </x:c>
      <x:c r="N112" s="82" t="n">
        <x:f>M112-L112</x:f>
        <x:v>7</x:v>
      </x:c>
      <x:c r="O112" s="83" t="n">
        <x:f>IF(M112=0,0,N112/M112)</x:f>
        <x:v>0.4117647058823529</x:v>
      </x:c>
      <x:c r="P112" s="80" t="str">
        <x:v>qian</x:v>
      </x:c>
    </x:row>
    <x:row r="113">
      <x:c r="A113" s="10" t="s">
        <x:v>1363</x:v>
      </x:c>
      <x:c r="B113" s="7" t="s">
        <x:v>1362</x:v>
      </x:c>
      <x:c r="C113" s="11" t="s">
        <x:v>1372</x:v>
      </x:c>
      <x:c r="D113" s="7" t="s">
        <x:v>1389</x:v>
      </x:c>
      <x:c r="E113" s="7" t="s">
        <x:v>1384</x:v>
      </x:c>
      <x:c r="F113" s="25" t="s">
        <x:v>1375</x:v>
      </x:c>
      <x:c r="G113" s="25">
        <x:v>105</x:v>
      </x:c>
      <x:c r="H113" s="7" t="s">
        <x:v>1376</x:v>
      </x:c>
      <x:c r="I113" s="7" t="s">
        <x:v>1569</x:v>
      </x:c>
      <x:c r="J113" s="48" t="s">
        <x:v>1460</x:v>
      </x:c>
      <x:c r="K113" s="80" t="str">
        <x:v>平价</x:v>
      </x:c>
      <x:c r="L113" s="82" t="n">
        <x:v>2</x:v>
      </x:c>
      <x:c r="M113" s="82" t="n">
        <x:v>4</x:v>
      </x:c>
      <x:c r="N113" s="82" t="n">
        <x:f>M113-L113</x:f>
        <x:v>2</x:v>
      </x:c>
      <x:c r="O113" s="83" t="n">
        <x:f>IF(M113=0,0,N113/M113)</x:f>
        <x:v>0.5</x:v>
      </x:c>
      <x:c r="P113" s="80" t="str">
        <x:v>qian</x:v>
      </x:c>
    </x:row>
    <x:row r="114">
      <x:c r="A114" s="10" t="s">
        <x:v>1365</x:v>
      </x:c>
      <x:c r="B114" s="7" t="s">
        <x:v>1364</x:v>
      </x:c>
      <x:c r="C114" s="7" t="s">
        <x:v>1388</x:v>
      </x:c>
      <x:c r="D114" s="7" t="s">
        <x:v>1389</x:v>
      </x:c>
      <x:c r="E114" s="7" t="s">
        <x:v>1570</x:v>
      </x:c>
      <x:c r="F114" s="25" t="s">
        <x:v>1375</x:v>
      </x:c>
      <x:c r="G114" s="25">
        <x:v>106</x:v>
      </x:c>
      <x:c r="H114" s="7" t="s">
        <x:v>1376</x:v>
      </x:c>
      <x:c r="I114" s="7" t="s">
        <x:v>1571</x:v>
      </x:c>
      <x:c r="J114" s="23" t="s">
        <x:v>1572</x:v>
      </x:c>
      <x:c r="K114" s="80" t="str">
        <x:v>名贵</x:v>
      </x:c>
      <x:c r="L114" s="82" t="n">
        <x:v>45</x:v>
      </x:c>
      <x:c r="M114" s="82" t="n">
        <x:v>67</x:v>
      </x:c>
      <x:c r="N114" s="82" t="n">
        <x:f>M114-L114</x:f>
        <x:v>22</x:v>
      </x:c>
      <x:c r="O114" s="83" t="n">
        <x:f>IF(M114=0,0,N114/M114)</x:f>
        <x:v>0.3283582089552239</x:v>
      </x:c>
      <x:c r="P114" s="80" t="str">
        <x:v>qian</x:v>
      </x:c>
    </x:row>
    <x:row r="115">
      <x:c r="A115" s="10" t="s">
        <x:v>1367</x:v>
      </x:c>
      <x:c r="B115" s="7" t="s">
        <x:v>1366</x:v>
      </x:c>
      <x:c r="C115" s="7" t="s">
        <x:v>1388</x:v>
      </x:c>
      <x:c r="D115" s="7" t="s">
        <x:v>1389</x:v>
      </x:c>
      <x:c r="E115" s="7" t="s">
        <x:v>1496</x:v>
      </x:c>
      <x:c r="F115" s="25" t="s">
        <x:v>1375</x:v>
      </x:c>
      <x:c r="G115" s="25">
        <x:v>107</x:v>
      </x:c>
      <x:c r="H115" s="7" t="s">
        <x:v>1376</x:v>
      </x:c>
      <x:c r="I115" s="7" t="s">
        <x:v>1573</x:v>
      </x:c>
      <x:c r="J115" s="23" t="s">
        <x:v>1543</x:v>
      </x:c>
      <x:c r="K115" s="80" t="str">
        <x:v>平价</x:v>
      </x:c>
      <x:c r="L115" s="82" t="n">
        <x:v>1</x:v>
      </x:c>
      <x:c r="M115" s="82" t="n">
        <x:v>2</x:v>
      </x:c>
      <x:c r="N115" s="82" t="n">
        <x:f>M115-L115</x:f>
        <x:v>1</x:v>
      </x:c>
      <x:c r="O115" s="83" t="n">
        <x:f>IF(M115=0,0,N115/M115)</x:f>
        <x:v>0.5</x:v>
      </x:c>
      <x:c r="P115" s="80" t="str">
        <x:v>qian</x:v>
      </x:c>
    </x:row>
    <x:row r="117">
      <x:c r="A117" s="10"/>
    </x:row>
    <x:row r="118">
      <x:c r="A118" s="10"/>
    </x:row>
    <x:row r="119">
      <x:c r="A119" s="10"/>
    </x:row>
    <x:row r="120">
      <x:c r="A120" s="10"/>
    </x:row>
    <x:row r="121">
      <x:c r="A121" s="10"/>
    </x:row>
    <x:row r="122">
      <x:c r="A122" s="10"/>
    </x:row>
    <x:row r="123">
      <x:c r="A123" s="10"/>
    </x:row>
    <x:row r="124">
      <x:c r="A124" s="10"/>
    </x:row>
    <x:row r="125">
      <x:c r="A125" s="10"/>
    </x:row>
    <x:row r="126">
      <x:c r="A126" s="10"/>
    </x:row>
    <x:row r="127">
      <x:c r="A127" s="10"/>
    </x:row>
    <x:row r="128">
      <x:c r="A128" s="10"/>
    </x:row>
    <x:row r="129">
      <x:c r="A129" s="10"/>
    </x:row>
  </x:sheetData>
  <x:conditionalFormatting sqref="A1:A8 A27:A27 A30:A30 A34:A34 A40:A40 A44:A44 A57:A58 A67:A67 A103:A103 A116:A1048576">
    <x:cfRule type="duplicateValues" dxfId="161" priority="2013"/>
  </x:conditionalFormatting>
  <x:conditionalFormatting sqref="A1:A8 A116:A1048576">
    <x:cfRule type="duplicateValues" dxfId="160" priority="398"/>
  </x:conditionalFormatting>
  <x:conditionalFormatting sqref="A1:A20 A27:A27 A30:A30 A34:A36 A40:A40 A44:A44 A55:A55 A57:A58 A67:A67 A84:A84 A103:A103 A114:A1048576">
    <x:cfRule type="duplicateValues" dxfId="159" priority="2024"/>
  </x:conditionalFormatting>
  <x:conditionalFormatting sqref="A1:A30 A32:A36 A40:A40 A44:A44 A46:A46 A49:A52 A55:A55 A57:A58 A67:A68 A72:A74 A81:A84 A103:A103 A114:A1048576">
    <x:cfRule type="duplicateValues" dxfId="158" priority="2051"/>
  </x:conditionalFormatting>
  <x:conditionalFormatting sqref="A1:A30 A32:A36 A40:A40 A44:A44 A49:A52 A55:A55 A57:A58 A67:A67 A84:A84 A103:A103 A114:A1048576">
    <x:cfRule type="duplicateValues" dxfId="157" priority="2038"/>
  </x:conditionalFormatting>
  <x:conditionalFormatting sqref="A1:A36 A40:A46 A49:A52 A55:A55 A57:A58 A61:A61 A67:A68 A72:A74 A81:A84 A88:A88 A96:A96 A102:A103 A114:A1048576">
    <x:cfRule type="duplicateValues" dxfId="156" priority="2123"/>
  </x:conditionalFormatting>
  <x:conditionalFormatting sqref="A1:A37 A40:A46 A49:A52 A55:A55 A57:A63 A67:A68 A72:A74 A81:A84 A88:A88 A96:A96 A102:A103 A114:A1048576">
    <x:cfRule type="duplicateValues" dxfId="155" priority="1962"/>
  </x:conditionalFormatting>
  <x:conditionalFormatting sqref="A1:A37 A40:A52 A55:A55 A57:A69 A72:A74 A80:A84 A88:A88 A96:A96 A102:A103 A114:A1048576">
    <x:cfRule type="duplicateValues" dxfId="154" priority="1704"/>
  </x:conditionalFormatting>
  <x:conditionalFormatting sqref="A1:A52 A55:A69 A72:A74 A80:A84 A88:A88 A96:A96 A102:A103 A114:A1048576">
    <x:cfRule type="duplicateValues" dxfId="153" priority="1694"/>
  </x:conditionalFormatting>
  <x:conditionalFormatting sqref="A1:A53 A55:A70 A72:A77 A79:A84 A88:A88 A90:A97 A102:A106 A114:A1048576">
    <x:cfRule type="duplicateValues" dxfId="152" priority="2357"/>
  </x:conditionalFormatting>
  <x:conditionalFormatting sqref="A1:A53 A55:A70 A72:A77 A80:A84 A88:A88 A90:A97 A102:A105 A114:A1048576">
    <x:cfRule type="duplicateValues" dxfId="151" priority="2348"/>
  </x:conditionalFormatting>
  <x:conditionalFormatting sqref="A1:A70 A72:A77 A79:A84 A87:A100 A102:A106 A114:A1048576">
    <x:cfRule type="duplicateValues" dxfId="150" priority="2324"/>
  </x:conditionalFormatting>
  <x:conditionalFormatting sqref="A1:A70 A72:A77 A79:A84 A88:A88 A90:A97 A99:A100 A102:A106 A114:A1048576">
    <x:cfRule type="duplicateValues" dxfId="149" priority="2366"/>
  </x:conditionalFormatting>
  <x:conditionalFormatting sqref="A1:A77 A79:A100 A102:A106 A114:A1048576">
    <x:cfRule type="duplicateValues" dxfId="148" priority="2332"/>
    <x:cfRule type="duplicateValues" dxfId="147" priority="2331"/>
  </x:conditionalFormatting>
  <x:conditionalFormatting sqref="A2:A5">
    <x:cfRule type="duplicateValues" dxfId="146" priority="162"/>
  </x:conditionalFormatting>
  <x:conditionalFormatting sqref="A6:A6">
    <x:cfRule type="duplicateValues" dxfId="145" priority="161"/>
  </x:conditionalFormatting>
  <x:conditionalFormatting sqref="A7:A7">
    <x:cfRule type="duplicateValues" dxfId="144" priority="160"/>
  </x:conditionalFormatting>
  <x:conditionalFormatting sqref="A8:A8">
    <x:cfRule type="duplicateValues" dxfId="143" priority="159"/>
  </x:conditionalFormatting>
  <x:conditionalFormatting sqref="A9:A11">
    <x:cfRule type="duplicateValues" dxfId="142" priority="129"/>
    <x:cfRule type="duplicateValues" dxfId="141" priority="130"/>
  </x:conditionalFormatting>
  <x:conditionalFormatting sqref="A12:A12">
    <x:cfRule type="duplicateValues" dxfId="140" priority="127"/>
    <x:cfRule type="duplicateValues" dxfId="139" priority="128"/>
  </x:conditionalFormatting>
  <x:conditionalFormatting sqref="A13:A13">
    <x:cfRule type="duplicateValues" dxfId="138" priority="125"/>
    <x:cfRule type="duplicateValues" dxfId="137" priority="126"/>
  </x:conditionalFormatting>
  <x:conditionalFormatting sqref="A14:A14">
    <x:cfRule type="duplicateValues" dxfId="136" priority="124"/>
    <x:cfRule type="duplicateValues" dxfId="135" priority="123"/>
  </x:conditionalFormatting>
  <x:conditionalFormatting sqref="A15:A16">
    <x:cfRule type="duplicateValues" dxfId="134" priority="121"/>
    <x:cfRule type="duplicateValues" dxfId="133" priority="122"/>
  </x:conditionalFormatting>
  <x:conditionalFormatting sqref="A17:A17">
    <x:cfRule type="duplicateValues" dxfId="132" priority="120"/>
    <x:cfRule type="duplicateValues" dxfId="131" priority="119"/>
  </x:conditionalFormatting>
  <x:conditionalFormatting sqref="A18:A18">
    <x:cfRule type="duplicateValues" dxfId="130" priority="118"/>
    <x:cfRule type="duplicateValues" dxfId="129" priority="117"/>
  </x:conditionalFormatting>
  <x:conditionalFormatting sqref="A19:A20">
    <x:cfRule type="duplicateValues" dxfId="128" priority="116"/>
    <x:cfRule type="duplicateValues" dxfId="127" priority="115"/>
  </x:conditionalFormatting>
  <x:conditionalFormatting sqref="A21:A22">
    <x:cfRule type="duplicateValues" dxfId="126" priority="112"/>
    <x:cfRule type="duplicateValues" dxfId="125" priority="113"/>
  </x:conditionalFormatting>
  <x:conditionalFormatting sqref="A23:A26">
    <x:cfRule type="duplicateValues" dxfId="124" priority="111"/>
    <x:cfRule type="duplicateValues" dxfId="123" priority="110"/>
  </x:conditionalFormatting>
  <x:conditionalFormatting sqref="A27:A27">
    <x:cfRule type="duplicateValues" dxfId="122" priority="140"/>
    <x:cfRule type="duplicateValues" dxfId="121" priority="141"/>
  </x:conditionalFormatting>
  <x:conditionalFormatting sqref="A28:A28">
    <x:cfRule type="duplicateValues" dxfId="120" priority="108"/>
    <x:cfRule type="duplicateValues" dxfId="119" priority="109"/>
  </x:conditionalFormatting>
  <x:conditionalFormatting sqref="A29:A29 A32:A33">
    <x:cfRule type="duplicateValues" dxfId="118" priority="526"/>
    <x:cfRule type="duplicateValues" dxfId="117" priority="527"/>
  </x:conditionalFormatting>
  <x:conditionalFormatting sqref="A30:A30">
    <x:cfRule type="duplicateValues" dxfId="116" priority="144"/>
    <x:cfRule type="duplicateValues" dxfId="115" priority="145"/>
  </x:conditionalFormatting>
  <x:conditionalFormatting sqref="A31:A31 A42:A42">
    <x:cfRule type="duplicateValues" dxfId="114" priority="476"/>
    <x:cfRule type="duplicateValues" dxfId="113" priority="477"/>
  </x:conditionalFormatting>
  <x:conditionalFormatting sqref="A34:A34">
    <x:cfRule type="duplicateValues" dxfId="112" priority="156"/>
    <x:cfRule type="duplicateValues" dxfId="111" priority="157"/>
  </x:conditionalFormatting>
  <x:conditionalFormatting sqref="A35:A36">
    <x:cfRule type="duplicateValues" dxfId="110" priority="583"/>
    <x:cfRule type="duplicateValues" dxfId="109" priority="584"/>
  </x:conditionalFormatting>
  <x:conditionalFormatting sqref="A37:A37">
    <x:cfRule type="duplicateValues" dxfId="108" priority="67"/>
    <x:cfRule type="duplicateValues" dxfId="107" priority="68"/>
  </x:conditionalFormatting>
  <x:conditionalFormatting sqref="A38:A39">
    <x:cfRule type="duplicateValues" dxfId="106" priority="631"/>
    <x:cfRule type="duplicateValues" dxfId="105" priority="632"/>
  </x:conditionalFormatting>
  <x:conditionalFormatting sqref="A40:A40">
    <x:cfRule type="duplicateValues" dxfId="104" priority="155"/>
    <x:cfRule type="duplicateValues" dxfId="103" priority="154"/>
  </x:conditionalFormatting>
  <x:conditionalFormatting sqref="A41:A41">
    <x:cfRule type="duplicateValues" dxfId="102" priority="78"/>
    <x:cfRule type="duplicateValues" dxfId="101" priority="79"/>
  </x:conditionalFormatting>
  <x:conditionalFormatting sqref="A43:A43">
    <x:cfRule type="duplicateValues" dxfId="100" priority="77"/>
    <x:cfRule type="duplicateValues" dxfId="99" priority="76"/>
  </x:conditionalFormatting>
  <x:conditionalFormatting sqref="A44:A44">
    <x:cfRule type="duplicateValues" dxfId="98" priority="147"/>
    <x:cfRule type="duplicateValues" dxfId="97" priority="146"/>
  </x:conditionalFormatting>
  <x:conditionalFormatting sqref="A45:A45">
    <x:cfRule type="duplicateValues" dxfId="96" priority="90"/>
    <x:cfRule type="duplicateValues" dxfId="95" priority="91"/>
  </x:conditionalFormatting>
  <x:conditionalFormatting sqref="A46:A46">
    <x:cfRule type="duplicateValues" dxfId="94" priority="93"/>
    <x:cfRule type="duplicateValues" dxfId="93" priority="94"/>
  </x:conditionalFormatting>
  <x:conditionalFormatting sqref="A47:A48">
    <x:cfRule type="duplicateValues" dxfId="92" priority="55"/>
    <x:cfRule type="duplicateValues" dxfId="91" priority="54"/>
  </x:conditionalFormatting>
  <x:conditionalFormatting sqref="A49:A52">
    <x:cfRule type="duplicateValues" dxfId="90" priority="106"/>
    <x:cfRule type="duplicateValues" dxfId="89" priority="107"/>
  </x:conditionalFormatting>
  <x:conditionalFormatting sqref="A53:A53">
    <x:cfRule type="duplicateValues" dxfId="88" priority="44"/>
    <x:cfRule type="duplicateValues" dxfId="87" priority="45"/>
  </x:conditionalFormatting>
  <x:conditionalFormatting sqref="A54:A54">
    <x:cfRule type="duplicateValues" dxfId="86" priority="29"/>
    <x:cfRule type="duplicateValues" dxfId="85" priority="28"/>
  </x:conditionalFormatting>
  <x:conditionalFormatting sqref="A55:A55">
    <x:cfRule type="duplicateValues" dxfId="84" priority="134"/>
    <x:cfRule type="duplicateValues" dxfId="83" priority="133"/>
  </x:conditionalFormatting>
  <x:conditionalFormatting sqref="A56:A56">
    <x:cfRule type="duplicateValues" dxfId="82" priority="50"/>
    <x:cfRule type="duplicateValues" dxfId="81" priority="49"/>
  </x:conditionalFormatting>
  <x:conditionalFormatting sqref="A57:A57">
    <x:cfRule type="duplicateValues" dxfId="80" priority="149"/>
    <x:cfRule type="duplicateValues" dxfId="79" priority="148"/>
  </x:conditionalFormatting>
  <x:conditionalFormatting sqref="A58:A58">
    <x:cfRule type="duplicateValues" dxfId="78" priority="152"/>
    <x:cfRule type="duplicateValues" dxfId="77" priority="153"/>
  </x:conditionalFormatting>
  <x:conditionalFormatting sqref="A59:A59">
    <x:cfRule type="duplicateValues" dxfId="76" priority="74"/>
    <x:cfRule type="duplicateValues" dxfId="75" priority="73"/>
  </x:conditionalFormatting>
  <x:conditionalFormatting sqref="A60:A60">
    <x:cfRule type="duplicateValues" dxfId="74" priority="72"/>
    <x:cfRule type="duplicateValues" dxfId="73" priority="71"/>
  </x:conditionalFormatting>
  <x:conditionalFormatting sqref="A61:A61">
    <x:cfRule type="duplicateValues" dxfId="72" priority="86"/>
    <x:cfRule type="duplicateValues" dxfId="71" priority="87"/>
  </x:conditionalFormatting>
  <x:conditionalFormatting sqref="A62:A62">
    <x:cfRule type="duplicateValues" dxfId="70" priority="69"/>
    <x:cfRule type="duplicateValues" dxfId="69" priority="70"/>
  </x:conditionalFormatting>
  <x:conditionalFormatting sqref="A63:A63">
    <x:cfRule type="duplicateValues" dxfId="68" priority="66"/>
    <x:cfRule type="duplicateValues" dxfId="67" priority="65"/>
  </x:conditionalFormatting>
  <x:conditionalFormatting sqref="A64:A64">
    <x:cfRule type="duplicateValues" dxfId="66" priority="60"/>
    <x:cfRule type="duplicateValues" dxfId="65" priority="61"/>
  </x:conditionalFormatting>
  <x:conditionalFormatting sqref="A65:A65">
    <x:cfRule type="duplicateValues" dxfId="64" priority="58"/>
    <x:cfRule type="duplicateValues" dxfId="63" priority="59"/>
  </x:conditionalFormatting>
  <x:conditionalFormatting sqref="A66:A66">
    <x:cfRule type="duplicateValues" dxfId="62" priority="57"/>
    <x:cfRule type="duplicateValues" dxfId="61" priority="56"/>
  </x:conditionalFormatting>
  <x:conditionalFormatting sqref="A67:A67">
    <x:cfRule type="duplicateValues" dxfId="60" priority="150"/>
    <x:cfRule type="duplicateValues" dxfId="59" priority="151"/>
  </x:conditionalFormatting>
  <x:conditionalFormatting sqref="A68:A68 A81:A81">
    <x:cfRule type="duplicateValues" dxfId="58" priority="865"/>
    <x:cfRule type="duplicateValues" dxfId="57" priority="866"/>
  </x:conditionalFormatting>
  <x:conditionalFormatting sqref="A69:A69">
    <x:cfRule type="duplicateValues" dxfId="56" priority="53"/>
    <x:cfRule type="duplicateValues" dxfId="55" priority="52"/>
  </x:conditionalFormatting>
  <x:conditionalFormatting sqref="A70:A70">
    <x:cfRule type="duplicateValues" dxfId="54" priority="42"/>
    <x:cfRule type="duplicateValues" dxfId="53" priority="43"/>
  </x:conditionalFormatting>
  <x:conditionalFormatting sqref="A71:A71">
    <x:cfRule type="duplicateValues" dxfId="52" priority="9"/>
    <x:cfRule type="duplicateValues" dxfId="51" priority="10"/>
  </x:conditionalFormatting>
  <x:conditionalFormatting sqref="A72:A73">
    <x:cfRule type="duplicateValues" dxfId="50" priority="100"/>
    <x:cfRule type="duplicateValues" dxfId="49" priority="99"/>
  </x:conditionalFormatting>
  <x:conditionalFormatting sqref="A74:A74">
    <x:cfRule type="duplicateValues" dxfId="48" priority="95"/>
    <x:cfRule type="duplicateValues" dxfId="47" priority="96"/>
  </x:conditionalFormatting>
  <x:conditionalFormatting sqref="A75:A77">
    <x:cfRule type="duplicateValues" dxfId="46" priority="39"/>
    <x:cfRule type="duplicateValues" dxfId="45" priority="38"/>
  </x:conditionalFormatting>
  <x:conditionalFormatting sqref="A78:A78">
    <x:cfRule type="duplicateValues" dxfId="44" priority="2"/>
    <x:cfRule type="duplicateValues" dxfId="43" priority="1"/>
  </x:conditionalFormatting>
  <x:conditionalFormatting sqref="A79:A79 A106:A106">
    <x:cfRule type="duplicateValues" dxfId="42" priority="1727"/>
    <x:cfRule type="duplicateValues" dxfId="41" priority="1728"/>
  </x:conditionalFormatting>
  <x:conditionalFormatting sqref="A80:A80">
    <x:cfRule type="duplicateValues" dxfId="40" priority="63"/>
    <x:cfRule type="duplicateValues" dxfId="39" priority="62"/>
  </x:conditionalFormatting>
  <x:conditionalFormatting sqref="A82:A83">
    <x:cfRule type="duplicateValues" dxfId="38" priority="982"/>
    <x:cfRule type="duplicateValues" dxfId="37" priority="983"/>
  </x:conditionalFormatting>
  <x:conditionalFormatting sqref="A84:A84">
    <x:cfRule type="duplicateValues" dxfId="36" priority="136"/>
    <x:cfRule type="duplicateValues" dxfId="35" priority="135"/>
  </x:conditionalFormatting>
  <x:conditionalFormatting sqref="A85:A85">
    <x:cfRule type="duplicateValues" dxfId="34" priority="13"/>
    <x:cfRule type="duplicateValues" dxfId="33" priority="14"/>
  </x:conditionalFormatting>
  <x:conditionalFormatting sqref="A86:A86">
    <x:cfRule type="duplicateValues" dxfId="32" priority="11"/>
    <x:cfRule type="duplicateValues" dxfId="31" priority="12"/>
  </x:conditionalFormatting>
  <x:conditionalFormatting sqref="A87:A87">
    <x:cfRule type="duplicateValues" dxfId="30" priority="21"/>
    <x:cfRule type="duplicateValues" dxfId="29" priority="22"/>
  </x:conditionalFormatting>
  <x:conditionalFormatting sqref="A88:A88">
    <x:cfRule type="duplicateValues" dxfId="28" priority="82"/>
    <x:cfRule type="duplicateValues" dxfId="27" priority="83"/>
  </x:conditionalFormatting>
  <x:conditionalFormatting sqref="A89:A89">
    <x:cfRule type="duplicateValues" dxfId="26" priority="19"/>
    <x:cfRule type="duplicateValues" dxfId="25" priority="20"/>
  </x:conditionalFormatting>
  <x:conditionalFormatting sqref="A90:A93">
    <x:cfRule type="duplicateValues" dxfId="24" priority="1375"/>
    <x:cfRule type="duplicateValues" dxfId="23" priority="1376"/>
  </x:conditionalFormatting>
  <x:conditionalFormatting sqref="A94:A95 A97:A97">
    <x:cfRule type="duplicateValues" dxfId="22" priority="40"/>
    <x:cfRule type="duplicateValues" dxfId="21" priority="41"/>
  </x:conditionalFormatting>
  <x:conditionalFormatting sqref="A96:A96">
    <x:cfRule type="duplicateValues" dxfId="20" priority="85"/>
    <x:cfRule type="duplicateValues" dxfId="19" priority="84"/>
  </x:conditionalFormatting>
  <x:conditionalFormatting sqref="A98:A98">
    <x:cfRule type="duplicateValues" dxfId="18" priority="17"/>
    <x:cfRule type="duplicateValues" dxfId="17" priority="16"/>
  </x:conditionalFormatting>
  <x:conditionalFormatting sqref="A99:A99">
    <x:cfRule type="duplicateValues" dxfId="16" priority="26"/>
    <x:cfRule type="duplicateValues" dxfId="15" priority="27"/>
  </x:conditionalFormatting>
  <x:conditionalFormatting sqref="A100:A100">
    <x:cfRule type="duplicateValues" dxfId="14" priority="24"/>
    <x:cfRule type="duplicateValues" dxfId="13" priority="25"/>
  </x:conditionalFormatting>
  <x:conditionalFormatting sqref="A101:A101">
    <x:cfRule type="duplicateValues" dxfId="12" priority="3"/>
    <x:cfRule type="duplicateValues" dxfId="11" priority="4"/>
  </x:conditionalFormatting>
  <x:conditionalFormatting sqref="A102:A102">
    <x:cfRule type="duplicateValues" dxfId="10" priority="89"/>
    <x:cfRule type="duplicateValues" dxfId="9" priority="88"/>
  </x:conditionalFormatting>
  <x:conditionalFormatting sqref="A103:A103">
    <x:cfRule type="duplicateValues" dxfId="8" priority="143"/>
    <x:cfRule type="duplicateValues" dxfId="7" priority="142"/>
  </x:conditionalFormatting>
  <x:conditionalFormatting sqref="A104:A105">
    <x:cfRule type="duplicateValues" dxfId="6" priority="1709"/>
    <x:cfRule type="duplicateValues" dxfId="5" priority="1710"/>
  </x:conditionalFormatting>
  <x:conditionalFormatting sqref="A107:A113">
    <x:cfRule type="duplicateValues" dxfId="4" priority="1943"/>
    <x:cfRule type="duplicateValues" dxfId="3" priority="1944"/>
  </x:conditionalFormatting>
  <x:conditionalFormatting sqref="A114:A115">
    <x:cfRule type="duplicateValues" dxfId="2" priority="132"/>
    <x:cfRule type="duplicateValues" dxfId="1" priority="131"/>
  </x:conditionalFormatting>
  <x:conditionalFormatting sqref="A117:A1048576">
    <x:cfRule type="duplicateValues" dxfId="0" priority="395"/>
  </x:conditionalFormatting>
  <x:conditionalFormatting sqref="O2:O115">
    <x:cfRule type="cellIs" dxfId="162" priority="2367" operator="lessThan">
      <x:formula>0.3</x:formula>
    </x:cfRule>
    <x:cfRule type="cellIs" dxfId="163" priority="2368" operator="between">
      <x:formula>0.3</x:formula>
      <x:formula>0.42</x:formula>
    </x:cfRule>
    <x:cfRule type="cellIs" dxfId="164" priority="2369" operator="greaterThan">
      <x:formula>0.42</x:formula>
    </x:cfRule>
  </x:conditionalFormatting>
  <x:pageMargins left="0.7" right="0.7" top="0.75" bottom="0.75" header="0.3" footer="0.3"/>
</x:worksheet>
</file>

<file path=xl/worksheets/sheet9.xml><?xml version="1.0" encoding="utf-8"?>
<x:worksheet xmlns:x="http://schemas.openxmlformats.org/spreadsheetml/2006/main">
  <x:sheetFormatPr defaultRowHeight="18.75"/>
  <x:cols>
    <x:col min="1" max="1" width="45.625" customWidth="1"/>
    <x:col min="2" max="2" width="23.5" customWidth="1"/>
    <x:col min="3" max="3" width="11.625" customWidth="1"/>
    <x:col min="4" max="4" width="10.75" customWidth="1"/>
    <x:col min="5" max="5" width="10.5" customWidth="1"/>
    <x:col min="6" max="6" width="11.375" customWidth="1"/>
  </x:cols>
  <x:sheetData>
    <x:row r="1" ht="15" customHeight="1">
      <x:c r="A1" s="1" t="s">
        <x:v>774</x:v>
      </x:c>
      <x:c r="B1" s="1" t="s">
        <x:v>1574</x:v>
      </x:c>
      <x:c r="C1" s="1" t="s">
        <x:v>1575</x:v>
      </x:c>
      <x:c r="D1" s="1" t="s">
        <x:v>1576</x:v>
      </x:c>
      <x:c r="E1" s="1" t="s">
        <x:v>272</x:v>
      </x:c>
      <x:c r="F1" s="1" t="s">
        <x:v>775</x:v>
      </x:c>
    </x:row>
    <x:row r="2" ht="18" customHeight="1">
      <x:c r="A2" s="7" t="s">
        <x:v>1577</x:v>
      </x:c>
      <x:c r="B2" s="7" t="s">
        <x:v>1578</x:v>
      </x:c>
      <x:c r="C2" s="7" t="s">
        <x:v>1579</x:v>
      </x:c>
      <x:c r="D2" s="11" t="s">
        <x:v>16</x:v>
      </x:c>
      <x:c r="E2" s="7">
        <x:v>0</x:v>
      </x:c>
      <x:c r="F2" s="7"/>
    </x:row>
    <x:row r="3" ht="18" customHeight="1">
      <x:c r="A3" s="7" t="s">
        <x:v>1580</x:v>
      </x:c>
      <x:c r="B3" s="7" t="s">
        <x:v>1581</x:v>
      </x:c>
      <x:c r="C3" s="7" t="s">
        <x:v>1582</x:v>
      </x:c>
      <x:c r="D3" s="7"/>
      <x:c r="E3" s="7">
        <x:v>1</x:v>
      </x:c>
      <x:c r="F3" s="7"/>
    </x:row>
    <x:row r="4" ht="18" customHeight="1">
      <x:c r="A4" s="7" t="s">
        <x:v>1376</x:v>
      </x:c>
      <x:c r="B4" s="7" t="s">
        <x:v>1583</x:v>
      </x:c>
      <x:c r="C4" s="7" t="s">
        <x:v>1584</x:v>
      </x:c>
      <x:c r="D4" s="7"/>
      <x:c r="E4" s="7">
        <x:v>2</x:v>
      </x:c>
      <x:c r="F4" s="7"/>
    </x:row>
    <x:row r="5" ht="18" customHeight="1">
      <x:c r="A5" s="7" t="s">
        <x:v>780</x:v>
      </x:c>
      <x:c r="B5" s="11" t="s">
        <x:v>1585</x:v>
      </x:c>
      <x:c r="C5" s="7" t="s">
        <x:v>267</x:v>
      </x:c>
      <x:c r="D5" s="11" t="s">
        <x:v>1586</x:v>
      </x:c>
      <x:c r="E5" s="7">
        <x:v>3</x:v>
      </x:c>
      <x:c r="F5" s="7"/>
    </x:row>
    <x:row r="6" ht="18" customHeight="1">
      <x:c r="A6" s="7" t="s">
        <x:v>1018</x:v>
      </x:c>
      <x:c r="B6" s="7" t="s">
        <x:v>1587</x:v>
      </x:c>
      <x:c r="C6" s="7" t="s">
        <x:v>1588</x:v>
      </x:c>
      <x:c r="D6" s="7" t="s">
        <x:v>1589</x:v>
      </x:c>
      <x:c r="E6" s="7">
        <x:v>4</x:v>
      </x:c>
      <x:c r="F6" s="7"/>
    </x:row>
    <x:row r="7" ht="18" customHeight="1">
      <x:c r="A7" s="7" t="s">
        <x:v>1023</x:v>
      </x:c>
      <x:c r="B7" s="11" t="s">
        <x:v>1590</x:v>
      </x:c>
      <x:c r="C7" s="7" t="s">
        <x:v>1588</x:v>
      </x:c>
      <x:c r="D7" s="7" t="s">
        <x:v>1591</x:v>
      </x:c>
      <x:c r="E7" s="7">
        <x:v>5</x:v>
      </x:c>
      <x:c r="F7" s="7"/>
    </x:row>
    <x:row r="8" ht="18" customHeight="1">
      <x:c r="A8" s="7" t="s">
        <x:v>1033</x:v>
      </x:c>
      <x:c r="B8" s="7" t="s">
        <x:v>1592</x:v>
      </x:c>
      <x:c r="C8" s="7" t="s">
        <x:v>1588</x:v>
      </x:c>
      <x:c r="D8" s="7" t="s">
        <x:v>1589</x:v>
      </x:c>
      <x:c r="E8" s="7">
        <x:v>6</x:v>
      </x:c>
      <x:c r="F8" s="7"/>
    </x:row>
    <x:row r="9" ht="18" customHeight="1">
      <x:c r="A9" s="7" t="s">
        <x:v>1041</x:v>
      </x:c>
      <x:c r="B9" s="7" t="s">
        <x:v>1593</x:v>
      </x:c>
      <x:c r="C9" s="7" t="s">
        <x:v>1588</x:v>
      </x:c>
      <x:c r="D9" s="7"/>
      <x:c r="E9" s="7">
        <x:v>7</x:v>
      </x:c>
      <x:c r="F9" s="7"/>
    </x:row>
    <x:row r="10" ht="18" customHeight="1">
      <x:c r="A10" s="7" t="s">
        <x:v>1046</x:v>
      </x:c>
      <x:c r="B10" s="7" t="s">
        <x:v>1594</x:v>
      </x:c>
      <x:c r="C10" s="7" t="s">
        <x:v>1588</x:v>
      </x:c>
      <x:c r="D10" s="7" t="s">
        <x:v>1595</x:v>
      </x:c>
      <x:c r="E10" s="7">
        <x:v>8</x:v>
      </x:c>
      <x:c r="F10" s="7"/>
    </x:row>
    <x:row r="11" ht="18" customHeight="1">
      <x:c r="A11" s="7" t="s">
        <x:v>1038</x:v>
      </x:c>
      <x:c r="B11" s="7" t="s">
        <x:v>1596</x:v>
      </x:c>
      <x:c r="C11" s="7" t="s">
        <x:v>1588</x:v>
      </x:c>
      <x:c r="D11" s="7"/>
      <x:c r="E11" s="7">
        <x:v>9</x:v>
      </x:c>
      <x:c r="F11" s="7"/>
    </x:row>
    <x:row r="12" ht="18" customHeight="1">
      <x:c r="A12" s="7" t="s">
        <x:v>1095</x:v>
      </x:c>
      <x:c r="B12" s="7" t="s">
        <x:v>1597</x:v>
      </x:c>
      <x:c r="C12" s="7" t="s">
        <x:v>1588</x:v>
      </x:c>
      <x:c r="D12" s="7" t="s">
        <x:v>1598</x:v>
      </x:c>
      <x:c r="E12" s="7">
        <x:v>10</x:v>
      </x:c>
      <x:c r="F12" s="7"/>
    </x:row>
    <x:row r="13" ht="18" customHeight="1">
      <x:c r="A13" s="7" t="s">
        <x:v>1072</x:v>
      </x:c>
      <x:c r="B13" s="11" t="s">
        <x:v>1599</x:v>
      </x:c>
      <x:c r="C13" s="7" t="s">
        <x:v>1588</x:v>
      </x:c>
      <x:c r="D13" s="7" t="s">
        <x:v>1600</x:v>
      </x:c>
      <x:c r="E13" s="7">
        <x:v>12</x:v>
      </x:c>
      <x:c r="F13" s="7"/>
    </x:row>
    <x:row r="14" ht="18" customHeight="1">
      <x:c r="A14" s="7" t="s">
        <x:v>1053</x:v>
      </x:c>
      <x:c r="B14" s="7" t="s">
        <x:v>1601</x:v>
      </x:c>
      <x:c r="C14" s="7" t="s">
        <x:v>1588</x:v>
      </x:c>
      <x:c r="D14" s="7" t="s">
        <x:v>1602</x:v>
      </x:c>
      <x:c r="E14" s="7">
        <x:v>11</x:v>
      </x:c>
      <x:c r="F14" s="7"/>
    </x:row>
    <x:row r="15" ht="18" customHeight="1">
      <x:c r="A15" s="7" t="s">
        <x:v>1107</x:v>
      </x:c>
      <x:c r="B15" s="7" t="s">
        <x:v>1603</x:v>
      </x:c>
      <x:c r="C15" s="7" t="s">
        <x:v>1588</x:v>
      </x:c>
      <x:c r="D15" s="7" t="s">
        <x:v>1604</x:v>
      </x:c>
      <x:c r="E15" s="7">
        <x:v>13</x:v>
      </x:c>
      <x:c r="F15" s="7"/>
    </x:row>
    <x:row r="16" ht="18" customHeight="1">
      <x:c r="A16" s="7" t="s">
        <x:v>1092</x:v>
      </x:c>
      <x:c r="B16" s="7" t="s">
        <x:v>1605</x:v>
      </x:c>
      <x:c r="C16" s="7" t="s">
        <x:v>1588</x:v>
      </x:c>
      <x:c r="D16" s="7" t="s">
        <x:v>1606</x:v>
      </x:c>
      <x:c r="E16" s="7">
        <x:v>14</x:v>
      </x:c>
      <x:c r="F16" s="7"/>
    </x:row>
    <x:row r="17" ht="18" customHeight="1">
      <x:c r="A17" s="7" t="s">
        <x:v>1104</x:v>
      </x:c>
      <x:c r="B17" s="7" t="s">
        <x:v>1607</x:v>
      </x:c>
      <x:c r="C17" s="7" t="s">
        <x:v>1588</x:v>
      </x:c>
      <x:c r="D17" s="7" t="s">
        <x:v>1608</x:v>
      </x:c>
      <x:c r="E17" s="7">
        <x:v>15</x:v>
      </x:c>
      <x:c r="F17" s="7"/>
    </x:row>
    <x:row r="18" ht="18" customHeight="1">
      <x:c r="A18" s="7" t="s">
        <x:v>1089</x:v>
      </x:c>
      <x:c r="B18" s="11" t="s">
        <x:v>1609</x:v>
      </x:c>
      <x:c r="C18" s="7" t="s">
        <x:v>1588</x:v>
      </x:c>
      <x:c r="D18" s="7" t="s">
        <x:v>1610</x:v>
      </x:c>
      <x:c r="E18" s="7">
        <x:v>16</x:v>
      </x:c>
      <x:c r="F18" s="7"/>
    </x:row>
    <x:row r="19" ht="18" customHeight="1">
      <x:c r="A19" s="7" t="s">
        <x:v>1077</x:v>
      </x:c>
      <x:c r="B19" s="7" t="s">
        <x:v>1611</x:v>
      </x:c>
      <x:c r="C19" s="7" t="s">
        <x:v>1588</x:v>
      </x:c>
      <x:c r="D19" s="7" t="s">
        <x:v>1612</x:v>
      </x:c>
      <x:c r="E19" s="7">
        <x:v>17</x:v>
      </x:c>
      <x:c r="F19" s="7"/>
    </x:row>
    <x:row r="20" ht="18" customHeight="1">
      <x:c r="A20" s="7" t="s">
        <x:v>1030</x:v>
      </x:c>
      <x:c r="B20" s="7" t="s">
        <x:v>1613</x:v>
      </x:c>
      <x:c r="C20" s="7" t="s">
        <x:v>1588</x:v>
      </x:c>
      <x:c r="D20" s="7" t="s">
        <x:v>1614</x:v>
      </x:c>
      <x:c r="E20" s="7">
        <x:v>18</x:v>
      </x:c>
      <x:c r="F20" s="7"/>
    </x:row>
    <x:row r="21" ht="18" customHeight="1">
      <x:c r="A21" s="7" t="s">
        <x:v>1123</x:v>
      </x:c>
      <x:c r="B21" s="7" t="s">
        <x:v>1615</x:v>
      </x:c>
      <x:c r="C21" s="7" t="s">
        <x:v>1588</x:v>
      </x:c>
      <x:c r="D21" s="7" t="s">
        <x:v>1616</x:v>
      </x:c>
      <x:c r="E21" s="7">
        <x:v>19</x:v>
      </x:c>
      <x:c r="F21" s="7"/>
    </x:row>
    <x:row r="22" ht="18" customHeight="1">
      <x:c r="A22" s="7" t="s">
        <x:v>1112</x:v>
      </x:c>
      <x:c r="B22" s="7" t="s">
        <x:v>1617</x:v>
      </x:c>
      <x:c r="C22" s="7" t="s">
        <x:v>1588</x:v>
      </x:c>
      <x:c r="D22" s="7" t="s">
        <x:v>1618</x:v>
      </x:c>
      <x:c r="E22" s="7">
        <x:v>20</x:v>
      </x:c>
      <x:c r="F22" s="7"/>
    </x:row>
    <x:row r="23" ht="18" customHeight="1">
      <x:c r="A23" s="11" t="s">
        <x:v>1080</x:v>
      </x:c>
      <x:c r="B23" s="11" t="s">
        <x:v>1619</x:v>
      </x:c>
      <x:c r="C23" s="7" t="s">
        <x:v>1588</x:v>
      </x:c>
      <x:c r="D23" s="11" t="s">
        <x:v>1620</x:v>
      </x:c>
      <x:c r="E23" s="7">
        <x:v>21</x:v>
      </x:c>
      <x:c r="F23" s="7"/>
    </x:row>
    <x:row r="24" ht="18" customHeight="1">
      <x:c r="A24" s="7"/>
      <x:c r="B24" s="7"/>
      <x:c r="C24" s="7"/>
      <x:c r="D24" s="7"/>
      <x:c r="E24" s="7"/>
      <x:c r="F24" s="7"/>
    </x:row>
  </x:sheetData>
  <x:pageMargins left="0.7" right="0.7" top="0.75" bottom="0.75" header="0.3" footer="0.3"/>
</x:worksheet>
</file>

<file path=xl/worksheets/sheet10.xml><?xml version="1.0" encoding="utf-8"?>
<x:worksheet xmlns:x="http://schemas.openxmlformats.org/spreadsheetml/2006/main">
  <x:sheetFormatPr defaultRowHeight="18.75"/>
  <x:cols>
    <x:col min="1" max="1" width="14" customWidth="1"/>
    <x:col min="2" max="2" width="13" customWidth="1"/>
    <x:col min="3" max="3" width="11.125" customWidth="1"/>
    <x:col min="4" max="4" width="18" customWidth="1"/>
    <x:col min="5" max="5" width="11.375" customWidth="1"/>
  </x:cols>
  <x:sheetData>
    <x:row r="1" ht="18" customHeight="1">
      <x:c r="A1" s="12" t="s">
        <x:v>1621</x:v>
      </x:c>
      <x:c r="B1" s="12" t="s">
        <x:v>1622</x:v>
      </x:c>
      <x:c r="C1" s="42" t="s">
        <x:v>270</x:v>
      </x:c>
      <x:c r="D1" s="2" t="s">
        <x:v>774</x:v>
      </x:c>
      <x:c r="E1" s="2" t="s">
        <x:v>775</x:v>
      </x:c>
    </x:row>
    <x:row r="2" ht="18" customHeight="1">
      <x:c r="A2" s="7" t="s">
        <x:v>1623</x:v>
      </x:c>
      <x:c r="B2" s="7" t="s">
        <x:v>1624</x:v>
      </x:c>
      <x:c r="C2" s="7">
        <x:v>0</x:v>
      </x:c>
      <x:c r="D2" s="7" t="s">
        <x:v>1580</x:v>
      </x:c>
      <x:c r="E2" s="7" t="s">
        <x:v>1625</x:v>
      </x:c>
    </x:row>
    <x:row r="3" ht="18" customHeight="1">
      <x:c r="A3" s="7" t="s">
        <x:v>1626</x:v>
      </x:c>
      <x:c r="B3" s="7" t="s">
        <x:v>1627</x:v>
      </x:c>
      <x:c r="C3" s="7">
        <x:v>0</x:v>
      </x:c>
      <x:c r="D3" s="7" t="s">
        <x:v>1580</x:v>
      </x:c>
      <x:c r="E3" s="7" t="s">
        <x:v>1628</x:v>
      </x:c>
    </x:row>
    <x:row r="4" ht="18" customHeight="1">
      <x:c r="A4" s="7" t="s">
        <x:v>1577</x:v>
      </x:c>
      <x:c r="B4" s="7" t="s">
        <x:v>1578</x:v>
      </x:c>
      <x:c r="C4" s="7">
        <x:v>0</x:v>
      </x:c>
      <x:c r="D4" s="7" t="s">
        <x:v>1580</x:v>
      </x:c>
      <x:c r="E4" s="7" t="s">
        <x:v>1629</x:v>
      </x:c>
    </x:row>
    <x:row r="5" ht="18" customHeight="1">
      <x:c r="A5" s="7" t="s">
        <x:v>1630</x:v>
      </x:c>
      <x:c r="B5" s="7" t="s">
        <x:v>1631</x:v>
      </x:c>
      <x:c r="C5" s="7">
        <x:v>0</x:v>
      </x:c>
      <x:c r="D5" s="7" t="s">
        <x:v>1580</x:v>
      </x:c>
      <x:c r="E5" s="7" t="s">
        <x:v>1632</x:v>
      </x:c>
    </x:row>
    <x:row r="6" ht="18" customHeight="1">
      <x:c r="A6" s="7"/>
      <x:c r="B6" s="7"/>
      <x:c r="C6" s="7"/>
      <x:c r="D6" s="7"/>
      <x:c r="E6" s="7"/>
    </x:row>
    <x:row r="7" ht="18" customHeight="1">
      <x:c r="A7" s="7"/>
      <x:c r="B7" s="7"/>
      <x:c r="C7" s="7"/>
      <x:c r="D7" s="7"/>
      <x:c r="E7" s="7"/>
    </x:row>
    <x:row r="8" ht="18" customHeight="1">
      <x:c r="A8" s="7"/>
      <x:c r="B8" s="7"/>
      <x:c r="C8" s="7"/>
      <x:c r="D8" s="7"/>
      <x:c r="E8" s="7"/>
    </x:row>
    <x:row r="9" ht="18" customHeight="1">
      <x:c r="A9" s="7"/>
      <x:c r="B9" s="7"/>
      <x:c r="C9" s="7"/>
      <x:c r="D9" s="7"/>
      <x:c r="E9" s="7"/>
    </x:row>
    <x:row r="10" ht="18" customHeight="1">
      <x:c r="A10" s="7"/>
      <x:c r="B10" s="7"/>
      <x:c r="C10" s="7"/>
      <x:c r="D10" s="7"/>
      <x:c r="E10" s="7"/>
    </x:row>
    <x:row r="11" ht="18" customHeight="1">
      <x:c r="A11" s="7"/>
      <x:c r="B11" s="7"/>
      <x:c r="C11" s="7"/>
      <x:c r="D11" s="7"/>
      <x:c r="E11" s="7"/>
    </x:row>
    <x:row r="12" ht="18" customHeight="1">
      <x:c r="A12" s="7"/>
      <x:c r="B12" s="7"/>
      <x:c r="C12" s="7"/>
      <x:c r="D12" s="7"/>
      <x:c r="E12" s="7"/>
    </x:row>
    <x:row r="13" ht="18" customHeight="1">
      <x:c r="A13" s="7"/>
      <x:c r="B13" s="7"/>
      <x:c r="C13" s="7"/>
      <x:c r="D13" s="7"/>
      <x:c r="E13" s="7"/>
    </x:row>
    <x:row r="14" ht="18" customHeight="1">
      <x:c r="A14" s="7"/>
      <x:c r="B14" s="7"/>
      <x:c r="C14" s="7"/>
      <x:c r="D14" s="7"/>
      <x:c r="E14" s="7"/>
    </x:row>
  </x:sheetData>
  <x:pageMargins left="0.7" right="0.7" top="0.75" bottom="0.75" header="0.3" footer="0.3"/>
</x:worksheet>
</file>