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ba242768640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2ba723d0837e4473"/>
    <x:sheet xmlns:r="http://schemas.openxmlformats.org/officeDocument/2006/relationships" name="完整解锁顺序" sheetId="2" r:id="R3c5eed872b3e42c4"/>
    <x:sheet xmlns:r="http://schemas.openxmlformats.org/officeDocument/2006/relationships" name="药材心得顺序" sheetId="3" r:id="R316a3388469747ee"/>
    <x:sheet xmlns:r="http://schemas.openxmlformats.org/officeDocument/2006/relationships" name="方剂疾病级联" sheetId="4" r:id="R85ca19ad384648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18">
    <x:font>
      <x:sz val="11"/>
      <x:name val="Carlito"/>
    </x:font>
    <x:font>
      <x:b/>
      <x:sz val="20"/>
      <x:color rgb="FFFFFFFF"/>
      <x:name val="Carlito"/>
    </x:font>
    <x:font>
      <x:i/>
      <x:sz val="11"/>
      <x:color rgb="FF0F766E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b/>
      <x:sz val="10"/>
      <x:color rgb="FF0F766E"/>
      <x:name val="Carlito"/>
    </x:font>
    <x:font>
      <x:sz val="11"/>
      <x:color rgb="FF1F2937"/>
      <x:name val="Carlito"/>
    </x:font>
    <x:font>
      <x:sz val="9"/>
      <x:color rgb="FF2563EB"/>
      <x:name val="Carlito"/>
    </x:font>
    <x:font>
      <x:b/>
      <x:sz val="20"/>
      <x:color rgb="FFFFFFFF"/>
      <x:name val="Source Han Serif SC"/>
    </x:font>
    <x:font>
      <x:i/>
      <x:sz val="11"/>
      <x:color rgb="FF0F766E"/>
      <x:name val="Source Han Serif SC"/>
    </x:font>
    <x:font>
      <x:sz val="11"/>
      <x:name val="Source Han Serif SC"/>
    </x:font>
    <x:font>
      <x:b/>
      <x:sz val="11"/>
      <x:color rgb="FFFFFFFF"/>
      <x:name val="Source Han Serif SC"/>
    </x:font>
    <x:font>
      <x:sz val="10"/>
      <x:color rgb="FF1F2937"/>
      <x:name val="Source Han Serif SC"/>
    </x:font>
    <x:font>
      <x:b/>
      <x:sz val="10"/>
      <x:color rgb="FF0F766E"/>
      <x:name val="Source Han Serif SC"/>
    </x:font>
    <x:font>
      <x:b/>
      <x:sz val="10"/>
      <x:color rgb="FF1F2937"/>
      <x:name val="Source Han Serif SC"/>
    </x:font>
    <x:font>
      <x:sz val="11"/>
      <x:color rgb="FF1F2937"/>
      <x:name val="Source Han Serif SC"/>
    </x:font>
    <x:font>
      <x:sz val="9"/>
      <x:color rgb="FF2563EB"/>
      <x:name val="Source Han Serif SC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3F1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5DEE5"/>
      </x:bottom>
    </x:border>
    <x:border>
      <x:top style="thin">
        <x:color rgb="FFD5DEE5"/>
      </x:top>
      <x:bottom style="thin">
        <x:color rgb="FFD5DEE5"/>
      </x:bottom>
    </x:border>
    <x:border>
      <x:top style="thin">
        <x:color rgb="FFD5DEE5"/>
      </x:top>
    </x:border>
    <x:border>
      <x:top style="double">
        <x:color rgb="FF0F766E"/>
      </x:top>
    </x:border>
  </x:borders>
  <x:cellStyleXfs count="1">
    <x:xf numFmtId="0" fontId="0" fillId="0" borderId="0"/>
  </x:cellStyleXfs>
  <x:cellXfs count="1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4" xfId="0" applyNumberFormat="1" applyFont="1" applyFill="1" applyBorder="1"/>
    <x:xf numFmtId="200" fontId="4" fillId="0" borderId="4" xfId="0" applyNumberFormat="1" applyFont="1" applyFill="1" applyBorder="1"/>
    <x:xf numFmtId="0" fontId="4" fillId="0" borderId="5" xfId="0" applyNumberFormat="1" applyFont="1" applyFill="1" applyBorder="1"/>
    <x:xf numFmtId="200" fontId="4" fillId="0" borderId="5" xfId="0" applyNumberFormat="1" applyFont="1" applyFill="1" applyBorder="1"/>
    <x:xf numFmtId="0" fontId="4" fillId="0" borderId="6" xfId="0" applyNumberFormat="1" applyFont="1" applyFill="1" applyBorder="1"/>
    <x:xf numFmtId="20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200" fontId="4" fillId="3" borderId="6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20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200" fontId="5" fillId="3" borderId="7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6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horizontal="center" vertical="center"/>
    </x:xf>
    <x:xf numFmtId="0" fontId="6" fillId="3" borderId="5" xfId="0" applyNumberFormat="1" applyFont="1" applyFill="1" applyBorder="1" applyAlignment="1">
      <x:alignment horizontal="center" vertical="center"/>
    </x:xf>
    <x:xf numFmtId="0" fontId="6" fillId="3" borderId="6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 wrapText="0"/>
    </x:xf>
    <x:xf numFmtId="0" fontId="8" fillId="0" borderId="5" xfId="0" applyNumberFormat="1" applyFont="1" applyFill="1" applyBorder="1" applyAlignment="1">
      <x:alignment vertical="center" wrapText="0"/>
    </x:xf>
    <x:xf numFmtId="0" fontId="8" fillId="0" borderId="6" xfId="0" applyNumberFormat="1" applyFont="1" applyFill="1" applyBorder="1" applyAlignment="1">
      <x:alignment vertical="center" wrapText="0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201" fontId="4" fillId="0" borderId="4" xfId="0" applyNumberFormat="1" applyFont="1" applyFill="1" applyBorder="1" applyAlignment="1">
      <x:alignment horizontal="center" vertical="center"/>
    </x:xf>
    <x:xf numFmtId="201" fontId="4" fillId="0" borderId="5" xfId="0" applyNumberFormat="1" applyFont="1" applyFill="1" applyBorder="1" applyAlignment="1">
      <x:alignment horizontal="center" vertical="center"/>
    </x:xf>
    <x:xf numFmtId="201" fontId="4" fillId="0" borderId="6" xfId="0" applyNumberFormat="1" applyFont="1" applyFill="1" applyBorder="1" applyAlignment="1">
      <x:alignment horizontal="center"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/>
    <x:xf numFmtId="0" fontId="12" fillId="2" borderId="1" xfId="0" applyNumberFormat="1" applyFont="1" applyFill="1" applyBorder="1" applyAlignment="1">
      <x:alignment horizontal="center" vertical="center" wrapText="1"/>
    </x:xf>
    <x:xf numFmtId="0" fontId="12" fillId="2" borderId="2" xfId="0" applyNumberFormat="1" applyFont="1" applyFill="1" applyBorder="1" applyAlignment="1">
      <x:alignment horizontal="center" vertical="center" wrapText="1"/>
    </x:xf>
    <x:xf numFmtId="0" fontId="12" fillId="2" borderId="3" xfId="0" applyNumberFormat="1" applyFont="1" applyFill="1" applyBorder="1" applyAlignment="1">
      <x:alignment horizontal="center" vertical="center" wrapText="1"/>
    </x:xf>
    <x:xf numFmtId="0" fontId="13" fillId="0" borderId="4" xfId="0" applyNumberFormat="1" applyFont="1" applyFill="1" applyBorder="1" applyAlignment="1">
      <x:alignment vertical="center"/>
    </x:xf>
    <x:xf numFmtId="200" fontId="13" fillId="0" borderId="4" xfId="0" applyNumberFormat="1" applyFont="1" applyFill="1" applyBorder="1" applyAlignment="1">
      <x:alignment vertical="center"/>
    </x:xf>
    <x:xf numFmtId="0" fontId="14" fillId="3" borderId="4" xfId="0" applyNumberFormat="1" applyFont="1" applyFill="1" applyBorder="1" applyAlignment="1">
      <x:alignment horizontal="center" vertical="center"/>
    </x:xf>
    <x:xf numFmtId="0" fontId="13" fillId="0" borderId="4" xfId="0" applyNumberFormat="1" applyFont="1" applyFill="1" applyBorder="1" applyAlignment="1">
      <x:alignment vertical="center" wrapText="1"/>
    </x:xf>
    <x:xf numFmtId="0" fontId="13" fillId="0" borderId="5" xfId="0" applyNumberFormat="1" applyFont="1" applyFill="1" applyBorder="1" applyAlignment="1">
      <x:alignment vertical="center"/>
    </x:xf>
    <x:xf numFmtId="200" fontId="13" fillId="0" borderId="5" xfId="0" applyNumberFormat="1" applyFont="1" applyFill="1" applyBorder="1" applyAlignment="1">
      <x:alignment vertical="center"/>
    </x:xf>
    <x:xf numFmtId="0" fontId="14" fillId="3" borderId="5" xfId="0" applyNumberFormat="1" applyFont="1" applyFill="1" applyBorder="1" applyAlignment="1">
      <x:alignment horizontal="center" vertical="center"/>
    </x:xf>
    <x:xf numFmtId="0" fontId="13" fillId="0" borderId="5" xfId="0" applyNumberFormat="1" applyFont="1" applyFill="1" applyBorder="1" applyAlignment="1">
      <x:alignment vertical="center" wrapText="1"/>
    </x:xf>
    <x:xf numFmtId="0" fontId="15" fillId="3" borderId="7" xfId="0" applyNumberFormat="1" applyFont="1" applyFill="1" applyBorder="1" applyAlignment="1">
      <x:alignment vertical="center"/>
    </x:xf>
    <x:xf numFmtId="200" fontId="15" fillId="3" borderId="7" xfId="0" applyNumberFormat="1" applyFont="1" applyFill="1" applyBorder="1" applyAlignment="1">
      <x:alignment vertical="center"/>
    </x:xf>
    <x:xf numFmtId="0" fontId="14" fillId="3" borderId="6" xfId="0" applyNumberFormat="1" applyFont="1" applyFill="1" applyBorder="1" applyAlignment="1">
      <x:alignment horizontal="center" vertical="center"/>
    </x:xf>
    <x:xf numFmtId="0" fontId="13" fillId="0" borderId="6" xfId="0" applyNumberFormat="1" applyFont="1" applyFill="1" applyBorder="1" applyAlignment="1">
      <x:alignment vertical="center" wrapText="1"/>
    </x:xf>
    <x:xf numFmtId="0" fontId="16" fillId="4" borderId="0" xfId="0" applyNumberFormat="1" applyFont="1" applyFill="1" applyBorder="1" applyAlignment="1">
      <x:alignment vertical="center" wrapText="1"/>
    </x:xf>
    <x:xf numFmtId="0" fontId="16" fillId="5" borderId="0" xfId="0" applyNumberFormat="1" applyFont="1" applyFill="1" applyBorder="1" applyAlignment="1">
      <x:alignment vertical="center" wrapText="1"/>
    </x:xf>
    <x:xf numFmtId="0" fontId="17" fillId="0" borderId="4" xfId="0" applyNumberFormat="1" applyFont="1" applyFill="1" applyBorder="1" applyAlignment="1">
      <x:alignment vertical="center" wrapText="0"/>
    </x:xf>
    <x:xf numFmtId="0" fontId="17" fillId="0" borderId="5" xfId="0" applyNumberFormat="1" applyFont="1" applyFill="1" applyBorder="1" applyAlignment="1">
      <x:alignment vertical="center" wrapText="0"/>
    </x:xf>
    <x:xf numFmtId="0" fontId="13" fillId="0" borderId="6" xfId="0" applyNumberFormat="1" applyFont="1" applyFill="1" applyBorder="1" applyAlignment="1">
      <x:alignment vertical="center"/>
    </x:xf>
    <x:xf numFmtId="0" fontId="17" fillId="0" borderId="6" xfId="0" applyNumberFormat="1" applyFont="1" applyFill="1" applyBorder="1" applyAlignment="1">
      <x:alignment vertical="center" wrapText="0"/>
    </x:xf>
    <x:xf numFmtId="201" fontId="13" fillId="0" borderId="4" xfId="0" applyNumberFormat="1" applyFont="1" applyFill="1" applyBorder="1" applyAlignment="1">
      <x:alignment horizontal="center" vertical="center"/>
    </x:xf>
    <x:xf numFmtId="0" fontId="13" fillId="0" borderId="4" xfId="0" applyNumberFormat="1" applyFont="1" applyFill="1" applyBorder="1" applyAlignment="1">
      <x:alignment horizontal="center" vertical="center"/>
    </x:xf>
    <x:xf numFmtId="201" fontId="13" fillId="0" borderId="5" xfId="0" applyNumberFormat="1" applyFont="1" applyFill="1" applyBorder="1" applyAlignment="1">
      <x:alignment horizontal="center" vertical="center"/>
    </x:xf>
    <x:xf numFmtId="0" fontId="13" fillId="0" borderId="5" xfId="0" applyNumberFormat="1" applyFont="1" applyFill="1" applyBorder="1" applyAlignment="1">
      <x:alignment horizontal="center" vertical="center"/>
    </x:xf>
    <x:xf numFmtId="201" fontId="13" fillId="0" borderId="6" xfId="0" applyNumberFormat="1" applyFont="1" applyFill="1" applyBorder="1" applyAlignment="1">
      <x:alignment horizontal="center" vertical="center"/>
    </x:xf>
    <x:xf numFmtId="0" fontId="13" fillId="0" borderId="6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ill>
        <x:patternFill patternType="solid">
          <x:bgColor rgb="FFE8F5E9"/>
        </x:patternFill>
      </x:fill>
    </x:dxf>
    <x:dxf>
      <x:fill>
        <x:patternFill patternType="solid">
          <x:bgColor rgb="FFE8F1FB"/>
        </x:patternFill>
      </x:fill>
    </x:dxf>
    <x:dxf>
      <x:fill>
        <x:patternFill patternType="solid">
          <x:bgColor rgb="FFFFF0E6"/>
        </x:patternFill>
      </x:fill>
    </x:dxf>
    <x:dxf>
      <x:fill>
        <x:patternFill patternType="solid">
          <x:bgColor rgb="FFF1EAFB"/>
        </x:patternFill>
      </x:fill>
    </x:dxf>
    <x:dxf>
      <x:fill>
        <x:patternFill patternType="solid">
          <x:bgColor rgb="FFF6FAF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286e4bbff04c34" /><Relationship Type="http://schemas.openxmlformats.org/officeDocument/2006/relationships/theme" Target="/xl/theme/theme1.xml" Id="R2b544cf8de974516" /><Relationship Type="http://schemas.openxmlformats.org/officeDocument/2006/relationships/sharedStrings" Target="/xl/sharedStrings.xml" Id="R72b0427758a340fb" /><Relationship Type="http://schemas.openxmlformats.org/officeDocument/2006/relationships/worksheet" Target="/xl/worksheets/sheet1.xml" Id="R2ba723d0837e4473" /><Relationship Type="http://schemas.openxmlformats.org/officeDocument/2006/relationships/worksheet" Target="/xl/worksheets/sheet2.xml" Id="R3c5eed872b3e42c4" /><Relationship Type="http://schemas.openxmlformats.org/officeDocument/2006/relationships/worksheet" Target="/xl/worksheets/sheet3.xml" Id="R316a3388469747ee" /><Relationship Type="http://schemas.openxmlformats.org/officeDocument/2006/relationships/worksheet" Target="/xl/worksheets/sheet4.xml" Id="R85ca19ad38464869" /></Relationships>
</file>

<file path=xl/tables/table1.xml><?xml version="1.0" encoding="utf-8"?>
<x:table xmlns:x="http://schemas.openxmlformats.org/spreadsheetml/2006/main" id="1" name="OverviewCounts" displayName="OverviewCounts" ref="A5:C10" headerRowCount="1" totalsRowCount="0" totalsRowShown="0">
  <x:tableColumns count="3">
    <x:tableColumn id="1" name="条目类型"/>
    <x:tableColumn id="2" name="数量"/>
    <x:tableColumn id="3" name="占比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llUnlockOrder" displayName="FullUnlockOrder" ref="A1:H214" headerRowCount="1" totalsRowCount="0" totalsRowShown="0">
  <x:tableColumns count="8">
    <x:tableColumn id="1" name="展示序号"/>
    <x:tableColumn id="2" name="累计心得"/>
    <x:tableColumn id="3" name="阶段内顺序"/>
    <x:tableColumn id="4" name="类型"/>
    <x:tableColumn id="5" name="条目名称"/>
    <x:tableColumn id="6" name="解锁条件"/>
    <x:tableColumn id="7" name="关联内容"/>
    <x:tableColumn id="8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erbUnlockOrder" displayName="HerbUnlockOrder" ref="A1:E115" headerRowCount="1" totalsRowCount="0" totalsRowShown="0">
  <x:tableColumns count="5">
    <x:tableColumn id="1" name="药材序号"/>
    <x:tableColumn id="2" name="累计心得"/>
    <x:tableColumn id="3" name="药材条目"/>
    <x:tableColumn id="4" name="条目ID"/>
    <x:tableColumn id="5" name="解锁方式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FormulaDiseaseCascade" displayName="FormulaDiseaseCascade" ref="A1:E49" headerRowCount="1" totalsRowCount="0" totalsRowShown="0">
  <x:tableColumns count="5">
    <x:tableColumn id="1" name="累计心得"/>
    <x:tableColumn id="2" name="方剂条目"/>
    <x:tableColumn id="3" name="必需药材"/>
    <x:tableColumn id="4" name="疾病条目"/>
    <x:tableColumn id="5" name="触发顺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88cc6cf15041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4b97778b8140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5fb21b872642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357bf1345e84b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3" hidden="0" customWidth="1"/>
    <x:col min="4" max="4" width="4" hidden="0" customWidth="1"/>
    <x:col min="5" max="5" width="10" hidden="0" customWidth="1"/>
    <x:col min="6" max="6" width="40" hidden="0" customWidth="1"/>
  </x:cols>
  <x:sheetData>
    <x:row r="1" ht="30" customHeight="1">
      <x:c r="A1" s="76" t="str">
        <x:v>《医者》当前条目解锁顺序</x:v>
      </x:c>
      <x:c r="B1" s="76"/>
      <x:c r="C1" s="76"/>
      <x:c r="D1" s="76"/>
      <x:c r="E1" s="76"/>
      <x:c r="F1" s="76"/>
    </x:row>
    <x:row r="2" ht="30" customHeight="1">
      <x:c r="A2" s="76"/>
      <x:c r="B2" s="76"/>
      <x:c r="C2" s="76"/>
      <x:c r="D2" s="76"/>
      <x:c r="E2" s="76"/>
      <x:c r="F2" s="76"/>
    </x:row>
    <x:row r="3" ht="22" customHeight="1">
      <x:c r="A3" s="77" t="str">
        <x:v>依据 GitHub main 当前数据与解锁代码整理｜总计 213 个正式条目</x:v>
      </x:c>
      <x:c r="B3" s="77"/>
      <x:c r="C3" s="77"/>
      <x:c r="D3" s="77"/>
      <x:c r="E3" s="77"/>
      <x:c r="F3" s="77"/>
    </x:row>
    <x:row r="4" ht="22" customHeight="1">
      <x:c r="A4" s="78"/>
      <x:c r="B4" s="78"/>
      <x:c r="C4" s="78"/>
      <x:c r="D4" s="78"/>
      <x:c r="E4" s="78"/>
      <x:c r="F4" s="78"/>
    </x:row>
    <x:row r="5" ht="22" customHeight="1">
      <x:c r="A5" s="79" t="str">
        <x:v>条目类型</x:v>
      </x:c>
      <x:c r="B5" s="80" t="str">
        <x:v>数量</x:v>
      </x:c>
      <x:c r="C5" s="81" t="str">
        <x:v>占比</x:v>
      </x:c>
      <x:c r="D5" s="78"/>
      <x:c r="E5" s="79" t="str">
        <x:v>阶段</x:v>
      </x:c>
      <x:c r="F5" s="81" t="str">
        <x:v>实际触发</x:v>
      </x:c>
    </x:row>
    <x:row r="6" ht="22" customHeight="1">
      <x:c r="A6" s="82" t="str">
        <x:v>药材</x:v>
      </x:c>
      <x:c r="B6" s="82" t="n">
        <x:f>COUNTIF('完整解锁顺序'!$D$2:$D$214,A6)</x:f>
        <x:v>114</x:v>
      </x:c>
      <x:c r="C6" s="83" t="n">
        <x:f>B6/$B$10</x:f>
        <x:v>0.5352112676056338</x:v>
      </x:c>
      <x:c r="D6" s="78"/>
      <x:c r="E6" s="84" t="str">
        <x:v>1</x:v>
      </x:c>
      <x:c r="F6" s="85" t="str">
        <x:v>心得达到门槛，自动解锁药材/理论条目</x:v>
      </x:c>
    </x:row>
    <x:row r="7" ht="22" customHeight="1">
      <x:c r="A7" s="86" t="str">
        <x:v>方剂</x:v>
      </x:c>
      <x:c r="B7" s="86" t="n">
        <x:f>COUNTIF('完整解锁顺序'!$D$2:$D$214,A7)</x:f>
        <x:v>48</x:v>
      </x:c>
      <x:c r="C7" s="87" t="n">
        <x:f>B7/$B$10</x:f>
        <x:v>0.22535211267605634</x:v>
      </x:c>
      <x:c r="D7" s="78"/>
      <x:c r="E7" s="88" t="str">
        <x:v>2</x:v>
      </x:c>
      <x:c r="F7" s="89" t="str">
        <x:v>首次查看药材条目，解锁药材实体</x:v>
      </x:c>
    </x:row>
    <x:row r="8" ht="22" customHeight="1">
      <x:c r="A8" s="86" t="str">
        <x:v>疾病</x:v>
      </x:c>
      <x:c r="B8" s="86" t="n">
        <x:f>COUNTIF('完整解锁顺序'!$D$2:$D$214,A8)</x:f>
        <x:v>48</x:v>
      </x:c>
      <x:c r="C8" s="87" t="n">
        <x:f>B8/$B$10</x:f>
        <x:v>0.22535211267605634</x:v>
      </x:c>
      <x:c r="D8" s="78"/>
      <x:c r="E8" s="88" t="str">
        <x:v>3</x:v>
      </x:c>
      <x:c r="F8" s="89" t="str">
        <x:v>方剂全部药材齐全，自动解锁方剂条目</x:v>
      </x:c>
    </x:row>
    <x:row r="9" ht="22" customHeight="1">
      <x:c r="A9" s="86" t="str">
        <x:v>理论</x:v>
      </x:c>
      <x:c r="B9" s="86" t="n">
        <x:f>COUNTIF('完整解锁顺序'!$D$2:$D$214,A9)</x:f>
        <x:v>3</x:v>
      </x:c>
      <x:c r="C9" s="87" t="n">
        <x:f>B9/$B$10</x:f>
        <x:v>0.014084507042253521</x:v>
      </x:c>
      <x:c r="D9" s="78"/>
      <x:c r="E9" s="88" t="str">
        <x:v>4</x:v>
      </x:c>
      <x:c r="F9" s="89" t="str">
        <x:v>标准方解锁，自动解锁疾病条目</x:v>
      </x:c>
    </x:row>
    <x:row r="10" ht="22" customHeight="1">
      <x:c r="A10" s="90" t="str">
        <x:v>合计</x:v>
      </x:c>
      <x:c r="B10" s="90" t="n">
        <x:f>SUM(B6:B9)</x:f>
        <x:v>213</x:v>
      </x:c>
      <x:c r="C10" s="91" t="n">
        <x:f>SUM(C6:C9)</x:f>
        <x:v>1</x:v>
      </x:c>
      <x:c r="D10" s="78"/>
      <x:c r="E10" s="92" t="str">
        <x:v>5</x:v>
      </x:c>
      <x:c r="F10" s="93" t="str">
        <x:v>读完当前夜晚的新条目后才能休息</x:v>
      </x:c>
    </x:row>
    <x:row r="11" ht="22" customHeight="1">
      <x:c r="A11" s="78"/>
      <x:c r="B11" s="78"/>
      <x:c r="C11" s="78"/>
      <x:c r="D11" s="78"/>
      <x:c r="E11" s="78"/>
      <x:c r="F11" s="78"/>
    </x:row>
    <x:row r="12" ht="22" customHeight="1">
      <x:c r="A12" s="78"/>
      <x:c r="B12" s="78"/>
      <x:c r="C12" s="78"/>
      <x:c r="D12" s="78"/>
      <x:c r="E12" s="78"/>
      <x:c r="F12" s="78"/>
    </x:row>
    <x:row r="13" ht="22" customHeight="1">
      <x:c r="A13" s="79" t="str">
        <x:v>规则要点</x:v>
      </x:c>
      <x:c r="B13" s="80"/>
      <x:c r="C13" s="80"/>
      <x:c r="D13" s="80"/>
      <x:c r="E13" s="80"/>
      <x:c r="F13" s="81"/>
    </x:row>
    <x:row r="14" ht="30" customHeight="1">
      <x:c r="A14" s="94" t="str">
        <x:v>• 心得是累计值，不会因读书而消耗；目前只有首次提交并达到“妙手回春”时增加1点。</x:v>
      </x:c>
      <x:c r="B14" s="94"/>
      <x:c r="C14" s="94"/>
      <x:c r="D14" s="94"/>
      <x:c r="E14" s="94"/>
      <x:c r="F14" s="94"/>
    </x:row>
    <x:row r="15" ht="30" customHeight="1">
      <x:c r="A15" s="95" t="str">
        <x:v>• 药材与理论按 unlock_required_experience_points 自动解锁；方剂和疾病不直接使用心得门槛。</x:v>
      </x:c>
      <x:c r="B15" s="95"/>
      <x:c r="C15" s="95"/>
      <x:c r="D15" s="95"/>
      <x:c r="E15" s="95"/>
      <x:c r="F15" s="95"/>
    </x:row>
    <x:row r="16" ht="30" customHeight="1">
      <x:c r="A16" s="94" t="str">
        <x:v>• 同一心得阶段的多项级联属于同一阶段，具体显示先后可能受玩家阅读顺序影响。</x:v>
      </x:c>
      <x:c r="B16" s="94"/>
      <x:c r="C16" s="94"/>
      <x:c r="D16" s="94"/>
      <x:c r="E16" s="94"/>
      <x:c r="F16" s="94"/>
    </x:row>
    <x:row r="17" ht="30" customHeight="1">
      <x:c r="A17" s="95" t="str">
        <x:v>• 当前48个方剂与48个疾病依赖完整，最高门槛为107点；无不可达条目。</x:v>
      </x:c>
      <x:c r="B17" s="95"/>
      <x:c r="C17" s="95"/>
      <x:c r="D17" s="95"/>
      <x:c r="E17" s="95"/>
      <x:c r="F17" s="95"/>
    </x:row>
    <x:row r="18" ht="22" customHeight="1">
      <x:c r="A18" s="78"/>
      <x:c r="B18" s="78"/>
      <x:c r="C18" s="78"/>
      <x:c r="D18" s="78"/>
      <x:c r="E18" s="78"/>
      <x:c r="F18" s="78"/>
    </x:row>
    <x:row r="19" ht="22" customHeight="1">
      <x:c r="A19" s="78"/>
      <x:c r="B19" s="78"/>
      <x:c r="C19" s="78"/>
      <x:c r="D19" s="78"/>
      <x:c r="E19" s="78"/>
      <x:c r="F19" s="78"/>
    </x:row>
    <x:row r="20" ht="22" customHeight="1">
      <x:c r="A20" s="79" t="str">
        <x:v>源代码依据</x:v>
      </x:c>
      <x:c r="B20" s="80"/>
      <x:c r="C20" s="80"/>
      <x:c r="D20" s="80"/>
      <x:c r="E20" s="80"/>
      <x:c r="F20" s="81"/>
    </x:row>
    <x:row r="21" ht="26" customHeight="1">
      <x:c r="A21" s="82" t="str">
        <x:v>UnlockManager.gd</x:v>
      </x:c>
      <x:c r="B21" s="96" t="str">
        <x:v>https://github.com/lqc19891229/Doctor/blob/main/System/Unlock/UnlockManager.gd</x:v>
      </x:c>
      <x:c r="C21" s="96"/>
      <x:c r="D21" s="96"/>
      <x:c r="E21" s="96"/>
      <x:c r="F21" s="96"/>
    </x:row>
    <x:row r="22" ht="26" customHeight="1">
      <x:c r="A22" s="86" t="str">
        <x:v>神农本草经配置</x:v>
      </x:c>
      <x:c r="B22" s="97" t="str">
        <x:v>https://github.com/lqc19891229/Doctor/blob/main/Data/Book/Book/shen_nong_ben_cao_jing.tres</x:v>
      </x:c>
      <x:c r="C22" s="97"/>
      <x:c r="D22" s="97"/>
      <x:c r="E22" s="97"/>
      <x:c r="F22" s="97"/>
    </x:row>
    <x:row r="23" ht="26" customHeight="1">
      <x:c r="A23" s="86" t="str">
        <x:v>Clinic.gd</x:v>
      </x:c>
      <x:c r="B23" s="97" t="str">
        <x:v>https://github.com/lqc19891229/Doctor/blob/main/Scene/clinic/Clinic.gd</x:v>
      </x:c>
      <x:c r="C23" s="97"/>
      <x:c r="D23" s="97"/>
      <x:c r="E23" s="97"/>
      <x:c r="F23" s="97"/>
    </x:row>
    <x:row r="24" ht="26" customHeight="1">
      <x:c r="A24" s="98" t="str">
        <x:v>条目数据目录</x:v>
      </x:c>
      <x:c r="B24" s="99" t="str">
        <x:v>https://github.com/lqc19891229/Doctor/tree/main/Data/Book/BookEntry</x:v>
      </x:c>
      <x:c r="C24" s="99"/>
      <x:c r="D24" s="99"/>
      <x:c r="E24" s="99"/>
      <x:c r="F24" s="99"/>
    </x:row>
  </x:sheetData>
  <x:mergeCells>
    <x:mergeCell ref="A1:F2"/>
    <x:mergeCell ref="A3:F3"/>
    <x:mergeCell ref="A13:F13"/>
    <x:mergeCell ref="A14:F14"/>
    <x:mergeCell ref="A15:F15"/>
    <x:mergeCell ref="A16:F16"/>
    <x:mergeCell ref="A17:F17"/>
    <x:mergeCell ref="A20:F20"/>
    <x:mergeCell ref="B21:F21"/>
    <x:mergeCell ref="B22:F22"/>
    <x:mergeCell ref="B23:F23"/>
    <x:mergeCell ref="B24:F24"/>
  </x:mergeCells>
  <x:pageMargins left="0.7" right="0.7" top="0.75" bottom="0.75" header="0.3" footer="0.3"/>
  <x:tableParts count="1">
    <x:tablePart xmlns:r="http://schemas.openxmlformats.org/officeDocument/2006/relationships" r:id="Rce88cc6cf150416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5" hidden="0" customWidth="1"/>
    <x:col min="4" max="4" width="9" hidden="0" customWidth="1"/>
    <x:col min="5" max="5" width="18" hidden="0" customWidth="1"/>
    <x:col min="6" max="6" width="28" hidden="0" customWidth="1"/>
    <x:col min="7" max="7" width="28" hidden="0" customWidth="1"/>
    <x:col min="8" max="8" width="38" hidden="0" customWidth="1"/>
  </x:cols>
  <x:sheetData>
    <x:row r="1" ht="23" customHeight="1">
      <x:c r="A1" s="79" t="str">
        <x:v>展示序号</x:v>
      </x:c>
      <x:c r="B1" s="80" t="str">
        <x:v>累计心得</x:v>
      </x:c>
      <x:c r="C1" s="80" t="str">
        <x:v>阶段内顺序</x:v>
      </x:c>
      <x:c r="D1" s="80" t="str">
        <x:v>类型</x:v>
      </x:c>
      <x:c r="E1" s="80" t="str">
        <x:v>条目名称</x:v>
      </x:c>
      <x:c r="F1" s="80" t="str">
        <x:v>解锁条件</x:v>
      </x:c>
      <x:c r="G1" s="80" t="str">
        <x:v>关联内容</x:v>
      </x:c>
      <x:c r="H1" s="81" t="str">
        <x:v>备注</x:v>
      </x:c>
    </x:row>
    <x:row r="2" ht="23" customHeight="1">
      <x:c r="A2" s="100" t="n">
        <x:v>1</x:v>
      </x:c>
      <x:c r="B2" s="100" t="n">
        <x:v>0</x:v>
      </x:c>
      <x:c r="C2" s="101" t="str">
        <x:v>初始自动</x:v>
      </x:c>
      <x:c r="D2" s="101" t="str">
        <x:v>理论</x:v>
      </x:c>
      <x:c r="E2" s="82" t="str">
        <x:v>把脉</x:v>
      </x:c>
      <x:c r="F2" s="85" t="str">
        <x:v>累计心得达到0点</x:v>
      </x:c>
      <x:c r="G2" s="85" t="str">
        <x:v>—</x:v>
      </x:c>
      <x:c r="H2" s="85" t="str">
        <x:v>进入读书界面时自动解锁</x:v>
      </x:c>
    </x:row>
    <x:row r="3" ht="23" customHeight="1">
      <x:c r="A3" s="102" t="n">
        <x:v>2</x:v>
      </x:c>
      <x:c r="B3" s="102" t="n">
        <x:v>0</x:v>
      </x:c>
      <x:c r="C3" s="103" t="str">
        <x:v>初始自动</x:v>
      </x:c>
      <x:c r="D3" s="103" t="str">
        <x:v>理论</x:v>
      </x:c>
      <x:c r="E3" s="86" t="str">
        <x:v>开方</x:v>
      </x:c>
      <x:c r="F3" s="89" t="str">
        <x:v>累计心得达到0点</x:v>
      </x:c>
      <x:c r="G3" s="89" t="str">
        <x:v>—</x:v>
      </x:c>
      <x:c r="H3" s="89" t="str">
        <x:v>进入读书界面时自动解锁</x:v>
      </x:c>
    </x:row>
    <x:row r="4" ht="23" customHeight="1">
      <x:c r="A4" s="102" t="n">
        <x:v>3</x:v>
      </x:c>
      <x:c r="B4" s="102" t="n">
        <x:v>0</x:v>
      </x:c>
      <x:c r="C4" s="103" t="str">
        <x:v>初始自动</x:v>
      </x:c>
      <x:c r="D4" s="103" t="str">
        <x:v>理论</x:v>
      </x:c>
      <x:c r="E4" s="86" t="str">
        <x:v>行医记考</x:v>
      </x:c>
      <x:c r="F4" s="89" t="str">
        <x:v>累计心得达到0点</x:v>
      </x:c>
      <x:c r="G4" s="89" t="str">
        <x:v>—</x:v>
      </x:c>
      <x:c r="H4" s="89" t="str">
        <x:v>进入读书界面时自动解锁</x:v>
      </x:c>
    </x:row>
    <x:row r="5" ht="23" customHeight="1">
      <x:c r="A5" s="102" t="n">
        <x:v>4</x:v>
      </x:c>
      <x:c r="B5" s="102" t="n">
        <x:v>0</x:v>
      </x:c>
      <x:c r="C5" s="103" t="str">
        <x:v>初始自动</x:v>
      </x:c>
      <x:c r="D5" s="103" t="str">
        <x:v>药材</x:v>
      </x:c>
      <x:c r="E5" s="86" t="str">
        <x:v>麻黄</x:v>
      </x:c>
      <x:c r="F5" s="89" t="str">
        <x:v>累计心得达到0点</x:v>
      </x:c>
      <x:c r="G5" s="89" t="str">
        <x:v>条目ID：ma_huang</x:v>
      </x:c>
      <x:c r="H5" s="89" t="str">
        <x:v>首次查看后标记已读，并解锁对应药材实体</x:v>
      </x:c>
    </x:row>
    <x:row r="6" ht="23" customHeight="1">
      <x:c r="A6" s="102" t="n">
        <x:v>5</x:v>
      </x:c>
      <x:c r="B6" s="102" t="n">
        <x:v>0</x:v>
      </x:c>
      <x:c r="C6" s="103" t="str">
        <x:v>初始自动</x:v>
      </x:c>
      <x:c r="D6" s="103" t="str">
        <x:v>药材</x:v>
      </x:c>
      <x:c r="E6" s="86" t="str">
        <x:v>桂枝</x:v>
      </x:c>
      <x:c r="F6" s="89" t="str">
        <x:v>累计心得达到0点</x:v>
      </x:c>
      <x:c r="G6" s="89" t="str">
        <x:v>条目ID：gui_zhi</x:v>
      </x:c>
      <x:c r="H6" s="89" t="str">
        <x:v>首次查看后标记已读，并解锁对应药材实体</x:v>
      </x:c>
    </x:row>
    <x:row r="7" ht="23" customHeight="1">
      <x:c r="A7" s="102" t="n">
        <x:v>6</x:v>
      </x:c>
      <x:c r="B7" s="102" t="n">
        <x:v>0</x:v>
      </x:c>
      <x:c r="C7" s="103" t="str">
        <x:v>初始自动</x:v>
      </x:c>
      <x:c r="D7" s="103" t="str">
        <x:v>药材</x:v>
      </x:c>
      <x:c r="E7" s="86" t="str">
        <x:v>杏仁</x:v>
      </x:c>
      <x:c r="F7" s="89" t="str">
        <x:v>累计心得达到0点</x:v>
      </x:c>
      <x:c r="G7" s="89" t="str">
        <x:v>条目ID：xing_ren</x:v>
      </x:c>
      <x:c r="H7" s="89" t="str">
        <x:v>首次查看后标记已读，并解锁对应药材实体</x:v>
      </x:c>
    </x:row>
    <x:row r="8" ht="23" customHeight="1">
      <x:c r="A8" s="102" t="n">
        <x:v>7</x:v>
      </x:c>
      <x:c r="B8" s="102" t="n">
        <x:v>0</x:v>
      </x:c>
      <x:c r="C8" s="103" t="str">
        <x:v>初始自动</x:v>
      </x:c>
      <x:c r="D8" s="103" t="str">
        <x:v>药材</x:v>
      </x:c>
      <x:c r="E8" s="86" t="str">
        <x:v>甘草</x:v>
      </x:c>
      <x:c r="F8" s="89" t="str">
        <x:v>累计心得达到0点</x:v>
      </x:c>
      <x:c r="G8" s="89" t="str">
        <x:v>条目ID：gan_cao</x:v>
      </x:c>
      <x:c r="H8" s="89" t="str">
        <x:v>首次查看后标记已读，并解锁对应药材实体</x:v>
      </x:c>
    </x:row>
    <x:row r="9" ht="23" customHeight="1">
      <x:c r="A9" s="102" t="n">
        <x:v>8</x:v>
      </x:c>
      <x:c r="B9" s="102" t="n">
        <x:v>0</x:v>
      </x:c>
      <x:c r="C9" s="103" t="str">
        <x:v>初始自动</x:v>
      </x:c>
      <x:c r="D9" s="103" t="str">
        <x:v>药材</x:v>
      </x:c>
      <x:c r="E9" s="86" t="str">
        <x:v>白芍</x:v>
      </x:c>
      <x:c r="F9" s="89" t="str">
        <x:v>累计心得达到0点</x:v>
      </x:c>
      <x:c r="G9" s="89" t="str">
        <x:v>条目ID：bai_shao</x:v>
      </x:c>
      <x:c r="H9" s="89" t="str">
        <x:v>首次查看后标记已读，并解锁对应药材实体</x:v>
      </x:c>
    </x:row>
    <x:row r="10" ht="23" customHeight="1">
      <x:c r="A10" s="102" t="n">
        <x:v>9</x:v>
      </x:c>
      <x:c r="B10" s="102" t="n">
        <x:v>0</x:v>
      </x:c>
      <x:c r="C10" s="103" t="str">
        <x:v>初始自动</x:v>
      </x:c>
      <x:c r="D10" s="103" t="str">
        <x:v>药材</x:v>
      </x:c>
      <x:c r="E10" s="86" t="str">
        <x:v>生姜</x:v>
      </x:c>
      <x:c r="F10" s="89" t="str">
        <x:v>累计心得达到0点</x:v>
      </x:c>
      <x:c r="G10" s="89" t="str">
        <x:v>条目ID：sheng_jiang</x:v>
      </x:c>
      <x:c r="H10" s="89" t="str">
        <x:v>首次查看后标记已读，并解锁对应药材实体</x:v>
      </x:c>
    </x:row>
    <x:row r="11" ht="23" customHeight="1">
      <x:c r="A11" s="102" t="n">
        <x:v>10</x:v>
      </x:c>
      <x:c r="B11" s="102" t="n">
        <x:v>0</x:v>
      </x:c>
      <x:c r="C11" s="103" t="str">
        <x:v>初始自动</x:v>
      </x:c>
      <x:c r="D11" s="103" t="str">
        <x:v>药材</x:v>
      </x:c>
      <x:c r="E11" s="86" t="str">
        <x:v>大枣</x:v>
      </x:c>
      <x:c r="F11" s="89" t="str">
        <x:v>累计心得达到0点</x:v>
      </x:c>
      <x:c r="G11" s="89" t="str">
        <x:v>条目ID：da_zao</x:v>
      </x:c>
      <x:c r="H11" s="89" t="str">
        <x:v>首次查看后标记已读，并解锁对应药材实体</x:v>
      </x:c>
    </x:row>
    <x:row r="12" ht="23" customHeight="1">
      <x:c r="A12" s="102" t="n">
        <x:v>11</x:v>
      </x:c>
      <x:c r="B12" s="102" t="n">
        <x:v>0</x:v>
      </x:c>
      <x:c r="C12" s="103" t="str">
        <x:v>2 依赖级联</x:v>
      </x:c>
      <x:c r="D12" s="103" t="str">
        <x:v>方剂</x:v>
      </x:c>
      <x:c r="E12" s="86" t="str">
        <x:v>桂枝甘草汤</x:v>
      </x:c>
      <x:c r="F12" s="89" t="str">
        <x:v>所含全部药材均已解锁</x:v>
      </x:c>
      <x:c r="G12" s="89" t="str">
        <x:v>标准病证：心阳虚</x:v>
      </x:c>
      <x:c r="H12" s="89" t="str">
        <x:v>自动解锁方剂实体及医书条目</x:v>
      </x:c>
    </x:row>
    <x:row r="13" ht="23" customHeight="1">
      <x:c r="A13" s="102" t="n">
        <x:v>12</x:v>
      </x:c>
      <x:c r="B13" s="102" t="n">
        <x:v>0</x:v>
      </x:c>
      <x:c r="C13" s="103" t="str">
        <x:v>2 依赖级联</x:v>
      </x:c>
      <x:c r="D13" s="103" t="str">
        <x:v>方剂</x:v>
      </x:c>
      <x:c r="E13" s="86" t="str">
        <x:v>桂枝汤</x:v>
      </x:c>
      <x:c r="F13" s="89" t="str">
        <x:v>所含全部药材均已解锁</x:v>
      </x:c>
      <x:c r="G13" s="89" t="str">
        <x:v>标准病证：风寒表虚证</x:v>
      </x:c>
      <x:c r="H13" s="89" t="str">
        <x:v>自动解锁方剂实体及医书条目</x:v>
      </x:c>
    </x:row>
    <x:row r="14" ht="23" customHeight="1">
      <x:c r="A14" s="102" t="n">
        <x:v>13</x:v>
      </x:c>
      <x:c r="B14" s="102" t="n">
        <x:v>0</x:v>
      </x:c>
      <x:c r="C14" s="103" t="str">
        <x:v>2 依赖级联</x:v>
      </x:c>
      <x:c r="D14" s="103" t="str">
        <x:v>方剂</x:v>
      </x:c>
      <x:c r="E14" s="86" t="str">
        <x:v>麻黄汤</x:v>
      </x:c>
      <x:c r="F14" s="89" t="str">
        <x:v>所含全部药材均已解锁</x:v>
      </x:c>
      <x:c r="G14" s="89" t="str">
        <x:v>标准病证：风寒表实证</x:v>
      </x:c>
      <x:c r="H14" s="89" t="str">
        <x:v>自动解锁方剂实体及医书条目</x:v>
      </x:c>
    </x:row>
    <x:row r="15" ht="23" customHeight="1">
      <x:c r="A15" s="102" t="n">
        <x:v>14</x:v>
      </x:c>
      <x:c r="B15" s="102" t="n">
        <x:v>0</x:v>
      </x:c>
      <x:c r="C15" s="103" t="str">
        <x:v>3 依赖级联</x:v>
      </x:c>
      <x:c r="D15" s="103" t="str">
        <x:v>疾病</x:v>
      </x:c>
      <x:c r="E15" s="86" t="str">
        <x:v>心阳虚</x:v>
      </x:c>
      <x:c r="F15" s="89" t="str">
        <x:v>标准方已经解锁</x:v>
      </x:c>
      <x:c r="G15" s="89" t="str">
        <x:v>标准方：桂枝甘草汤</x:v>
      </x:c>
      <x:c r="H15" s="89" t="str">
        <x:v>自动解锁疾病实体及医书条目</x:v>
      </x:c>
    </x:row>
    <x:row r="16" ht="23" customHeight="1">
      <x:c r="A16" s="102" t="n">
        <x:v>15</x:v>
      </x:c>
      <x:c r="B16" s="102" t="n">
        <x:v>0</x:v>
      </x:c>
      <x:c r="C16" s="103" t="str">
        <x:v>3 依赖级联</x:v>
      </x:c>
      <x:c r="D16" s="103" t="str">
        <x:v>疾病</x:v>
      </x:c>
      <x:c r="E16" s="86" t="str">
        <x:v>风寒表虚证</x:v>
      </x:c>
      <x:c r="F16" s="89" t="str">
        <x:v>标准方已经解锁</x:v>
      </x:c>
      <x:c r="G16" s="89" t="str">
        <x:v>标准方：桂枝汤</x:v>
      </x:c>
      <x:c r="H16" s="89" t="str">
        <x:v>自动解锁疾病实体及医书条目</x:v>
      </x:c>
    </x:row>
    <x:row r="17" ht="23" customHeight="1">
      <x:c r="A17" s="102" t="n">
        <x:v>16</x:v>
      </x:c>
      <x:c r="B17" s="102" t="n">
        <x:v>0</x:v>
      </x:c>
      <x:c r="C17" s="103" t="str">
        <x:v>3 依赖级联</x:v>
      </x:c>
      <x:c r="D17" s="103" t="str">
        <x:v>疾病</x:v>
      </x:c>
      <x:c r="E17" s="86" t="str">
        <x:v>风寒表实证</x:v>
      </x:c>
      <x:c r="F17" s="89" t="str">
        <x:v>标准方已经解锁</x:v>
      </x:c>
      <x:c r="G17" s="89" t="str">
        <x:v>标准方：麻黄汤</x:v>
      </x:c>
      <x:c r="H17" s="89" t="str">
        <x:v>自动解锁疾病实体及医书条目</x:v>
      </x:c>
    </x:row>
    <x:row r="18" ht="23" customHeight="1">
      <x:c r="A18" s="102" t="n">
        <x:v>17</x:v>
      </x:c>
      <x:c r="B18" s="102" t="n">
        <x:v>1</x:v>
      </x:c>
      <x:c r="C18" s="103" t="str">
        <x:v>1 药材条目</x:v>
      </x:c>
      <x:c r="D18" s="103" t="str">
        <x:v>药材</x:v>
      </x:c>
      <x:c r="E18" s="86" t="str">
        <x:v>金银花</x:v>
      </x:c>
      <x:c r="F18" s="89" t="str">
        <x:v>累计心得达到1点</x:v>
      </x:c>
      <x:c r="G18" s="89" t="str">
        <x:v>条目ID：jin_yin_hua</x:v>
      </x:c>
      <x:c r="H18" s="89" t="str">
        <x:v>首次查看后标记已读，并解锁对应药材实体</x:v>
      </x:c>
    </x:row>
    <x:row r="19" ht="23" customHeight="1">
      <x:c r="A19" s="102" t="n">
        <x:v>18</x:v>
      </x:c>
      <x:c r="B19" s="102" t="n">
        <x:v>2</x:v>
      </x:c>
      <x:c r="C19" s="103" t="str">
        <x:v>1 药材条目</x:v>
      </x:c>
      <x:c r="D19" s="103" t="str">
        <x:v>药材</x:v>
      </x:c>
      <x:c r="E19" s="86" t="str">
        <x:v>连翘</x:v>
      </x:c>
      <x:c r="F19" s="89" t="str">
        <x:v>累计心得达到2点</x:v>
      </x:c>
      <x:c r="G19" s="89" t="str">
        <x:v>条目ID：lian_qiao</x:v>
      </x:c>
      <x:c r="H19" s="89" t="str">
        <x:v>首次查看后标记已读，并解锁对应药材实体</x:v>
      </x:c>
    </x:row>
    <x:row r="20" ht="23" customHeight="1">
      <x:c r="A20" s="102" t="n">
        <x:v>19</x:v>
      </x:c>
      <x:c r="B20" s="102" t="n">
        <x:v>3</x:v>
      </x:c>
      <x:c r="C20" s="103" t="str">
        <x:v>1 药材条目</x:v>
      </x:c>
      <x:c r="D20" s="103" t="str">
        <x:v>药材</x:v>
      </x:c>
      <x:c r="E20" s="86" t="str">
        <x:v>牛蒡子</x:v>
      </x:c>
      <x:c r="F20" s="89" t="str">
        <x:v>累计心得达到3点</x:v>
      </x:c>
      <x:c r="G20" s="89" t="str">
        <x:v>条目ID：niu_bang_zi</x:v>
      </x:c>
      <x:c r="H20" s="89" t="str">
        <x:v>首次查看后标记已读，并解锁对应药材实体</x:v>
      </x:c>
    </x:row>
    <x:row r="21" ht="23" customHeight="1">
      <x:c r="A21" s="102" t="n">
        <x:v>20</x:v>
      </x:c>
      <x:c r="B21" s="102" t="n">
        <x:v>4</x:v>
      </x:c>
      <x:c r="C21" s="103" t="str">
        <x:v>1 药材条目</x:v>
      </x:c>
      <x:c r="D21" s="103" t="str">
        <x:v>药材</x:v>
      </x:c>
      <x:c r="E21" s="86" t="str">
        <x:v>荆芥</x:v>
      </x:c>
      <x:c r="F21" s="89" t="str">
        <x:v>累计心得达到4点</x:v>
      </x:c>
      <x:c r="G21" s="89" t="str">
        <x:v>条目ID：jing_jie</x:v>
      </x:c>
      <x:c r="H21" s="89" t="str">
        <x:v>首次查看后标记已读，并解锁对应药材实体</x:v>
      </x:c>
    </x:row>
    <x:row r="22" ht="23" customHeight="1">
      <x:c r="A22" s="102" t="n">
        <x:v>21</x:v>
      </x:c>
      <x:c r="B22" s="102" t="n">
        <x:v>5</x:v>
      </x:c>
      <x:c r="C22" s="103" t="str">
        <x:v>1 药材条目</x:v>
      </x:c>
      <x:c r="D22" s="103" t="str">
        <x:v>药材</x:v>
      </x:c>
      <x:c r="E22" s="86" t="str">
        <x:v>薄荷</x:v>
      </x:c>
      <x:c r="F22" s="89" t="str">
        <x:v>累计心得达到5点</x:v>
      </x:c>
      <x:c r="G22" s="89" t="str">
        <x:v>条目ID：bo_he</x:v>
      </x:c>
      <x:c r="H22" s="89" t="str">
        <x:v>首次查看后标记已读，并解锁对应药材实体</x:v>
      </x:c>
    </x:row>
    <x:row r="23" ht="23" customHeight="1">
      <x:c r="A23" s="102" t="n">
        <x:v>22</x:v>
      </x:c>
      <x:c r="B23" s="102" t="n">
        <x:v>6</x:v>
      </x:c>
      <x:c r="C23" s="103" t="str">
        <x:v>1 药材条目</x:v>
      </x:c>
      <x:c r="D23" s="103" t="str">
        <x:v>药材</x:v>
      </x:c>
      <x:c r="E23" s="86" t="str">
        <x:v>淡豆豉</x:v>
      </x:c>
      <x:c r="F23" s="89" t="str">
        <x:v>累计心得达到6点</x:v>
      </x:c>
      <x:c r="G23" s="89" t="str">
        <x:v>条目ID：dan_dou_chi</x:v>
      </x:c>
      <x:c r="H23" s="89" t="str">
        <x:v>首次查看后标记已读，并解锁对应药材实体</x:v>
      </x:c>
    </x:row>
    <x:row r="24" ht="23" customHeight="1">
      <x:c r="A24" s="102" t="n">
        <x:v>23</x:v>
      </x:c>
      <x:c r="B24" s="102" t="n">
        <x:v>7</x:v>
      </x:c>
      <x:c r="C24" s="103" t="str">
        <x:v>1 药材条目</x:v>
      </x:c>
      <x:c r="D24" s="103" t="str">
        <x:v>药材</x:v>
      </x:c>
      <x:c r="E24" s="86" t="str">
        <x:v>桔梗</x:v>
      </x:c>
      <x:c r="F24" s="89" t="str">
        <x:v>累计心得达到7点</x:v>
      </x:c>
      <x:c r="G24" s="89" t="str">
        <x:v>条目ID：jie_geng</x:v>
      </x:c>
      <x:c r="H24" s="89" t="str">
        <x:v>首次查看后标记已读，并解锁对应药材实体</x:v>
      </x:c>
    </x:row>
    <x:row r="25" ht="23" customHeight="1">
      <x:c r="A25" s="102" t="n">
        <x:v>24</x:v>
      </x:c>
      <x:c r="B25" s="102" t="n">
        <x:v>8</x:v>
      </x:c>
      <x:c r="C25" s="103" t="str">
        <x:v>1 药材条目</x:v>
      </x:c>
      <x:c r="D25" s="103" t="str">
        <x:v>药材</x:v>
      </x:c>
      <x:c r="E25" s="86" t="str">
        <x:v>芦根</x:v>
      </x:c>
      <x:c r="F25" s="89" t="str">
        <x:v>累计心得达到8点</x:v>
      </x:c>
      <x:c r="G25" s="89" t="str">
        <x:v>条目ID：lu_gen</x:v>
      </x:c>
      <x:c r="H25" s="89" t="str">
        <x:v>首次查看后标记已读，并解锁对应药材实体</x:v>
      </x:c>
    </x:row>
    <x:row r="26" ht="23" customHeight="1">
      <x:c r="A26" s="102" t="n">
        <x:v>25</x:v>
      </x:c>
      <x:c r="B26" s="102" t="n">
        <x:v>9</x:v>
      </x:c>
      <x:c r="C26" s="103" t="str">
        <x:v>1 药材条目</x:v>
      </x:c>
      <x:c r="D26" s="103" t="str">
        <x:v>药材</x:v>
      </x:c>
      <x:c r="E26" s="86" t="str">
        <x:v>竹叶</x:v>
      </x:c>
      <x:c r="F26" s="89" t="str">
        <x:v>累计心得达到9点</x:v>
      </x:c>
      <x:c r="G26" s="89" t="str">
        <x:v>条目ID：zhu_ye</x:v>
      </x:c>
      <x:c r="H26" s="89" t="str">
        <x:v>首次查看后标记已读，并解锁对应药材实体</x:v>
      </x:c>
    </x:row>
    <x:row r="27" ht="23" customHeight="1">
      <x:c r="A27" s="102" t="n">
        <x:v>26</x:v>
      </x:c>
      <x:c r="B27" s="102" t="n">
        <x:v>9</x:v>
      </x:c>
      <x:c r="C27" s="103" t="str">
        <x:v>2 依赖级联</x:v>
      </x:c>
      <x:c r="D27" s="103" t="str">
        <x:v>方剂</x:v>
      </x:c>
      <x:c r="E27" s="86" t="str">
        <x:v>银翘散</x:v>
      </x:c>
      <x:c r="F27" s="89" t="str">
        <x:v>所含全部药材均已解锁</x:v>
      </x:c>
      <x:c r="G27" s="89" t="str">
        <x:v>标准病证：风热表证</x:v>
      </x:c>
      <x:c r="H27" s="89" t="str">
        <x:v>自动解锁方剂实体及医书条目</x:v>
      </x:c>
    </x:row>
    <x:row r="28" ht="23" customHeight="1">
      <x:c r="A28" s="102" t="n">
        <x:v>27</x:v>
      </x:c>
      <x:c r="B28" s="102" t="n">
        <x:v>9</x:v>
      </x:c>
      <x:c r="C28" s="103" t="str">
        <x:v>3 依赖级联</x:v>
      </x:c>
      <x:c r="D28" s="103" t="str">
        <x:v>疾病</x:v>
      </x:c>
      <x:c r="E28" s="86" t="str">
        <x:v>风热表证</x:v>
      </x:c>
      <x:c r="F28" s="89" t="str">
        <x:v>标准方已经解锁</x:v>
      </x:c>
      <x:c r="G28" s="89" t="str">
        <x:v>标准方：银翘散</x:v>
      </x:c>
      <x:c r="H28" s="89" t="str">
        <x:v>自动解锁疾病实体及医书条目</x:v>
      </x:c>
    </x:row>
    <x:row r="29" ht="23" customHeight="1">
      <x:c r="A29" s="102" t="n">
        <x:v>28</x:v>
      </x:c>
      <x:c r="B29" s="102" t="n">
        <x:v>10</x:v>
      </x:c>
      <x:c r="C29" s="103" t="str">
        <x:v>1 药材条目</x:v>
      </x:c>
      <x:c r="D29" s="103" t="str">
        <x:v>药材</x:v>
      </x:c>
      <x:c r="E29" s="86" t="str">
        <x:v>桑叶</x:v>
      </x:c>
      <x:c r="F29" s="89" t="str">
        <x:v>累计心得达到10点</x:v>
      </x:c>
      <x:c r="G29" s="89" t="str">
        <x:v>条目ID：sang_ye</x:v>
      </x:c>
      <x:c r="H29" s="89" t="str">
        <x:v>首次查看后标记已读，并解锁对应药材实体</x:v>
      </x:c>
    </x:row>
    <x:row r="30" ht="23" customHeight="1">
      <x:c r="A30" s="102" t="n">
        <x:v>29</x:v>
      </x:c>
      <x:c r="B30" s="102" t="n">
        <x:v>11</x:v>
      </x:c>
      <x:c r="C30" s="103" t="str">
        <x:v>1 药材条目</x:v>
      </x:c>
      <x:c r="D30" s="103" t="str">
        <x:v>药材</x:v>
      </x:c>
      <x:c r="E30" s="86" t="str">
        <x:v>沙参</x:v>
      </x:c>
      <x:c r="F30" s="89" t="str">
        <x:v>累计心得达到11点</x:v>
      </x:c>
      <x:c r="G30" s="89" t="str">
        <x:v>条目ID：sha_shen</x:v>
      </x:c>
      <x:c r="H30" s="89" t="str">
        <x:v>首次查看后标记已读，并解锁对应药材实体</x:v>
      </x:c>
    </x:row>
    <x:row r="31" ht="23" customHeight="1">
      <x:c r="A31" s="102" t="n">
        <x:v>30</x:v>
      </x:c>
      <x:c r="B31" s="102" t="n">
        <x:v>12</x:v>
      </x:c>
      <x:c r="C31" s="103" t="str">
        <x:v>1 药材条目</x:v>
      </x:c>
      <x:c r="D31" s="103" t="str">
        <x:v>药材</x:v>
      </x:c>
      <x:c r="E31" s="86" t="str">
        <x:v>贝母</x:v>
      </x:c>
      <x:c r="F31" s="89" t="str">
        <x:v>累计心得达到12点</x:v>
      </x:c>
      <x:c r="G31" s="89" t="str">
        <x:v>条目ID：bei_mu</x:v>
      </x:c>
      <x:c r="H31" s="89" t="str">
        <x:v>首次查看后标记已读，并解锁对应药材实体</x:v>
      </x:c>
    </x:row>
    <x:row r="32" ht="23" customHeight="1">
      <x:c r="A32" s="102" t="n">
        <x:v>31</x:v>
      </x:c>
      <x:c r="B32" s="102" t="n">
        <x:v>13</x:v>
      </x:c>
      <x:c r="C32" s="103" t="str">
        <x:v>1 药材条目</x:v>
      </x:c>
      <x:c r="D32" s="103" t="str">
        <x:v>药材</x:v>
      </x:c>
      <x:c r="E32" s="86" t="str">
        <x:v>栀子</x:v>
      </x:c>
      <x:c r="F32" s="89" t="str">
        <x:v>累计心得达到13点</x:v>
      </x:c>
      <x:c r="G32" s="89" t="str">
        <x:v>条目ID：zhi_zi</x:v>
      </x:c>
      <x:c r="H32" s="89" t="str">
        <x:v>首次查看后标记已读，并解锁对应药材实体</x:v>
      </x:c>
    </x:row>
    <x:row r="33" ht="23" customHeight="1">
      <x:c r="A33" s="102" t="n">
        <x:v>32</x:v>
      </x:c>
      <x:c r="B33" s="102" t="n">
        <x:v>14</x:v>
      </x:c>
      <x:c r="C33" s="103" t="str">
        <x:v>1 药材条目</x:v>
      </x:c>
      <x:c r="D33" s="103" t="str">
        <x:v>药材</x:v>
      </x:c>
      <x:c r="E33" s="86" t="str">
        <x:v>梨皮</x:v>
      </x:c>
      <x:c r="F33" s="89" t="str">
        <x:v>累计心得达到14点</x:v>
      </x:c>
      <x:c r="G33" s="89" t="str">
        <x:v>条目ID：li_pi</x:v>
      </x:c>
      <x:c r="H33" s="89" t="str">
        <x:v>首次查看后标记已读，并解锁对应药材实体</x:v>
      </x:c>
    </x:row>
    <x:row r="34" ht="23" customHeight="1">
      <x:c r="A34" s="102" t="n">
        <x:v>33</x:v>
      </x:c>
      <x:c r="B34" s="102" t="n">
        <x:v>14</x:v>
      </x:c>
      <x:c r="C34" s="103" t="str">
        <x:v>2 依赖级联</x:v>
      </x:c>
      <x:c r="D34" s="103" t="str">
        <x:v>方剂</x:v>
      </x:c>
      <x:c r="E34" s="86" t="str">
        <x:v>桑杏汤</x:v>
      </x:c>
      <x:c r="F34" s="89" t="str">
        <x:v>所含全部药材均已解锁</x:v>
      </x:c>
      <x:c r="G34" s="89" t="str">
        <x:v>标准病证：温燥证</x:v>
      </x:c>
      <x:c r="H34" s="89" t="str">
        <x:v>自动解锁方剂实体及医书条目</x:v>
      </x:c>
    </x:row>
    <x:row r="35" ht="23" customHeight="1">
      <x:c r="A35" s="102" t="n">
        <x:v>34</x:v>
      </x:c>
      <x:c r="B35" s="102" t="n">
        <x:v>14</x:v>
      </x:c>
      <x:c r="C35" s="103" t="str">
        <x:v>3 依赖级联</x:v>
      </x:c>
      <x:c r="D35" s="103" t="str">
        <x:v>疾病</x:v>
      </x:c>
      <x:c r="E35" s="86" t="str">
        <x:v>温燥证</x:v>
      </x:c>
      <x:c r="F35" s="89" t="str">
        <x:v>标准方已经解锁</x:v>
      </x:c>
      <x:c r="G35" s="89" t="str">
        <x:v>标准方：桑杏汤</x:v>
      </x:c>
      <x:c r="H35" s="89" t="str">
        <x:v>自动解锁疾病实体及医书条目</x:v>
      </x:c>
    </x:row>
    <x:row r="36" ht="23" customHeight="1">
      <x:c r="A36" s="102" t="n">
        <x:v>35</x:v>
      </x:c>
      <x:c r="B36" s="102" t="n">
        <x:v>15</x:v>
      </x:c>
      <x:c r="C36" s="103" t="str">
        <x:v>1 药材条目</x:v>
      </x:c>
      <x:c r="D36" s="103" t="str">
        <x:v>药材</x:v>
      </x:c>
      <x:c r="E36" s="86" t="str">
        <x:v>苏叶</x:v>
      </x:c>
      <x:c r="F36" s="89" t="str">
        <x:v>累计心得达到15点</x:v>
      </x:c>
      <x:c r="G36" s="89" t="str">
        <x:v>条目ID：su_ye</x:v>
      </x:c>
      <x:c r="H36" s="89" t="str">
        <x:v>首次查看后标记已读，并解锁对应药材实体</x:v>
      </x:c>
    </x:row>
    <x:row r="37" ht="23" customHeight="1">
      <x:c r="A37" s="102" t="n">
        <x:v>36</x:v>
      </x:c>
      <x:c r="B37" s="102" t="n">
        <x:v>16</x:v>
      </x:c>
      <x:c r="C37" s="103" t="str">
        <x:v>1 药材条目</x:v>
      </x:c>
      <x:c r="D37" s="103" t="str">
        <x:v>药材</x:v>
      </x:c>
      <x:c r="E37" s="86" t="str">
        <x:v>半夏</x:v>
      </x:c>
      <x:c r="F37" s="89" t="str">
        <x:v>累计心得达到16点</x:v>
      </x:c>
      <x:c r="G37" s="89" t="str">
        <x:v>条目ID：ban_xia</x:v>
      </x:c>
      <x:c r="H37" s="89" t="str">
        <x:v>首次查看后标记已读，并解锁对应药材实体</x:v>
      </x:c>
    </x:row>
    <x:row r="38" ht="23" customHeight="1">
      <x:c r="A38" s="102" t="n">
        <x:v>37</x:v>
      </x:c>
      <x:c r="B38" s="102" t="n">
        <x:v>17</x:v>
      </x:c>
      <x:c r="C38" s="103" t="str">
        <x:v>1 药材条目</x:v>
      </x:c>
      <x:c r="D38" s="103" t="str">
        <x:v>药材</x:v>
      </x:c>
      <x:c r="E38" s="86" t="str">
        <x:v>前胡</x:v>
      </x:c>
      <x:c r="F38" s="89" t="str">
        <x:v>累计心得达到17点</x:v>
      </x:c>
      <x:c r="G38" s="89" t="str">
        <x:v>条目ID：qian_hu</x:v>
      </x:c>
      <x:c r="H38" s="89" t="str">
        <x:v>首次查看后标记已读，并解锁对应药材实体</x:v>
      </x:c>
    </x:row>
    <x:row r="39" ht="23" customHeight="1">
      <x:c r="A39" s="102" t="n">
        <x:v>38</x:v>
      </x:c>
      <x:c r="B39" s="102" t="n">
        <x:v>18</x:v>
      </x:c>
      <x:c r="C39" s="103" t="str">
        <x:v>1 药材条目</x:v>
      </x:c>
      <x:c r="D39" s="103" t="str">
        <x:v>药材</x:v>
      </x:c>
      <x:c r="E39" s="86" t="str">
        <x:v>陈皮</x:v>
      </x:c>
      <x:c r="F39" s="89" t="str">
        <x:v>累计心得达到18点</x:v>
      </x:c>
      <x:c r="G39" s="89" t="str">
        <x:v>条目ID：chen_pi</x:v>
      </x:c>
      <x:c r="H39" s="89" t="str">
        <x:v>首次查看后标记已读，并解锁对应药材实体</x:v>
      </x:c>
    </x:row>
    <x:row r="40" ht="23" customHeight="1">
      <x:c r="A40" s="102" t="n">
        <x:v>39</x:v>
      </x:c>
      <x:c r="B40" s="102" t="n">
        <x:v>19</x:v>
      </x:c>
      <x:c r="C40" s="103" t="str">
        <x:v>1 药材条目</x:v>
      </x:c>
      <x:c r="D40" s="103" t="str">
        <x:v>药材</x:v>
      </x:c>
      <x:c r="E40" s="86" t="str">
        <x:v>茯苓</x:v>
      </x:c>
      <x:c r="F40" s="89" t="str">
        <x:v>累计心得达到19点</x:v>
      </x:c>
      <x:c r="G40" s="89" t="str">
        <x:v>条目ID：fu_ling</x:v>
      </x:c>
      <x:c r="H40" s="89" t="str">
        <x:v>首次查看后标记已读，并解锁对应药材实体</x:v>
      </x:c>
    </x:row>
    <x:row r="41" ht="23" customHeight="1">
      <x:c r="A41" s="102" t="n">
        <x:v>40</x:v>
      </x:c>
      <x:c r="B41" s="102" t="n">
        <x:v>19</x:v>
      </x:c>
      <x:c r="C41" s="103" t="str">
        <x:v>2 依赖级联</x:v>
      </x:c>
      <x:c r="D41" s="103" t="str">
        <x:v>方剂</x:v>
      </x:c>
      <x:c r="E41" s="86" t="str">
        <x:v>二陈汤</x:v>
      </x:c>
      <x:c r="F41" s="89" t="str">
        <x:v>所含全部药材均已解锁</x:v>
      </x:c>
      <x:c r="G41" s="89" t="str">
        <x:v>标准病证：痰湿阻肺</x:v>
      </x:c>
      <x:c r="H41" s="89" t="str">
        <x:v>自动解锁方剂实体及医书条目</x:v>
      </x:c>
    </x:row>
    <x:row r="42" ht="23" customHeight="1">
      <x:c r="A42" s="102" t="n">
        <x:v>41</x:v>
      </x:c>
      <x:c r="B42" s="102" t="n">
        <x:v>19</x:v>
      </x:c>
      <x:c r="C42" s="103" t="str">
        <x:v>3 依赖级联</x:v>
      </x:c>
      <x:c r="D42" s="103" t="str">
        <x:v>疾病</x:v>
      </x:c>
      <x:c r="E42" s="86" t="str">
        <x:v>痰湿阻肺</x:v>
      </x:c>
      <x:c r="F42" s="89" t="str">
        <x:v>标准方已经解锁</x:v>
      </x:c>
      <x:c r="G42" s="89" t="str">
        <x:v>标准方：二陈汤</x:v>
      </x:c>
      <x:c r="H42" s="89" t="str">
        <x:v>自动解锁疾病实体及医书条目</x:v>
      </x:c>
    </x:row>
    <x:row r="43" ht="23" customHeight="1">
      <x:c r="A43" s="102" t="n">
        <x:v>42</x:v>
      </x:c>
      <x:c r="B43" s="102" t="n">
        <x:v>20</x:v>
      </x:c>
      <x:c r="C43" s="103" t="str">
        <x:v>1 药材条目</x:v>
      </x:c>
      <x:c r="D43" s="103" t="str">
        <x:v>药材</x:v>
      </x:c>
      <x:c r="E43" s="86" t="str">
        <x:v>枳壳</x:v>
      </x:c>
      <x:c r="F43" s="89" t="str">
        <x:v>累计心得达到20点</x:v>
      </x:c>
      <x:c r="G43" s="89" t="str">
        <x:v>条目ID：zhi_ke</x:v>
      </x:c>
      <x:c r="H43" s="89" t="str">
        <x:v>首次查看后标记已读，并解锁对应药材实体</x:v>
      </x:c>
    </x:row>
    <x:row r="44" ht="23" customHeight="1">
      <x:c r="A44" s="102" t="n">
        <x:v>43</x:v>
      </x:c>
      <x:c r="B44" s="102" t="n">
        <x:v>20</x:v>
      </x:c>
      <x:c r="C44" s="103" t="str">
        <x:v>2 依赖级联</x:v>
      </x:c>
      <x:c r="D44" s="103" t="str">
        <x:v>方剂</x:v>
      </x:c>
      <x:c r="E44" s="86" t="str">
        <x:v>杏苏散</x:v>
      </x:c>
      <x:c r="F44" s="89" t="str">
        <x:v>所含全部药材均已解锁</x:v>
      </x:c>
      <x:c r="G44" s="89" t="str">
        <x:v>标准病证：凉燥证</x:v>
      </x:c>
      <x:c r="H44" s="89" t="str">
        <x:v>自动解锁方剂实体及医书条目</x:v>
      </x:c>
    </x:row>
    <x:row r="45" ht="23" customHeight="1">
      <x:c r="A45" s="102" t="n">
        <x:v>44</x:v>
      </x:c>
      <x:c r="B45" s="102" t="n">
        <x:v>20</x:v>
      </x:c>
      <x:c r="C45" s="103" t="str">
        <x:v>3 依赖级联</x:v>
      </x:c>
      <x:c r="D45" s="103" t="str">
        <x:v>疾病</x:v>
      </x:c>
      <x:c r="E45" s="86" t="str">
        <x:v>凉燥证</x:v>
      </x:c>
      <x:c r="F45" s="89" t="str">
        <x:v>标准方已经解锁</x:v>
      </x:c>
      <x:c r="G45" s="89" t="str">
        <x:v>标准方：杏苏散</x:v>
      </x:c>
      <x:c r="H45" s="89" t="str">
        <x:v>自动解锁疾病实体及医书条目</x:v>
      </x:c>
    </x:row>
    <x:row r="46" ht="23" customHeight="1">
      <x:c r="A46" s="102" t="n">
        <x:v>45</x:v>
      </x:c>
      <x:c r="B46" s="102" t="n">
        <x:v>21</x:v>
      </x:c>
      <x:c r="C46" s="103" t="str">
        <x:v>1 药材条目</x:v>
      </x:c>
      <x:c r="D46" s="103" t="str">
        <x:v>药材</x:v>
      </x:c>
      <x:c r="E46" s="86" t="str">
        <x:v>黄芪</x:v>
      </x:c>
      <x:c r="F46" s="89" t="str">
        <x:v>累计心得达到21点</x:v>
      </x:c>
      <x:c r="G46" s="89" t="str">
        <x:v>条目ID：huang_qi</x:v>
      </x:c>
      <x:c r="H46" s="89" t="str">
        <x:v>首次查看后标记已读，并解锁对应药材实体</x:v>
      </x:c>
    </x:row>
    <x:row r="47" ht="23" customHeight="1">
      <x:c r="A47" s="102" t="n">
        <x:v>46</x:v>
      </x:c>
      <x:c r="B47" s="102" t="n">
        <x:v>22</x:v>
      </x:c>
      <x:c r="C47" s="103" t="str">
        <x:v>1 药材条目</x:v>
      </x:c>
      <x:c r="D47" s="103" t="str">
        <x:v>药材</x:v>
      </x:c>
      <x:c r="E47" s="86" t="str">
        <x:v>白术</x:v>
      </x:c>
      <x:c r="F47" s="89" t="str">
        <x:v>累计心得达到22点</x:v>
      </x:c>
      <x:c r="G47" s="89" t="str">
        <x:v>条目ID：bai_zhu</x:v>
      </x:c>
      <x:c r="H47" s="89" t="str">
        <x:v>首次查看后标记已读，并解锁对应药材实体</x:v>
      </x:c>
    </x:row>
    <x:row r="48" ht="23" customHeight="1">
      <x:c r="A48" s="102" t="n">
        <x:v>47</x:v>
      </x:c>
      <x:c r="B48" s="102" t="n">
        <x:v>23</x:v>
      </x:c>
      <x:c r="C48" s="103" t="str">
        <x:v>1 药材条目</x:v>
      </x:c>
      <x:c r="D48" s="103" t="str">
        <x:v>药材</x:v>
      </x:c>
      <x:c r="E48" s="86" t="str">
        <x:v>防风</x:v>
      </x:c>
      <x:c r="F48" s="89" t="str">
        <x:v>累计心得达到23点</x:v>
      </x:c>
      <x:c r="G48" s="89" t="str">
        <x:v>条目ID：fang_feng</x:v>
      </x:c>
      <x:c r="H48" s="89" t="str">
        <x:v>首次查看后标记已读，并解锁对应药材实体</x:v>
      </x:c>
    </x:row>
    <x:row r="49" ht="23" customHeight="1">
      <x:c r="A49" s="102" t="n">
        <x:v>48</x:v>
      </x:c>
      <x:c r="B49" s="102" t="n">
        <x:v>23</x:v>
      </x:c>
      <x:c r="C49" s="103" t="str">
        <x:v>2 依赖级联</x:v>
      </x:c>
      <x:c r="D49" s="103" t="str">
        <x:v>方剂</x:v>
      </x:c>
      <x:c r="E49" s="86" t="str">
        <x:v>玉屏风散</x:v>
      </x:c>
      <x:c r="F49" s="89" t="str">
        <x:v>所含全部药材均已解锁</x:v>
      </x:c>
      <x:c r="G49" s="89" t="str">
        <x:v>标准病证：卫气虚</x:v>
      </x:c>
      <x:c r="H49" s="89" t="str">
        <x:v>自动解锁方剂实体及医书条目</x:v>
      </x:c>
    </x:row>
    <x:row r="50" ht="23" customHeight="1">
      <x:c r="A50" s="102" t="n">
        <x:v>49</x:v>
      </x:c>
      <x:c r="B50" s="102" t="n">
        <x:v>23</x:v>
      </x:c>
      <x:c r="C50" s="103" t="str">
        <x:v>3 依赖级联</x:v>
      </x:c>
      <x:c r="D50" s="103" t="str">
        <x:v>疾病</x:v>
      </x:c>
      <x:c r="E50" s="86" t="str">
        <x:v>卫气虚</x:v>
      </x:c>
      <x:c r="F50" s="89" t="str">
        <x:v>标准方已经解锁</x:v>
      </x:c>
      <x:c r="G50" s="89" t="str">
        <x:v>标准方：玉屏风散</x:v>
      </x:c>
      <x:c r="H50" s="89" t="str">
        <x:v>自动解锁疾病实体及医书条目</x:v>
      </x:c>
    </x:row>
    <x:row r="51" ht="23" customHeight="1">
      <x:c r="A51" s="102" t="n">
        <x:v>50</x:v>
      </x:c>
      <x:c r="B51" s="102" t="n">
        <x:v>24</x:v>
      </x:c>
      <x:c r="C51" s="103" t="str">
        <x:v>1 药材条目</x:v>
      </x:c>
      <x:c r="D51" s="103" t="str">
        <x:v>药材</x:v>
      </x:c>
      <x:c r="E51" s="86" t="str">
        <x:v>乌头</x:v>
      </x:c>
      <x:c r="F51" s="89" t="str">
        <x:v>累计心得达到24点</x:v>
      </x:c>
      <x:c r="G51" s="89" t="str">
        <x:v>条目ID：wu_tou</x:v>
      </x:c>
      <x:c r="H51" s="89" t="str">
        <x:v>首次查看后标记已读，并解锁对应药材实体</x:v>
      </x:c>
    </x:row>
    <x:row r="52" ht="23" customHeight="1">
      <x:c r="A52" s="102" t="n">
        <x:v>51</x:v>
      </x:c>
      <x:c r="B52" s="102" t="n">
        <x:v>25</x:v>
      </x:c>
      <x:c r="C52" s="103" t="str">
        <x:v>1 药材条目</x:v>
      </x:c>
      <x:c r="D52" s="103" t="str">
        <x:v>药材</x:v>
      </x:c>
      <x:c r="E52" s="86" t="str">
        <x:v>蜂蜜</x:v>
      </x:c>
      <x:c r="F52" s="89" t="str">
        <x:v>累计心得达到25点</x:v>
      </x:c>
      <x:c r="G52" s="89" t="str">
        <x:v>条目ID：feng_mi</x:v>
      </x:c>
      <x:c r="H52" s="89" t="str">
        <x:v>首次查看后标记已读，并解锁对应药材实体</x:v>
      </x:c>
    </x:row>
    <x:row r="53" ht="23" customHeight="1">
      <x:c r="A53" s="102" t="n">
        <x:v>52</x:v>
      </x:c>
      <x:c r="B53" s="102" t="n">
        <x:v>25</x:v>
      </x:c>
      <x:c r="C53" s="103" t="str">
        <x:v>2 依赖级联</x:v>
      </x:c>
      <x:c r="D53" s="103" t="str">
        <x:v>方剂</x:v>
      </x:c>
      <x:c r="E53" s="86" t="str">
        <x:v>乌头汤</x:v>
      </x:c>
      <x:c r="F53" s="89" t="str">
        <x:v>所含全部药材均已解锁</x:v>
      </x:c>
      <x:c r="G53" s="89" t="str">
        <x:v>标准病证：痛痹</x:v>
      </x:c>
      <x:c r="H53" s="89" t="str">
        <x:v>自动解锁方剂实体及医书条目</x:v>
      </x:c>
    </x:row>
    <x:row r="54" ht="23" customHeight="1">
      <x:c r="A54" s="102" t="n">
        <x:v>53</x:v>
      </x:c>
      <x:c r="B54" s="102" t="n">
        <x:v>25</x:v>
      </x:c>
      <x:c r="C54" s="103" t="str">
        <x:v>3 依赖级联</x:v>
      </x:c>
      <x:c r="D54" s="103" t="str">
        <x:v>疾病</x:v>
      </x:c>
      <x:c r="E54" s="86" t="str">
        <x:v>痛痹</x:v>
      </x:c>
      <x:c r="F54" s="89" t="str">
        <x:v>标准方已经解锁</x:v>
      </x:c>
      <x:c r="G54" s="89" t="str">
        <x:v>标准方：乌头汤</x:v>
      </x:c>
      <x:c r="H54" s="89" t="str">
        <x:v>自动解锁疾病实体及医书条目</x:v>
      </x:c>
    </x:row>
    <x:row r="55" ht="23" customHeight="1">
      <x:c r="A55" s="102" t="n">
        <x:v>54</x:v>
      </x:c>
      <x:c r="B55" s="102" t="n">
        <x:v>26</x:v>
      </x:c>
      <x:c r="C55" s="103" t="str">
        <x:v>1 药材条目</x:v>
      </x:c>
      <x:c r="D55" s="103" t="str">
        <x:v>药材</x:v>
      </x:c>
      <x:c r="E55" s="86" t="str">
        <x:v>石膏</x:v>
      </x:c>
      <x:c r="F55" s="89" t="str">
        <x:v>累计心得达到26点</x:v>
      </x:c>
      <x:c r="G55" s="89" t="str">
        <x:v>条目ID：shi_gao</x:v>
      </x:c>
      <x:c r="H55" s="89" t="str">
        <x:v>首次查看后标记已读，并解锁对应药材实体</x:v>
      </x:c>
    </x:row>
    <x:row r="56" ht="23" customHeight="1">
      <x:c r="A56" s="102" t="n">
        <x:v>55</x:v>
      </x:c>
      <x:c r="B56" s="102" t="n">
        <x:v>26</x:v>
      </x:c>
      <x:c r="C56" s="103" t="str">
        <x:v>2 依赖级联</x:v>
      </x:c>
      <x:c r="D56" s="103" t="str">
        <x:v>方剂</x:v>
      </x:c>
      <x:c r="E56" s="86" t="str">
        <x:v>大青龙汤</x:v>
      </x:c>
      <x:c r="F56" s="89" t="str">
        <x:v>所含全部药材均已解锁</x:v>
      </x:c>
      <x:c r="G56" s="89" t="str">
        <x:v>标准病证：表寒里热</x:v>
      </x:c>
      <x:c r="H56" s="89" t="str">
        <x:v>自动解锁方剂实体及医书条目</x:v>
      </x:c>
    </x:row>
    <x:row r="57" ht="23" customHeight="1">
      <x:c r="A57" s="102" t="n">
        <x:v>56</x:v>
      </x:c>
      <x:c r="B57" s="102" t="n">
        <x:v>26</x:v>
      </x:c>
      <x:c r="C57" s="103" t="str">
        <x:v>2 依赖级联</x:v>
      </x:c>
      <x:c r="D57" s="103" t="str">
        <x:v>方剂</x:v>
      </x:c>
      <x:c r="E57" s="86" t="str">
        <x:v>麻杏石甘汤</x:v>
      </x:c>
      <x:c r="F57" s="89" t="str">
        <x:v>所含全部药材均已解锁</x:v>
      </x:c>
      <x:c r="G57" s="89" t="str">
        <x:v>标准病证：肺热壅盛</x:v>
      </x:c>
      <x:c r="H57" s="89" t="str">
        <x:v>自动解锁方剂实体及医书条目</x:v>
      </x:c>
    </x:row>
    <x:row r="58" ht="23" customHeight="1">
      <x:c r="A58" s="102" t="n">
        <x:v>57</x:v>
      </x:c>
      <x:c r="B58" s="102" t="n">
        <x:v>26</x:v>
      </x:c>
      <x:c r="C58" s="103" t="str">
        <x:v>3 依赖级联</x:v>
      </x:c>
      <x:c r="D58" s="103" t="str">
        <x:v>疾病</x:v>
      </x:c>
      <x:c r="E58" s="86" t="str">
        <x:v>表寒里热</x:v>
      </x:c>
      <x:c r="F58" s="89" t="str">
        <x:v>标准方已经解锁</x:v>
      </x:c>
      <x:c r="G58" s="89" t="str">
        <x:v>标准方：大青龙汤</x:v>
      </x:c>
      <x:c r="H58" s="89" t="str">
        <x:v>自动解锁疾病实体及医书条目</x:v>
      </x:c>
    </x:row>
    <x:row r="59" ht="23" customHeight="1">
      <x:c r="A59" s="102" t="n">
        <x:v>58</x:v>
      </x:c>
      <x:c r="B59" s="102" t="n">
        <x:v>26</x:v>
      </x:c>
      <x:c r="C59" s="103" t="str">
        <x:v>3 依赖级联</x:v>
      </x:c>
      <x:c r="D59" s="103" t="str">
        <x:v>疾病</x:v>
      </x:c>
      <x:c r="E59" s="86" t="str">
        <x:v>肺热壅盛</x:v>
      </x:c>
      <x:c r="F59" s="89" t="str">
        <x:v>标准方已经解锁</x:v>
      </x:c>
      <x:c r="G59" s="89" t="str">
        <x:v>标准方：麻杏石甘汤</x:v>
      </x:c>
      <x:c r="H59" s="89" t="str">
        <x:v>自动解锁疾病实体及医书条目</x:v>
      </x:c>
    </x:row>
    <x:row r="60" ht="23" customHeight="1">
      <x:c r="A60" s="102" t="n">
        <x:v>59</x:v>
      </x:c>
      <x:c r="B60" s="102" t="n">
        <x:v>27</x:v>
      </x:c>
      <x:c r="C60" s="103" t="str">
        <x:v>1 药材条目</x:v>
      </x:c>
      <x:c r="D60" s="103" t="str">
        <x:v>药材</x:v>
      </x:c>
      <x:c r="E60" s="86" t="str">
        <x:v>知母</x:v>
      </x:c>
      <x:c r="F60" s="89" t="str">
        <x:v>累计心得达到27点</x:v>
      </x:c>
      <x:c r="G60" s="89" t="str">
        <x:v>条目ID：zhi_mu</x:v>
      </x:c>
      <x:c r="H60" s="89" t="str">
        <x:v>首次查看后标记已读，并解锁对应药材实体</x:v>
      </x:c>
    </x:row>
    <x:row r="61" ht="23" customHeight="1">
      <x:c r="A61" s="102" t="n">
        <x:v>60</x:v>
      </x:c>
      <x:c r="B61" s="102" t="n">
        <x:v>28</x:v>
      </x:c>
      <x:c r="C61" s="103" t="str">
        <x:v>1 药材条目</x:v>
      </x:c>
      <x:c r="D61" s="103" t="str">
        <x:v>药材</x:v>
      </x:c>
      <x:c r="E61" s="86" t="str">
        <x:v>粳米</x:v>
      </x:c>
      <x:c r="F61" s="89" t="str">
        <x:v>累计心得达到28点</x:v>
      </x:c>
      <x:c r="G61" s="89" t="str">
        <x:v>条目ID：jing_mi</x:v>
      </x:c>
      <x:c r="H61" s="89" t="str">
        <x:v>首次查看后标记已读，并解锁对应药材实体</x:v>
      </x:c>
    </x:row>
    <x:row r="62" ht="23" customHeight="1">
      <x:c r="A62" s="102" t="n">
        <x:v>61</x:v>
      </x:c>
      <x:c r="B62" s="102" t="n">
        <x:v>28</x:v>
      </x:c>
      <x:c r="C62" s="103" t="str">
        <x:v>2 依赖级联</x:v>
      </x:c>
      <x:c r="D62" s="103" t="str">
        <x:v>方剂</x:v>
      </x:c>
      <x:c r="E62" s="86" t="str">
        <x:v>白虎桂枝汤</x:v>
      </x:c>
      <x:c r="F62" s="89" t="str">
        <x:v>所含全部药材均已解锁</x:v>
      </x:c>
      <x:c r="G62" s="89" t="str">
        <x:v>标准病证：热痹</x:v>
      </x:c>
      <x:c r="H62" s="89" t="str">
        <x:v>自动解锁方剂实体及医书条目</x:v>
      </x:c>
    </x:row>
    <x:row r="63" ht="23" customHeight="1">
      <x:c r="A63" s="102" t="n">
        <x:v>62</x:v>
      </x:c>
      <x:c r="B63" s="102" t="n">
        <x:v>28</x:v>
      </x:c>
      <x:c r="C63" s="103" t="str">
        <x:v>2 依赖级联</x:v>
      </x:c>
      <x:c r="D63" s="103" t="str">
        <x:v>方剂</x:v>
      </x:c>
      <x:c r="E63" s="86" t="str">
        <x:v>白虎汤</x:v>
      </x:c>
      <x:c r="F63" s="89" t="str">
        <x:v>所含全部药材均已解锁</x:v>
      </x:c>
      <x:c r="G63" s="89" t="str">
        <x:v>标准病证：气分热盛</x:v>
      </x:c>
      <x:c r="H63" s="89" t="str">
        <x:v>自动解锁方剂实体及医书条目</x:v>
      </x:c>
    </x:row>
    <x:row r="64" ht="23" customHeight="1">
      <x:c r="A64" s="102" t="n">
        <x:v>63</x:v>
      </x:c>
      <x:c r="B64" s="102" t="n">
        <x:v>28</x:v>
      </x:c>
      <x:c r="C64" s="103" t="str">
        <x:v>3 依赖级联</x:v>
      </x:c>
      <x:c r="D64" s="103" t="str">
        <x:v>疾病</x:v>
      </x:c>
      <x:c r="E64" s="86" t="str">
        <x:v>热痹</x:v>
      </x:c>
      <x:c r="F64" s="89" t="str">
        <x:v>标准方已经解锁</x:v>
      </x:c>
      <x:c r="G64" s="89" t="str">
        <x:v>标准方：白虎桂枝汤</x:v>
      </x:c>
      <x:c r="H64" s="89" t="str">
        <x:v>自动解锁疾病实体及医书条目</x:v>
      </x:c>
    </x:row>
    <x:row r="65" ht="23" customHeight="1">
      <x:c r="A65" s="102" t="n">
        <x:v>64</x:v>
      </x:c>
      <x:c r="B65" s="102" t="n">
        <x:v>28</x:v>
      </x:c>
      <x:c r="C65" s="103" t="str">
        <x:v>3 依赖级联</x:v>
      </x:c>
      <x:c r="D65" s="103" t="str">
        <x:v>疾病</x:v>
      </x:c>
      <x:c r="E65" s="86" t="str">
        <x:v>气分热盛</x:v>
      </x:c>
      <x:c r="F65" s="89" t="str">
        <x:v>标准方已经解锁</x:v>
      </x:c>
      <x:c r="G65" s="89" t="str">
        <x:v>标准方：白虎汤</x:v>
      </x:c>
      <x:c r="H65" s="89" t="str">
        <x:v>自动解锁疾病实体及医书条目</x:v>
      </x:c>
    </x:row>
    <x:row r="66" ht="23" customHeight="1">
      <x:c r="A66" s="102" t="n">
        <x:v>65</x:v>
      </x:c>
      <x:c r="B66" s="102" t="n">
        <x:v>29</x:v>
      </x:c>
      <x:c r="C66" s="103" t="str">
        <x:v>1 药材条目</x:v>
      </x:c>
      <x:c r="D66" s="103" t="str">
        <x:v>药材</x:v>
      </x:c>
      <x:c r="E66" s="86" t="str">
        <x:v>薏苡仁</x:v>
      </x:c>
      <x:c r="F66" s="89" t="str">
        <x:v>累计心得达到29点</x:v>
      </x:c>
      <x:c r="G66" s="89" t="str">
        <x:v>条目ID：yi_yi_ren</x:v>
      </x:c>
      <x:c r="H66" s="89" t="str">
        <x:v>首次查看后标记已读，并解锁对应药材实体</x:v>
      </x:c>
    </x:row>
    <x:row r="67" ht="23" customHeight="1">
      <x:c r="A67" s="102" t="n">
        <x:v>66</x:v>
      </x:c>
      <x:c r="B67" s="102" t="n">
        <x:v>30</x:v>
      </x:c>
      <x:c r="C67" s="103" t="str">
        <x:v>1 药材条目</x:v>
      </x:c>
      <x:c r="D67" s="103" t="str">
        <x:v>药材</x:v>
      </x:c>
      <x:c r="E67" s="86" t="str">
        <x:v>羌活</x:v>
      </x:c>
      <x:c r="F67" s="89" t="str">
        <x:v>累计心得达到30点</x:v>
      </x:c>
      <x:c r="G67" s="89" t="str">
        <x:v>条目ID：qiang_huo</x:v>
      </x:c>
      <x:c r="H67" s="89" t="str">
        <x:v>首次查看后标记已读，并解锁对应药材实体</x:v>
      </x:c>
    </x:row>
    <x:row r="68" ht="23" customHeight="1">
      <x:c r="A68" s="102" t="n">
        <x:v>67</x:v>
      </x:c>
      <x:c r="B68" s="102" t="n">
        <x:v>31</x:v>
      </x:c>
      <x:c r="C68" s="103" t="str">
        <x:v>1 药材条目</x:v>
      </x:c>
      <x:c r="D68" s="103" t="str">
        <x:v>药材</x:v>
      </x:c>
      <x:c r="E68" s="86" t="str">
        <x:v>独活</x:v>
      </x:c>
      <x:c r="F68" s="89" t="str">
        <x:v>累计心得达到31点</x:v>
      </x:c>
      <x:c r="G68" s="89" t="str">
        <x:v>条目ID：du_huo</x:v>
      </x:c>
      <x:c r="H68" s="89" t="str">
        <x:v>首次查看后标记已读，并解锁对应药材实体</x:v>
      </x:c>
    </x:row>
    <x:row r="69" ht="23" customHeight="1">
      <x:c r="A69" s="102" t="n">
        <x:v>68</x:v>
      </x:c>
      <x:c r="B69" s="102" t="n">
        <x:v>32</x:v>
      </x:c>
      <x:c r="C69" s="103" t="str">
        <x:v>1 药材条目</x:v>
      </x:c>
      <x:c r="D69" s="103" t="str">
        <x:v>药材</x:v>
      </x:c>
      <x:c r="E69" s="86" t="str">
        <x:v>当归</x:v>
      </x:c>
      <x:c r="F69" s="89" t="str">
        <x:v>累计心得达到32点</x:v>
      </x:c>
      <x:c r="G69" s="89" t="str">
        <x:v>条目ID：dang_gui</x:v>
      </x:c>
      <x:c r="H69" s="89" t="str">
        <x:v>首次查看后标记已读，并解锁对应药材实体</x:v>
      </x:c>
    </x:row>
    <x:row r="70" ht="23" customHeight="1">
      <x:c r="A70" s="102" t="n">
        <x:v>69</x:v>
      </x:c>
      <x:c r="B70" s="102" t="n">
        <x:v>33</x:v>
      </x:c>
      <x:c r="C70" s="103" t="str">
        <x:v>1 药材条目</x:v>
      </x:c>
      <x:c r="D70" s="103" t="str">
        <x:v>药材</x:v>
      </x:c>
      <x:c r="E70" s="86" t="str">
        <x:v>川芎</x:v>
      </x:c>
      <x:c r="F70" s="89" t="str">
        <x:v>累计心得达到33点</x:v>
      </x:c>
      <x:c r="G70" s="89" t="str">
        <x:v>条目ID：chuan_xiong</x:v>
      </x:c>
      <x:c r="H70" s="89" t="str">
        <x:v>首次查看后标记已读，并解锁对应药材实体</x:v>
      </x:c>
    </x:row>
    <x:row r="71" ht="23" customHeight="1">
      <x:c r="A71" s="102" t="n">
        <x:v>70</x:v>
      </x:c>
      <x:c r="B71" s="102" t="n">
        <x:v>33</x:v>
      </x:c>
      <x:c r="C71" s="103" t="str">
        <x:v>2 依赖级联</x:v>
      </x:c>
      <x:c r="D71" s="103" t="str">
        <x:v>方剂</x:v>
      </x:c>
      <x:c r="E71" s="86" t="str">
        <x:v>薏苡仁汤</x:v>
      </x:c>
      <x:c r="F71" s="89" t="str">
        <x:v>所含全部药材均已解锁</x:v>
      </x:c>
      <x:c r="G71" s="89" t="str">
        <x:v>标准病证：着痹</x:v>
      </x:c>
      <x:c r="H71" s="89" t="str">
        <x:v>自动解锁方剂实体及医书条目</x:v>
      </x:c>
    </x:row>
    <x:row r="72" ht="23" customHeight="1">
      <x:c r="A72" s="102" t="n">
        <x:v>71</x:v>
      </x:c>
      <x:c r="B72" s="102" t="n">
        <x:v>33</x:v>
      </x:c>
      <x:c r="C72" s="103" t="str">
        <x:v>3 依赖级联</x:v>
      </x:c>
      <x:c r="D72" s="103" t="str">
        <x:v>疾病</x:v>
      </x:c>
      <x:c r="E72" s="86" t="str">
        <x:v>着痹</x:v>
      </x:c>
      <x:c r="F72" s="89" t="str">
        <x:v>标准方已经解锁</x:v>
      </x:c>
      <x:c r="G72" s="89" t="str">
        <x:v>标准方：薏苡仁汤</x:v>
      </x:c>
      <x:c r="H72" s="89" t="str">
        <x:v>自动解锁疾病实体及医书条目</x:v>
      </x:c>
    </x:row>
    <x:row r="73" ht="23" customHeight="1">
      <x:c r="A73" s="102" t="n">
        <x:v>72</x:v>
      </x:c>
      <x:c r="B73" s="102" t="n">
        <x:v>34</x:v>
      </x:c>
      <x:c r="C73" s="103" t="str">
        <x:v>1 药材条目</x:v>
      </x:c>
      <x:c r="D73" s="103" t="str">
        <x:v>药材</x:v>
      </x:c>
      <x:c r="E73" s="86" t="str">
        <x:v>秦艽</x:v>
      </x:c>
      <x:c r="F73" s="89" t="str">
        <x:v>累计心得达到34点</x:v>
      </x:c>
      <x:c r="G73" s="89" t="str">
        <x:v>条目ID：qin_jiao</x:v>
      </x:c>
      <x:c r="H73" s="89" t="str">
        <x:v>首次查看后标记已读，并解锁对应药材实体</x:v>
      </x:c>
    </x:row>
    <x:row r="74" ht="23" customHeight="1">
      <x:c r="A74" s="102" t="n">
        <x:v>73</x:v>
      </x:c>
      <x:c r="B74" s="102" t="n">
        <x:v>35</x:v>
      </x:c>
      <x:c r="C74" s="103" t="str">
        <x:v>1 药材条目</x:v>
      </x:c>
      <x:c r="D74" s="103" t="str">
        <x:v>药材</x:v>
      </x:c>
      <x:c r="E74" s="86" t="str">
        <x:v>葛根</x:v>
      </x:c>
      <x:c r="F74" s="89" t="str">
        <x:v>累计心得达到35点</x:v>
      </x:c>
      <x:c r="G74" s="89" t="str">
        <x:v>条目ID：ge_gen</x:v>
      </x:c>
      <x:c r="H74" s="89" t="str">
        <x:v>首次查看后标记已读，并解锁对应药材实体</x:v>
      </x:c>
    </x:row>
    <x:row r="75" ht="23" customHeight="1">
      <x:c r="A75" s="102" t="n">
        <x:v>74</x:v>
      </x:c>
      <x:c r="B75" s="102" t="n">
        <x:v>35</x:v>
      </x:c>
      <x:c r="C75" s="103" t="str">
        <x:v>2 依赖级联</x:v>
      </x:c>
      <x:c r="D75" s="103" t="str">
        <x:v>方剂</x:v>
      </x:c>
      <x:c r="E75" s="86" t="str">
        <x:v>防风汤</x:v>
      </x:c>
      <x:c r="F75" s="89" t="str">
        <x:v>所含全部药材均已解锁</x:v>
      </x:c>
      <x:c r="G75" s="89" t="str">
        <x:v>标准病证：行痹</x:v>
      </x:c>
      <x:c r="H75" s="89" t="str">
        <x:v>自动解锁方剂实体及医书条目</x:v>
      </x:c>
    </x:row>
    <x:row r="76" ht="23" customHeight="1">
      <x:c r="A76" s="102" t="n">
        <x:v>75</x:v>
      </x:c>
      <x:c r="B76" s="102" t="n">
        <x:v>35</x:v>
      </x:c>
      <x:c r="C76" s="103" t="str">
        <x:v>3 依赖级联</x:v>
      </x:c>
      <x:c r="D76" s="103" t="str">
        <x:v>疾病</x:v>
      </x:c>
      <x:c r="E76" s="86" t="str">
        <x:v>行痹</x:v>
      </x:c>
      <x:c r="F76" s="89" t="str">
        <x:v>标准方已经解锁</x:v>
      </x:c>
      <x:c r="G76" s="89" t="str">
        <x:v>标准方：防风汤</x:v>
      </x:c>
      <x:c r="H76" s="89" t="str">
        <x:v>自动解锁疾病实体及医书条目</x:v>
      </x:c>
    </x:row>
    <x:row r="77" ht="23" customHeight="1">
      <x:c r="A77" s="102" t="n">
        <x:v>76</x:v>
      </x:c>
      <x:c r="B77" s="102" t="n">
        <x:v>36</x:v>
      </x:c>
      <x:c r="C77" s="103" t="str">
        <x:v>1 药材条目</x:v>
      </x:c>
      <x:c r="D77" s="103" t="str">
        <x:v>药材</x:v>
      </x:c>
      <x:c r="E77" s="86" t="str">
        <x:v>人参</x:v>
      </x:c>
      <x:c r="F77" s="89" t="str">
        <x:v>累计心得达到36点</x:v>
      </x:c>
      <x:c r="G77" s="89" t="str">
        <x:v>条目ID：ren_shen</x:v>
      </x:c>
      <x:c r="H77" s="89" t="str">
        <x:v>首次查看后标记已读，并解锁对应药材实体</x:v>
      </x:c>
    </x:row>
    <x:row r="78" ht="23" customHeight="1">
      <x:c r="A78" s="102" t="n">
        <x:v>77</x:v>
      </x:c>
      <x:c r="B78" s="102" t="n">
        <x:v>36</x:v>
      </x:c>
      <x:c r="C78" s="103" t="str">
        <x:v>2 依赖级联</x:v>
      </x:c>
      <x:c r="D78" s="103" t="str">
        <x:v>方剂</x:v>
      </x:c>
      <x:c r="E78" s="86" t="str">
        <x:v>四君子汤</x:v>
      </x:c>
      <x:c r="F78" s="89" t="str">
        <x:v>所含全部药材均已解锁</x:v>
      </x:c>
      <x:c r="G78" s="89" t="str">
        <x:v>标准病证：脾气虚</x:v>
      </x:c>
      <x:c r="H78" s="89" t="str">
        <x:v>自动解锁方剂实体及医书条目</x:v>
      </x:c>
    </x:row>
    <x:row r="79" ht="23" customHeight="1">
      <x:c r="A79" s="102" t="n">
        <x:v>78</x:v>
      </x:c>
      <x:c r="B79" s="102" t="n">
        <x:v>36</x:v>
      </x:c>
      <x:c r="C79" s="103" t="str">
        <x:v>3 依赖级联</x:v>
      </x:c>
      <x:c r="D79" s="103" t="str">
        <x:v>疾病</x:v>
      </x:c>
      <x:c r="E79" s="86" t="str">
        <x:v>脾气虚</x:v>
      </x:c>
      <x:c r="F79" s="89" t="str">
        <x:v>标准方已经解锁</x:v>
      </x:c>
      <x:c r="G79" s="89" t="str">
        <x:v>标准方：四君子汤</x:v>
      </x:c>
      <x:c r="H79" s="89" t="str">
        <x:v>自动解锁疾病实体及医书条目</x:v>
      </x:c>
    </x:row>
    <x:row r="80" ht="23" customHeight="1">
      <x:c r="A80" s="102" t="n">
        <x:v>79</x:v>
      </x:c>
      <x:c r="B80" s="102" t="n">
        <x:v>37</x:v>
      </x:c>
      <x:c r="C80" s="103" t="str">
        <x:v>1 药材条目</x:v>
      </x:c>
      <x:c r="D80" s="103" t="str">
        <x:v>药材</x:v>
      </x:c>
      <x:c r="E80" s="86" t="str">
        <x:v>熟地黄</x:v>
      </x:c>
      <x:c r="F80" s="89" t="str">
        <x:v>累计心得达到37点</x:v>
      </x:c>
      <x:c r="G80" s="89" t="str">
        <x:v>条目ID：shu_di_huang</x:v>
      </x:c>
      <x:c r="H80" s="89" t="str">
        <x:v>首次查看后标记已读，并解锁对应药材实体</x:v>
      </x:c>
    </x:row>
    <x:row r="81" ht="23" customHeight="1">
      <x:c r="A81" s="102" t="n">
        <x:v>80</x:v>
      </x:c>
      <x:c r="B81" s="102" t="n">
        <x:v>37</x:v>
      </x:c>
      <x:c r="C81" s="103" t="str">
        <x:v>2 依赖级联</x:v>
      </x:c>
      <x:c r="D81" s="103" t="str">
        <x:v>方剂</x:v>
      </x:c>
      <x:c r="E81" s="86" t="str">
        <x:v>四物汤</x:v>
      </x:c>
      <x:c r="F81" s="89" t="str">
        <x:v>所含全部药材均已解锁</x:v>
      </x:c>
      <x:c r="G81" s="89" t="str">
        <x:v>标准病证：肝血虚</x:v>
      </x:c>
      <x:c r="H81" s="89" t="str">
        <x:v>自动解锁方剂实体及医书条目</x:v>
      </x:c>
    </x:row>
    <x:row r="82" ht="23" customHeight="1">
      <x:c r="A82" s="102" t="n">
        <x:v>81</x:v>
      </x:c>
      <x:c r="B82" s="102" t="n">
        <x:v>37</x:v>
      </x:c>
      <x:c r="C82" s="103" t="str">
        <x:v>3 依赖级联</x:v>
      </x:c>
      <x:c r="D82" s="103" t="str">
        <x:v>疾病</x:v>
      </x:c>
      <x:c r="E82" s="86" t="str">
        <x:v>肝血虚</x:v>
      </x:c>
      <x:c r="F82" s="89" t="str">
        <x:v>标准方已经解锁</x:v>
      </x:c>
      <x:c r="G82" s="89" t="str">
        <x:v>标准方：四物汤</x:v>
      </x:c>
      <x:c r="H82" s="89" t="str">
        <x:v>自动解锁疾病实体及医书条目</x:v>
      </x:c>
    </x:row>
    <x:row r="83" ht="23" customHeight="1">
      <x:c r="A83" s="102" t="n">
        <x:v>82</x:v>
      </x:c>
      <x:c r="B83" s="102" t="n">
        <x:v>38</x:v>
      </x:c>
      <x:c r="C83" s="103" t="str">
        <x:v>1 药材条目</x:v>
      </x:c>
      <x:c r="D83" s="103" t="str">
        <x:v>药材</x:v>
      </x:c>
      <x:c r="E83" s="86" t="str">
        <x:v>五味子</x:v>
      </x:c>
      <x:c r="F83" s="89" t="str">
        <x:v>累计心得达到38点</x:v>
      </x:c>
      <x:c r="G83" s="89" t="str">
        <x:v>条目ID：wu_wei_zi</x:v>
      </x:c>
      <x:c r="H83" s="89" t="str">
        <x:v>首次查看后标记已读，并解锁对应药材实体</x:v>
      </x:c>
    </x:row>
    <x:row r="84" ht="23" customHeight="1">
      <x:c r="A84" s="102" t="n">
        <x:v>83</x:v>
      </x:c>
      <x:c r="B84" s="102" t="n">
        <x:v>39</x:v>
      </x:c>
      <x:c r="C84" s="103" t="str">
        <x:v>1 药材条目</x:v>
      </x:c>
      <x:c r="D84" s="103" t="str">
        <x:v>药材</x:v>
      </x:c>
      <x:c r="E84" s="86" t="str">
        <x:v>紫菀</x:v>
      </x:c>
      <x:c r="F84" s="89" t="str">
        <x:v>累计心得达到39点</x:v>
      </x:c>
      <x:c r="G84" s="89" t="str">
        <x:v>条目ID：zi_wan</x:v>
      </x:c>
      <x:c r="H84" s="89" t="str">
        <x:v>首次查看后标记已读，并解锁对应药材实体</x:v>
      </x:c>
    </x:row>
    <x:row r="85" ht="23" customHeight="1">
      <x:c r="A85" s="102" t="n">
        <x:v>84</x:v>
      </x:c>
      <x:c r="B85" s="102" t="n">
        <x:v>40</x:v>
      </x:c>
      <x:c r="C85" s="103" t="str">
        <x:v>1 药材条目</x:v>
      </x:c>
      <x:c r="D85" s="103" t="str">
        <x:v>药材</x:v>
      </x:c>
      <x:c r="E85" s="86" t="str">
        <x:v>桑白皮</x:v>
      </x:c>
      <x:c r="F85" s="89" t="str">
        <x:v>累计心得达到40点</x:v>
      </x:c>
      <x:c r="G85" s="89" t="str">
        <x:v>条目ID：sang_bai_pi</x:v>
      </x:c>
      <x:c r="H85" s="89" t="str">
        <x:v>首次查看后标记已读，并解锁对应药材实体</x:v>
      </x:c>
    </x:row>
    <x:row r="86" ht="23" customHeight="1">
      <x:c r="A86" s="102" t="n">
        <x:v>85</x:v>
      </x:c>
      <x:c r="B86" s="102" t="n">
        <x:v>40</x:v>
      </x:c>
      <x:c r="C86" s="103" t="str">
        <x:v>2 依赖级联</x:v>
      </x:c>
      <x:c r="D86" s="103" t="str">
        <x:v>方剂</x:v>
      </x:c>
      <x:c r="E86" s="86" t="str">
        <x:v>补肺汤</x:v>
      </x:c>
      <x:c r="F86" s="89" t="str">
        <x:v>所含全部药材均已解锁</x:v>
      </x:c>
      <x:c r="G86" s="89" t="str">
        <x:v>标准病证：肺气虚</x:v>
      </x:c>
      <x:c r="H86" s="89" t="str">
        <x:v>自动解锁方剂实体及医书条目</x:v>
      </x:c>
    </x:row>
    <x:row r="87" ht="23" customHeight="1">
      <x:c r="A87" s="102" t="n">
        <x:v>86</x:v>
      </x:c>
      <x:c r="B87" s="102" t="n">
        <x:v>40</x:v>
      </x:c>
      <x:c r="C87" s="103" t="str">
        <x:v>3 依赖级联</x:v>
      </x:c>
      <x:c r="D87" s="103" t="str">
        <x:v>疾病</x:v>
      </x:c>
      <x:c r="E87" s="86" t="str">
        <x:v>肺气虚</x:v>
      </x:c>
      <x:c r="F87" s="89" t="str">
        <x:v>标准方已经解锁</x:v>
      </x:c>
      <x:c r="G87" s="89" t="str">
        <x:v>标准方：补肺汤</x:v>
      </x:c>
      <x:c r="H87" s="89" t="str">
        <x:v>自动解锁疾病实体及医书条目</x:v>
      </x:c>
    </x:row>
    <x:row r="88" ht="23" customHeight="1">
      <x:c r="A88" s="102" t="n">
        <x:v>87</x:v>
      </x:c>
      <x:c r="B88" s="102" t="n">
        <x:v>41</x:v>
      </x:c>
      <x:c r="C88" s="103" t="str">
        <x:v>1 药材条目</x:v>
      </x:c>
      <x:c r="D88" s="103" t="str">
        <x:v>药材</x:v>
      </x:c>
      <x:c r="E88" s="86" t="str">
        <x:v>麦门冬</x:v>
      </x:c>
      <x:c r="F88" s="89" t="str">
        <x:v>累计心得达到41点</x:v>
      </x:c>
      <x:c r="G88" s="89" t="str">
        <x:v>条目ID：mai_men_dong</x:v>
      </x:c>
      <x:c r="H88" s="89" t="str">
        <x:v>首次查看后标记已读，并解锁对应药材实体</x:v>
      </x:c>
    </x:row>
    <x:row r="89" ht="23" customHeight="1">
      <x:c r="A89" s="102" t="n">
        <x:v>88</x:v>
      </x:c>
      <x:c r="B89" s="102" t="n">
        <x:v>42</x:v>
      </x:c>
      <x:c r="C89" s="103" t="str">
        <x:v>1 药材条目</x:v>
      </x:c>
      <x:c r="D89" s="103" t="str">
        <x:v>药材</x:v>
      </x:c>
      <x:c r="E89" s="86" t="str">
        <x:v>玉竹</x:v>
      </x:c>
      <x:c r="F89" s="89" t="str">
        <x:v>累计心得达到42点</x:v>
      </x:c>
      <x:c r="G89" s="89" t="str">
        <x:v>条目ID：yu_zhu</x:v>
      </x:c>
      <x:c r="H89" s="89" t="str">
        <x:v>首次查看后标记已读，并解锁对应药材实体</x:v>
      </x:c>
    </x:row>
    <x:row r="90" ht="23" customHeight="1">
      <x:c r="A90" s="102" t="n">
        <x:v>89</x:v>
      </x:c>
      <x:c r="B90" s="102" t="n">
        <x:v>43</x:v>
      </x:c>
      <x:c r="C90" s="103" t="str">
        <x:v>1 药材条目</x:v>
      </x:c>
      <x:c r="D90" s="103" t="str">
        <x:v>药材</x:v>
      </x:c>
      <x:c r="E90" s="86" t="str">
        <x:v>天花粉</x:v>
      </x:c>
      <x:c r="F90" s="89" t="str">
        <x:v>累计心得达到43点</x:v>
      </x:c>
      <x:c r="G90" s="89" t="str">
        <x:v>条目ID：tian_hua_fen</x:v>
      </x:c>
      <x:c r="H90" s="89" t="str">
        <x:v>首次查看后标记已读，并解锁对应药材实体</x:v>
      </x:c>
    </x:row>
    <x:row r="91" ht="23" customHeight="1">
      <x:c r="A91" s="102" t="n">
        <x:v>90</x:v>
      </x:c>
      <x:c r="B91" s="102" t="n">
        <x:v>44</x:v>
      </x:c>
      <x:c r="C91" s="103" t="str">
        <x:v>1 药材条目</x:v>
      </x:c>
      <x:c r="D91" s="103" t="str">
        <x:v>药材</x:v>
      </x:c>
      <x:c r="E91" s="86" t="str">
        <x:v>扁豆</x:v>
      </x:c>
      <x:c r="F91" s="89" t="str">
        <x:v>累计心得达到44点</x:v>
      </x:c>
      <x:c r="G91" s="89" t="str">
        <x:v>条目ID：bian_dou</x:v>
      </x:c>
      <x:c r="H91" s="89" t="str">
        <x:v>首次查看后标记已读，并解锁对应药材实体</x:v>
      </x:c>
    </x:row>
    <x:row r="92" ht="23" customHeight="1">
      <x:c r="A92" s="102" t="n">
        <x:v>91</x:v>
      </x:c>
      <x:c r="B92" s="102" t="n">
        <x:v>44</x:v>
      </x:c>
      <x:c r="C92" s="103" t="str">
        <x:v>2 依赖级联</x:v>
      </x:c>
      <x:c r="D92" s="103" t="str">
        <x:v>方剂</x:v>
      </x:c>
      <x:c r="E92" s="86" t="str">
        <x:v>沙参麦冬汤</x:v>
      </x:c>
      <x:c r="F92" s="89" t="str">
        <x:v>所含全部药材均已解锁</x:v>
      </x:c>
      <x:c r="G92" s="89" t="str">
        <x:v>标准病证：肺阴虚</x:v>
      </x:c>
      <x:c r="H92" s="89" t="str">
        <x:v>自动解锁方剂实体及医书条目</x:v>
      </x:c>
    </x:row>
    <x:row r="93" ht="23" customHeight="1">
      <x:c r="A93" s="102" t="n">
        <x:v>92</x:v>
      </x:c>
      <x:c r="B93" s="102" t="n">
        <x:v>44</x:v>
      </x:c>
      <x:c r="C93" s="103" t="str">
        <x:v>3 依赖级联</x:v>
      </x:c>
      <x:c r="D93" s="103" t="str">
        <x:v>疾病</x:v>
      </x:c>
      <x:c r="E93" s="86" t="str">
        <x:v>肺阴虚</x:v>
      </x:c>
      <x:c r="F93" s="89" t="str">
        <x:v>标准方已经解锁</x:v>
      </x:c>
      <x:c r="G93" s="89" t="str">
        <x:v>标准方：沙参麦冬汤</x:v>
      </x:c>
      <x:c r="H93" s="89" t="str">
        <x:v>自动解锁疾病实体及医书条目</x:v>
      </x:c>
    </x:row>
    <x:row r="94" ht="23" customHeight="1">
      <x:c r="A94" s="102" t="n">
        <x:v>93</x:v>
      </x:c>
      <x:c r="B94" s="102" t="n">
        <x:v>45</x:v>
      </x:c>
      <x:c r="C94" s="103" t="str">
        <x:v>1 药材条目</x:v>
      </x:c>
      <x:c r="D94" s="103" t="str">
        <x:v>药材</x:v>
      </x:c>
      <x:c r="E94" s="86" t="str">
        <x:v>胆南星</x:v>
      </x:c>
      <x:c r="F94" s="89" t="str">
        <x:v>累计心得达到45点</x:v>
      </x:c>
      <x:c r="G94" s="89" t="str">
        <x:v>条目ID：dan_nan_xing</x:v>
      </x:c>
      <x:c r="H94" s="89" t="str">
        <x:v>首次查看后标记已读，并解锁对应药材实体</x:v>
      </x:c>
    </x:row>
    <x:row r="95" ht="23" customHeight="1">
      <x:c r="A95" s="102" t="n">
        <x:v>94</x:v>
      </x:c>
      <x:c r="B95" s="102" t="n">
        <x:v>46</x:v>
      </x:c>
      <x:c r="C95" s="103" t="str">
        <x:v>1 药材条目</x:v>
      </x:c>
      <x:c r="D95" s="103" t="str">
        <x:v>药材</x:v>
      </x:c>
      <x:c r="E95" s="86" t="str">
        <x:v>瓜蒌仁</x:v>
      </x:c>
      <x:c r="F95" s="89" t="str">
        <x:v>累计心得达到46点</x:v>
      </x:c>
      <x:c r="G95" s="89" t="str">
        <x:v>条目ID：gua_lou_ren</x:v>
      </x:c>
      <x:c r="H95" s="89" t="str">
        <x:v>首次查看后标记已读，并解锁对应药材实体</x:v>
      </x:c>
    </x:row>
    <x:row r="96" ht="23" customHeight="1">
      <x:c r="A96" s="102" t="n">
        <x:v>95</x:v>
      </x:c>
      <x:c r="B96" s="102" t="n">
        <x:v>47</x:v>
      </x:c>
      <x:c r="C96" s="103" t="str">
        <x:v>1 药材条目</x:v>
      </x:c>
      <x:c r="D96" s="103" t="str">
        <x:v>药材</x:v>
      </x:c>
      <x:c r="E96" s="86" t="str">
        <x:v>黄芩</x:v>
      </x:c>
      <x:c r="F96" s="89" t="str">
        <x:v>累计心得达到47点</x:v>
      </x:c>
      <x:c r="G96" s="89" t="str">
        <x:v>条目ID：huang_qin</x:v>
      </x:c>
      <x:c r="H96" s="89" t="str">
        <x:v>首次查看后标记已读，并解锁对应药材实体</x:v>
      </x:c>
    </x:row>
    <x:row r="97" ht="23" customHeight="1">
      <x:c r="A97" s="102" t="n">
        <x:v>96</x:v>
      </x:c>
      <x:c r="B97" s="102" t="n">
        <x:v>48</x:v>
      </x:c>
      <x:c r="C97" s="103" t="str">
        <x:v>1 药材条目</x:v>
      </x:c>
      <x:c r="D97" s="103" t="str">
        <x:v>药材</x:v>
      </x:c>
      <x:c r="E97" s="86" t="str">
        <x:v>枳实</x:v>
      </x:c>
      <x:c r="F97" s="89" t="str">
        <x:v>累计心得达到48点</x:v>
      </x:c>
      <x:c r="G97" s="89" t="str">
        <x:v>条目ID：zhi_shi</x:v>
      </x:c>
      <x:c r="H97" s="89" t="str">
        <x:v>首次查看后标记已读，并解锁对应药材实体</x:v>
      </x:c>
    </x:row>
    <x:row r="98" ht="23" customHeight="1">
      <x:c r="A98" s="102" t="n">
        <x:v>97</x:v>
      </x:c>
      <x:c r="B98" s="102" t="n">
        <x:v>48</x:v>
      </x:c>
      <x:c r="C98" s="103" t="str">
        <x:v>2 依赖级联</x:v>
      </x:c>
      <x:c r="D98" s="103" t="str">
        <x:v>方剂</x:v>
      </x:c>
      <x:c r="E98" s="86" t="str">
        <x:v>清气化痰丸</x:v>
      </x:c>
      <x:c r="F98" s="89" t="str">
        <x:v>所含全部药材均已解锁</x:v>
      </x:c>
      <x:c r="G98" s="89" t="str">
        <x:v>标准病证：痰热壅肺</x:v>
      </x:c>
      <x:c r="H98" s="89" t="str">
        <x:v>自动解锁方剂实体及医书条目</x:v>
      </x:c>
    </x:row>
    <x:row r="99" ht="23" customHeight="1">
      <x:c r="A99" s="102" t="n">
        <x:v>98</x:v>
      </x:c>
      <x:c r="B99" s="102" t="n">
        <x:v>48</x:v>
      </x:c>
      <x:c r="C99" s="103" t="str">
        <x:v>3 依赖级联</x:v>
      </x:c>
      <x:c r="D99" s="103" t="str">
        <x:v>疾病</x:v>
      </x:c>
      <x:c r="E99" s="86" t="str">
        <x:v>痰热壅肺</x:v>
      </x:c>
      <x:c r="F99" s="89" t="str">
        <x:v>标准方已经解锁</x:v>
      </x:c>
      <x:c r="G99" s="89" t="str">
        <x:v>标准方：清气化痰丸</x:v>
      </x:c>
      <x:c r="H99" s="89" t="str">
        <x:v>自动解锁疾病实体及医书条目</x:v>
      </x:c>
    </x:row>
    <x:row r="100" ht="23" customHeight="1">
      <x:c r="A100" s="102" t="n">
        <x:v>99</x:v>
      </x:c>
      <x:c r="B100" s="102" t="n">
        <x:v>49</x:v>
      </x:c>
      <x:c r="C100" s="103" t="str">
        <x:v>1 药材条目</x:v>
      </x:c>
      <x:c r="D100" s="103" t="str">
        <x:v>药材</x:v>
      </x:c>
      <x:c r="E100" s="86" t="str">
        <x:v>干姜</x:v>
      </x:c>
      <x:c r="F100" s="89" t="str">
        <x:v>累计心得达到49点</x:v>
      </x:c>
      <x:c r="G100" s="89" t="str">
        <x:v>条目ID：gan_jiang</x:v>
      </x:c>
      <x:c r="H100" s="89" t="str">
        <x:v>首次查看后标记已读，并解锁对应药材实体</x:v>
      </x:c>
    </x:row>
    <x:row r="101" ht="23" customHeight="1">
      <x:c r="A101" s="102" t="n">
        <x:v>100</x:v>
      </x:c>
      <x:c r="B101" s="102" t="n">
        <x:v>49</x:v>
      </x:c>
      <x:c r="C101" s="103" t="str">
        <x:v>2 依赖级联</x:v>
      </x:c>
      <x:c r="D101" s="103" t="str">
        <x:v>方剂</x:v>
      </x:c>
      <x:c r="E101" s="86" t="str">
        <x:v>理中丸</x:v>
      </x:c>
      <x:c r="F101" s="89" t="str">
        <x:v>所含全部药材均已解锁</x:v>
      </x:c>
      <x:c r="G101" s="89" t="str">
        <x:v>标准病证：脾阳虚</x:v>
      </x:c>
      <x:c r="H101" s="89" t="str">
        <x:v>自动解锁方剂实体及医书条目</x:v>
      </x:c>
    </x:row>
    <x:row r="102" ht="23" customHeight="1">
      <x:c r="A102" s="102" t="n">
        <x:v>101</x:v>
      </x:c>
      <x:c r="B102" s="102" t="n">
        <x:v>49</x:v>
      </x:c>
      <x:c r="C102" s="103" t="str">
        <x:v>3 依赖级联</x:v>
      </x:c>
      <x:c r="D102" s="103" t="str">
        <x:v>疾病</x:v>
      </x:c>
      <x:c r="E102" s="86" t="str">
        <x:v>脾阳虚</x:v>
      </x:c>
      <x:c r="F102" s="89" t="str">
        <x:v>标准方已经解锁</x:v>
      </x:c>
      <x:c r="G102" s="89" t="str">
        <x:v>标准方：理中丸</x:v>
      </x:c>
      <x:c r="H102" s="89" t="str">
        <x:v>自动解锁疾病实体及医书条目</x:v>
      </x:c>
    </x:row>
    <x:row r="103" ht="23" customHeight="1">
      <x:c r="A103" s="102" t="n">
        <x:v>102</x:v>
      </x:c>
      <x:c r="B103" s="102" t="n">
        <x:v>50</x:v>
      </x:c>
      <x:c r="C103" s="103" t="str">
        <x:v>1 药材条目</x:v>
      </x:c>
      <x:c r="D103" s="103" t="str">
        <x:v>药材</x:v>
      </x:c>
      <x:c r="E103" s="86" t="str">
        <x:v>细辛</x:v>
      </x:c>
      <x:c r="F103" s="89" t="str">
        <x:v>累计心得达到50点</x:v>
      </x:c>
      <x:c r="G103" s="89" t="str">
        <x:v>条目ID：xi_xin</x:v>
      </x:c>
      <x:c r="H103" s="89" t="str">
        <x:v>首次查看后标记已读，并解锁对应药材实体</x:v>
      </x:c>
    </x:row>
    <x:row r="104" ht="23" customHeight="1">
      <x:c r="A104" s="102" t="n">
        <x:v>103</x:v>
      </x:c>
      <x:c r="B104" s="102" t="n">
        <x:v>50</x:v>
      </x:c>
      <x:c r="C104" s="103" t="str">
        <x:v>2 依赖级联</x:v>
      </x:c>
      <x:c r="D104" s="103" t="str">
        <x:v>方剂</x:v>
      </x:c>
      <x:c r="E104" s="86" t="str">
        <x:v>小青龙汤</x:v>
      </x:c>
      <x:c r="F104" s="89" t="str">
        <x:v>所含全部药材均已解锁</x:v>
      </x:c>
      <x:c r="G104" s="89" t="str">
        <x:v>标准病证：表寒里饮</x:v>
      </x:c>
      <x:c r="H104" s="89" t="str">
        <x:v>自动解锁方剂实体及医书条目</x:v>
      </x:c>
    </x:row>
    <x:row r="105" ht="23" customHeight="1">
      <x:c r="A105" s="102" t="n">
        <x:v>104</x:v>
      </x:c>
      <x:c r="B105" s="102" t="n">
        <x:v>50</x:v>
      </x:c>
      <x:c r="C105" s="103" t="str">
        <x:v>3 依赖级联</x:v>
      </x:c>
      <x:c r="D105" s="103" t="str">
        <x:v>疾病</x:v>
      </x:c>
      <x:c r="E105" s="86" t="str">
        <x:v>表寒里饮</x:v>
      </x:c>
      <x:c r="F105" s="89" t="str">
        <x:v>标准方已经解锁</x:v>
      </x:c>
      <x:c r="G105" s="89" t="str">
        <x:v>标准方：小青龙汤</x:v>
      </x:c>
      <x:c r="H105" s="89" t="str">
        <x:v>自动解锁疾病实体及医书条目</x:v>
      </x:c>
    </x:row>
    <x:row r="106" ht="23" customHeight="1">
      <x:c r="A106" s="102" t="n">
        <x:v>105</x:v>
      </x:c>
      <x:c r="B106" s="102" t="n">
        <x:v>51</x:v>
      </x:c>
      <x:c r="C106" s="103" t="str">
        <x:v>1 药材条目</x:v>
      </x:c>
      <x:c r="D106" s="103" t="str">
        <x:v>药材</x:v>
      </x:c>
      <x:c r="E106" s="86" t="str">
        <x:v>苍术</x:v>
      </x:c>
      <x:c r="F106" s="89" t="str">
        <x:v>累计心得达到51点</x:v>
      </x:c>
      <x:c r="G106" s="89" t="str">
        <x:v>条目ID：cang_zhu</x:v>
      </x:c>
      <x:c r="H106" s="89" t="str">
        <x:v>首次查看后标记已读，并解锁对应药材实体</x:v>
      </x:c>
    </x:row>
    <x:row r="107" ht="23" customHeight="1">
      <x:c r="A107" s="102" t="n">
        <x:v>106</x:v>
      </x:c>
      <x:c r="B107" s="102" t="n">
        <x:v>52</x:v>
      </x:c>
      <x:c r="C107" s="103" t="str">
        <x:v>1 药材条目</x:v>
      </x:c>
      <x:c r="D107" s="103" t="str">
        <x:v>药材</x:v>
      </x:c>
      <x:c r="E107" s="86" t="str">
        <x:v>厚朴</x:v>
      </x:c>
      <x:c r="F107" s="89" t="str">
        <x:v>累计心得达到52点</x:v>
      </x:c>
      <x:c r="G107" s="89" t="str">
        <x:v>条目ID：hou_po</x:v>
      </x:c>
      <x:c r="H107" s="89" t="str">
        <x:v>首次查看后标记已读，并解锁对应药材实体</x:v>
      </x:c>
    </x:row>
    <x:row r="108" ht="23" customHeight="1">
      <x:c r="A108" s="102" t="n">
        <x:v>107</x:v>
      </x:c>
      <x:c r="B108" s="102" t="n">
        <x:v>52</x:v>
      </x:c>
      <x:c r="C108" s="103" t="str">
        <x:v>2 依赖级联</x:v>
      </x:c>
      <x:c r="D108" s="103" t="str">
        <x:v>方剂</x:v>
      </x:c>
      <x:c r="E108" s="86" t="str">
        <x:v>平胃散</x:v>
      </x:c>
      <x:c r="F108" s="89" t="str">
        <x:v>所含全部药材均已解锁</x:v>
      </x:c>
      <x:c r="G108" s="89" t="str">
        <x:v>标准病证：湿盛困脾</x:v>
      </x:c>
      <x:c r="H108" s="89" t="str">
        <x:v>自动解锁方剂实体及医书条目</x:v>
      </x:c>
    </x:row>
    <x:row r="109" ht="23" customHeight="1">
      <x:c r="A109" s="102" t="n">
        <x:v>108</x:v>
      </x:c>
      <x:c r="B109" s="102" t="n">
        <x:v>52</x:v>
      </x:c>
      <x:c r="C109" s="103" t="str">
        <x:v>3 依赖级联</x:v>
      </x:c>
      <x:c r="D109" s="103" t="str">
        <x:v>疾病</x:v>
      </x:c>
      <x:c r="E109" s="86" t="str">
        <x:v>湿盛困脾</x:v>
      </x:c>
      <x:c r="F109" s="89" t="str">
        <x:v>标准方已经解锁</x:v>
      </x:c>
      <x:c r="G109" s="89" t="str">
        <x:v>标准方：平胃散</x:v>
      </x:c>
      <x:c r="H109" s="89" t="str">
        <x:v>自动解锁疾病实体及医书条目</x:v>
      </x:c>
    </x:row>
    <x:row r="110" ht="23" customHeight="1">
      <x:c r="A110" s="102" t="n">
        <x:v>109</x:v>
      </x:c>
      <x:c r="B110" s="102" t="n">
        <x:v>53</x:v>
      </x:c>
      <x:c r="C110" s="103" t="str">
        <x:v>1 药材条目</x:v>
      </x:c>
      <x:c r="D110" s="103" t="str">
        <x:v>药材</x:v>
      </x:c>
      <x:c r="E110" s="86" t="str">
        <x:v>山药</x:v>
      </x:c>
      <x:c r="F110" s="89" t="str">
        <x:v>累计心得达到53点</x:v>
      </x:c>
      <x:c r="G110" s="89" t="str">
        <x:v>条目ID：shan_yao</x:v>
      </x:c>
      <x:c r="H110" s="89" t="str">
        <x:v>首次查看后标记已读，并解锁对应药材实体</x:v>
      </x:c>
    </x:row>
    <x:row r="111" ht="23" customHeight="1">
      <x:c r="A111" s="102" t="n">
        <x:v>110</x:v>
      </x:c>
      <x:c r="B111" s="102" t="n">
        <x:v>54</x:v>
      </x:c>
      <x:c r="C111" s="103" t="str">
        <x:v>1 药材条目</x:v>
      </x:c>
      <x:c r="D111" s="103" t="str">
        <x:v>药材</x:v>
      </x:c>
      <x:c r="E111" s="86" t="str">
        <x:v>莲子</x:v>
      </x:c>
      <x:c r="F111" s="89" t="str">
        <x:v>累计心得达到54点</x:v>
      </x:c>
      <x:c r="G111" s="89" t="str">
        <x:v>条目ID：lian_zi</x:v>
      </x:c>
      <x:c r="H111" s="89" t="str">
        <x:v>首次查看后标记已读，并解锁对应药材实体</x:v>
      </x:c>
    </x:row>
    <x:row r="112" ht="23" customHeight="1">
      <x:c r="A112" s="102" t="n">
        <x:v>111</x:v>
      </x:c>
      <x:c r="B112" s="102" t="n">
        <x:v>55</x:v>
      </x:c>
      <x:c r="C112" s="103" t="str">
        <x:v>1 药材条目</x:v>
      </x:c>
      <x:c r="D112" s="103" t="str">
        <x:v>药材</x:v>
      </x:c>
      <x:c r="E112" s="86" t="str">
        <x:v>砂仁</x:v>
      </x:c>
      <x:c r="F112" s="89" t="str">
        <x:v>累计心得达到55点</x:v>
      </x:c>
      <x:c r="G112" s="89" t="str">
        <x:v>条目ID：sha_ren</x:v>
      </x:c>
      <x:c r="H112" s="89" t="str">
        <x:v>首次查看后标记已读，并解锁对应药材实体</x:v>
      </x:c>
    </x:row>
    <x:row r="113" ht="23" customHeight="1">
      <x:c r="A113" s="102" t="n">
        <x:v>112</x:v>
      </x:c>
      <x:c r="B113" s="102" t="n">
        <x:v>55</x:v>
      </x:c>
      <x:c r="C113" s="103" t="str">
        <x:v>2 依赖级联</x:v>
      </x:c>
      <x:c r="D113" s="103" t="str">
        <x:v>方剂</x:v>
      </x:c>
      <x:c r="E113" s="86" t="str">
        <x:v>参苓白术散</x:v>
      </x:c>
      <x:c r="F113" s="89" t="str">
        <x:v>所含全部药材均已解锁</x:v>
      </x:c>
      <x:c r="G113" s="89" t="str">
        <x:v>标准病证：脾虚湿盛</x:v>
      </x:c>
      <x:c r="H113" s="89" t="str">
        <x:v>自动解锁方剂实体及医书条目</x:v>
      </x:c>
    </x:row>
    <x:row r="114" ht="23" customHeight="1">
      <x:c r="A114" s="102" t="n">
        <x:v>113</x:v>
      </x:c>
      <x:c r="B114" s="102" t="n">
        <x:v>55</x:v>
      </x:c>
      <x:c r="C114" s="103" t="str">
        <x:v>3 依赖级联</x:v>
      </x:c>
      <x:c r="D114" s="103" t="str">
        <x:v>疾病</x:v>
      </x:c>
      <x:c r="E114" s="86" t="str">
        <x:v>脾虚湿盛</x:v>
      </x:c>
      <x:c r="F114" s="89" t="str">
        <x:v>标准方已经解锁</x:v>
      </x:c>
      <x:c r="G114" s="89" t="str">
        <x:v>标准方：参苓白术散</x:v>
      </x:c>
      <x:c r="H114" s="89" t="str">
        <x:v>自动解锁疾病实体及医书条目</x:v>
      </x:c>
    </x:row>
    <x:row r="115" ht="23" customHeight="1">
      <x:c r="A115" s="102" t="n">
        <x:v>114</x:v>
      </x:c>
      <x:c r="B115" s="102" t="n">
        <x:v>56</x:v>
      </x:c>
      <x:c r="C115" s="103" t="str">
        <x:v>1 药材条目</x:v>
      </x:c>
      <x:c r="D115" s="103" t="str">
        <x:v>药材</x:v>
      </x:c>
      <x:c r="E115" s="86" t="str">
        <x:v>藿香</x:v>
      </x:c>
      <x:c r="F115" s="89" t="str">
        <x:v>累计心得达到56点</x:v>
      </x:c>
      <x:c r="G115" s="89" t="str">
        <x:v>条目ID：huo_xiang</x:v>
      </x:c>
      <x:c r="H115" s="89" t="str">
        <x:v>首次查看后标记已读，并解锁对应药材实体</x:v>
      </x:c>
    </x:row>
    <x:row r="116" ht="23" customHeight="1">
      <x:c r="A116" s="102" t="n">
        <x:v>115</x:v>
      </x:c>
      <x:c r="B116" s="102" t="n">
        <x:v>57</x:v>
      </x:c>
      <x:c r="C116" s="103" t="str">
        <x:v>1 药材条目</x:v>
      </x:c>
      <x:c r="D116" s="103" t="str">
        <x:v>药材</x:v>
      </x:c>
      <x:c r="E116" s="86" t="str">
        <x:v>白芷</x:v>
      </x:c>
      <x:c r="F116" s="89" t="str">
        <x:v>累计心得达到57点</x:v>
      </x:c>
      <x:c r="G116" s="89" t="str">
        <x:v>条目ID：bai_zhi</x:v>
      </x:c>
      <x:c r="H116" s="89" t="str">
        <x:v>首次查看后标记已读，并解锁对应药材实体</x:v>
      </x:c>
    </x:row>
    <x:row r="117" ht="23" customHeight="1">
      <x:c r="A117" s="102" t="n">
        <x:v>116</x:v>
      </x:c>
      <x:c r="B117" s="102" t="n">
        <x:v>58</x:v>
      </x:c>
      <x:c r="C117" s="103" t="str">
        <x:v>1 药材条目</x:v>
      </x:c>
      <x:c r="D117" s="103" t="str">
        <x:v>药材</x:v>
      </x:c>
      <x:c r="E117" s="86" t="str">
        <x:v>大腹皮</x:v>
      </x:c>
      <x:c r="F117" s="89" t="str">
        <x:v>累计心得达到58点</x:v>
      </x:c>
      <x:c r="G117" s="89" t="str">
        <x:v>条目ID：da_fu_pi</x:v>
      </x:c>
      <x:c r="H117" s="89" t="str">
        <x:v>首次查看后标记已读，并解锁对应药材实体</x:v>
      </x:c>
    </x:row>
    <x:row r="118" ht="23" customHeight="1">
      <x:c r="A118" s="102" t="n">
        <x:v>117</x:v>
      </x:c>
      <x:c r="B118" s="102" t="n">
        <x:v>58</x:v>
      </x:c>
      <x:c r="C118" s="103" t="str">
        <x:v>2 依赖级联</x:v>
      </x:c>
      <x:c r="D118" s="103" t="str">
        <x:v>方剂</x:v>
      </x:c>
      <x:c r="E118" s="86" t="str">
        <x:v>藿香正气散</x:v>
      </x:c>
      <x:c r="F118" s="89" t="str">
        <x:v>所含全部药材均已解锁</x:v>
      </x:c>
      <x:c r="G118" s="89" t="str">
        <x:v>标准病证：外感风寒，内伤湿滞</x:v>
      </x:c>
      <x:c r="H118" s="89" t="str">
        <x:v>自动解锁方剂实体及医书条目</x:v>
      </x:c>
    </x:row>
    <x:row r="119" ht="23" customHeight="1">
      <x:c r="A119" s="102" t="n">
        <x:v>118</x:v>
      </x:c>
      <x:c r="B119" s="102" t="n">
        <x:v>58</x:v>
      </x:c>
      <x:c r="C119" s="103" t="str">
        <x:v>3 依赖级联</x:v>
      </x:c>
      <x:c r="D119" s="103" t="str">
        <x:v>疾病</x:v>
      </x:c>
      <x:c r="E119" s="86" t="str">
        <x:v>外感风寒，内伤湿滞</x:v>
      </x:c>
      <x:c r="F119" s="89" t="str">
        <x:v>标准方已经解锁</x:v>
      </x:c>
      <x:c r="G119" s="89" t="str">
        <x:v>标准方：藿香正气散</x:v>
      </x:c>
      <x:c r="H119" s="89" t="str">
        <x:v>自动解锁疾病实体及医书条目</x:v>
      </x:c>
    </x:row>
    <x:row r="120" ht="23" customHeight="1">
      <x:c r="A120" s="102" t="n">
        <x:v>119</x:v>
      </x:c>
      <x:c r="B120" s="102" t="n">
        <x:v>59</x:v>
      </x:c>
      <x:c r="C120" s="103" t="str">
        <x:v>1 药材条目</x:v>
      </x:c>
      <x:c r="D120" s="103" t="str">
        <x:v>药材</x:v>
      </x:c>
      <x:c r="E120" s="86" t="str">
        <x:v>木通</x:v>
      </x:c>
      <x:c r="F120" s="89" t="str">
        <x:v>累计心得达到59点</x:v>
      </x:c>
      <x:c r="G120" s="89" t="str">
        <x:v>条目ID：mu_tong</x:v>
      </x:c>
      <x:c r="H120" s="89" t="str">
        <x:v>首次查看后标记已读，并解锁对应药材实体</x:v>
      </x:c>
    </x:row>
    <x:row r="121" ht="23" customHeight="1">
      <x:c r="A121" s="102" t="n">
        <x:v>120</x:v>
      </x:c>
      <x:c r="B121" s="102" t="n">
        <x:v>59</x:v>
      </x:c>
      <x:c r="C121" s="103" t="str">
        <x:v>2 依赖级联</x:v>
      </x:c>
      <x:c r="D121" s="103" t="str">
        <x:v>方剂</x:v>
      </x:c>
      <x:c r="E121" s="86" t="str">
        <x:v>当归四逆汤</x:v>
      </x:c>
      <x:c r="F121" s="89" t="str">
        <x:v>所含全部药材均已解锁</x:v>
      </x:c>
      <x:c r="G121" s="89" t="str">
        <x:v>标准病证：寒凝心脉</x:v>
      </x:c>
      <x:c r="H121" s="89" t="str">
        <x:v>自动解锁方剂实体及医书条目</x:v>
      </x:c>
    </x:row>
    <x:row r="122" ht="23" customHeight="1">
      <x:c r="A122" s="102" t="n">
        <x:v>121</x:v>
      </x:c>
      <x:c r="B122" s="102" t="n">
        <x:v>59</x:v>
      </x:c>
      <x:c r="C122" s="103" t="str">
        <x:v>3 依赖级联</x:v>
      </x:c>
      <x:c r="D122" s="103" t="str">
        <x:v>疾病</x:v>
      </x:c>
      <x:c r="E122" s="86" t="str">
        <x:v>寒凝心脉</x:v>
      </x:c>
      <x:c r="F122" s="89" t="str">
        <x:v>标准方已经解锁</x:v>
      </x:c>
      <x:c r="G122" s="89" t="str">
        <x:v>标准方：当归四逆汤</x:v>
      </x:c>
      <x:c r="H122" s="89" t="str">
        <x:v>自动解锁疾病实体及医书条目</x:v>
      </x:c>
    </x:row>
    <x:row r="123" ht="23" customHeight="1">
      <x:c r="A123" s="102" t="n">
        <x:v>122</x:v>
      </x:c>
      <x:c r="B123" s="102" t="n">
        <x:v>60</x:v>
      </x:c>
      <x:c r="C123" s="103" t="str">
        <x:v>1 药材条目</x:v>
      </x:c>
      <x:c r="D123" s="103" t="str">
        <x:v>药材</x:v>
      </x:c>
      <x:c r="E123" s="86" t="str">
        <x:v>生地黄</x:v>
      </x:c>
      <x:c r="F123" s="89" t="str">
        <x:v>累计心得达到60点</x:v>
      </x:c>
      <x:c r="G123" s="89" t="str">
        <x:v>条目ID：sheng_di_huang</x:v>
      </x:c>
      <x:c r="H123" s="89" t="str">
        <x:v>首次查看后标记已读，并解锁对应药材实体</x:v>
      </x:c>
    </x:row>
    <x:row r="124" ht="23" customHeight="1">
      <x:c r="A124" s="102" t="n">
        <x:v>123</x:v>
      </x:c>
      <x:c r="B124" s="102" t="n">
        <x:v>60</x:v>
      </x:c>
      <x:c r="C124" s="103" t="str">
        <x:v>2 依赖级联</x:v>
      </x:c>
      <x:c r="D124" s="103" t="str">
        <x:v>方剂</x:v>
      </x:c>
      <x:c r="E124" s="86" t="str">
        <x:v>导赤散</x:v>
      </x:c>
      <x:c r="F124" s="89" t="str">
        <x:v>所含全部药材均已解锁</x:v>
      </x:c>
      <x:c r="G124" s="89" t="str">
        <x:v>标准病证：心火亢盛</x:v>
      </x:c>
      <x:c r="H124" s="89" t="str">
        <x:v>自动解锁方剂实体及医书条目</x:v>
      </x:c>
    </x:row>
    <x:row r="125" ht="23" customHeight="1">
      <x:c r="A125" s="102" t="n">
        <x:v>124</x:v>
      </x:c>
      <x:c r="B125" s="102" t="n">
        <x:v>60</x:v>
      </x:c>
      <x:c r="C125" s="103" t="str">
        <x:v>3 依赖级联</x:v>
      </x:c>
      <x:c r="D125" s="103" t="str">
        <x:v>疾病</x:v>
      </x:c>
      <x:c r="E125" s="86" t="str">
        <x:v>心火亢盛</x:v>
      </x:c>
      <x:c r="F125" s="89" t="str">
        <x:v>标准方已经解锁</x:v>
      </x:c>
      <x:c r="G125" s="89" t="str">
        <x:v>标准方：导赤散</x:v>
      </x:c>
      <x:c r="H125" s="89" t="str">
        <x:v>自动解锁疾病实体及医书条目</x:v>
      </x:c>
    </x:row>
    <x:row r="126" ht="23" customHeight="1">
      <x:c r="A126" s="102" t="n">
        <x:v>125</x:v>
      </x:c>
      <x:c r="B126" s="102" t="n">
        <x:v>61</x:v>
      </x:c>
      <x:c r="C126" s="103" t="str">
        <x:v>1 药材条目</x:v>
      </x:c>
      <x:c r="D126" s="103" t="str">
        <x:v>药材</x:v>
      </x:c>
      <x:c r="E126" s="86" t="str">
        <x:v>竹茹</x:v>
      </x:c>
      <x:c r="F126" s="89" t="str">
        <x:v>累计心得达到61点</x:v>
      </x:c>
      <x:c r="G126" s="89" t="str">
        <x:v>条目ID：zhu_ru</x:v>
      </x:c>
      <x:c r="H126" s="89" t="str">
        <x:v>首次查看后标记已读，并解锁对应药材实体</x:v>
      </x:c>
    </x:row>
    <x:row r="127" ht="23" customHeight="1">
      <x:c r="A127" s="102" t="n">
        <x:v>126</x:v>
      </x:c>
      <x:c r="B127" s="102" t="n">
        <x:v>62</x:v>
      </x:c>
      <x:c r="C127" s="103" t="str">
        <x:v>1 药材条目</x:v>
      </x:c>
      <x:c r="D127" s="103" t="str">
        <x:v>药材</x:v>
      </x:c>
      <x:c r="E127" s="86" t="str">
        <x:v>石菖蒲</x:v>
      </x:c>
      <x:c r="F127" s="89" t="str">
        <x:v>累计心得达到62点</x:v>
      </x:c>
      <x:c r="G127" s="89" t="str">
        <x:v>条目ID：shi_chang_pu</x:v>
      </x:c>
      <x:c r="H127" s="89" t="str">
        <x:v>首次查看后标记已读，并解锁对应药材实体</x:v>
      </x:c>
    </x:row>
    <x:row r="128" ht="23" customHeight="1">
      <x:c r="A128" s="102" t="n">
        <x:v>127</x:v>
      </x:c>
      <x:c r="B128" s="102" t="n">
        <x:v>62</x:v>
      </x:c>
      <x:c r="C128" s="103" t="str">
        <x:v>2 依赖级联</x:v>
      </x:c>
      <x:c r="D128" s="103" t="str">
        <x:v>方剂</x:v>
      </x:c>
      <x:c r="E128" s="86" t="str">
        <x:v>涤痰汤</x:v>
      </x:c>
      <x:c r="F128" s="89" t="str">
        <x:v>所含全部药材均已解锁</x:v>
      </x:c>
      <x:c r="G128" s="89" t="str">
        <x:v>标准病证：痰迷心窍</x:v>
      </x:c>
      <x:c r="H128" s="89" t="str">
        <x:v>自动解锁方剂实体及医书条目</x:v>
      </x:c>
    </x:row>
    <x:row r="129" ht="23" customHeight="1">
      <x:c r="A129" s="102" t="n">
        <x:v>128</x:v>
      </x:c>
      <x:c r="B129" s="102" t="n">
        <x:v>62</x:v>
      </x:c>
      <x:c r="C129" s="103" t="str">
        <x:v>3 依赖级联</x:v>
      </x:c>
      <x:c r="D129" s="103" t="str">
        <x:v>疾病</x:v>
      </x:c>
      <x:c r="E129" s="86" t="str">
        <x:v>痰迷心窍</x:v>
      </x:c>
      <x:c r="F129" s="89" t="str">
        <x:v>标准方已经解锁</x:v>
      </x:c>
      <x:c r="G129" s="89" t="str">
        <x:v>标准方：涤痰汤</x:v>
      </x:c>
      <x:c r="H129" s="89" t="str">
        <x:v>自动解锁疾病实体及医书条目</x:v>
      </x:c>
    </x:row>
    <x:row r="130" ht="23" customHeight="1">
      <x:c r="A130" s="102" t="n">
        <x:v>129</x:v>
      </x:c>
      <x:c r="B130" s="102" t="n">
        <x:v>63</x:v>
      </x:c>
      <x:c r="C130" s="103" t="str">
        <x:v>1 药材条目</x:v>
      </x:c>
      <x:c r="D130" s="103" t="str">
        <x:v>药材</x:v>
      </x:c>
      <x:c r="E130" s="86" t="str">
        <x:v>茯神</x:v>
      </x:c>
      <x:c r="F130" s="89" t="str">
        <x:v>累计心得达到63点</x:v>
      </x:c>
      <x:c r="G130" s="89" t="str">
        <x:v>条目ID：fu_shen</x:v>
      </x:c>
      <x:c r="H130" s="89" t="str">
        <x:v>首次查看后标记已读，并解锁对应药材实体</x:v>
      </x:c>
    </x:row>
    <x:row r="131" ht="23" customHeight="1">
      <x:c r="A131" s="102" t="n">
        <x:v>130</x:v>
      </x:c>
      <x:c r="B131" s="102" t="n">
        <x:v>64</x:v>
      </x:c>
      <x:c r="C131" s="103" t="str">
        <x:v>1 药材条目</x:v>
      </x:c>
      <x:c r="D131" s="103" t="str">
        <x:v>药材</x:v>
      </x:c>
      <x:c r="E131" s="86" t="str">
        <x:v>酸枣仁</x:v>
      </x:c>
      <x:c r="F131" s="89" t="str">
        <x:v>累计心得达到64点</x:v>
      </x:c>
      <x:c r="G131" s="89" t="str">
        <x:v>条目ID：suan_zao_ren</x:v>
      </x:c>
      <x:c r="H131" s="89" t="str">
        <x:v>首次查看后标记已读，并解锁对应药材实体</x:v>
      </x:c>
    </x:row>
    <x:row r="132" ht="23" customHeight="1">
      <x:c r="A132" s="102" t="n">
        <x:v>131</x:v>
      </x:c>
      <x:c r="B132" s="102" t="n">
        <x:v>65</x:v>
      </x:c>
      <x:c r="C132" s="103" t="str">
        <x:v>1 药材条目</x:v>
      </x:c>
      <x:c r="D132" s="103" t="str">
        <x:v>药材</x:v>
      </x:c>
      <x:c r="E132" s="86" t="str">
        <x:v>柏子仁</x:v>
      </x:c>
      <x:c r="F132" s="89" t="str">
        <x:v>累计心得达到65点</x:v>
      </x:c>
      <x:c r="G132" s="89" t="str">
        <x:v>条目ID：bai_zi_ren</x:v>
      </x:c>
      <x:c r="H132" s="89" t="str">
        <x:v>首次查看后标记已读，并解锁对应药材实体</x:v>
      </x:c>
    </x:row>
    <x:row r="133" ht="23" customHeight="1">
      <x:c r="A133" s="102" t="n">
        <x:v>132</x:v>
      </x:c>
      <x:c r="B133" s="102" t="n">
        <x:v>66</x:v>
      </x:c>
      <x:c r="C133" s="103" t="str">
        <x:v>1 药材条目</x:v>
      </x:c>
      <x:c r="D133" s="103" t="str">
        <x:v>药材</x:v>
      </x:c>
      <x:c r="E133" s="86" t="str">
        <x:v>远志</x:v>
      </x:c>
      <x:c r="F133" s="89" t="str">
        <x:v>累计心得达到66点</x:v>
      </x:c>
      <x:c r="G133" s="89" t="str">
        <x:v>条目ID：yuan_zhi</x:v>
      </x:c>
      <x:c r="H133" s="89" t="str">
        <x:v>首次查看后标记已读，并解锁对应药材实体</x:v>
      </x:c>
    </x:row>
    <x:row r="134" ht="23" customHeight="1">
      <x:c r="A134" s="102" t="n">
        <x:v>133</x:v>
      </x:c>
      <x:c r="B134" s="102" t="n">
        <x:v>67</x:v>
      </x:c>
      <x:c r="C134" s="103" t="str">
        <x:v>1 药材条目</x:v>
      </x:c>
      <x:c r="D134" s="103" t="str">
        <x:v>药材</x:v>
      </x:c>
      <x:c r="E134" s="86" t="str">
        <x:v>肉桂</x:v>
      </x:c>
      <x:c r="F134" s="89" t="str">
        <x:v>累计心得达到67点</x:v>
      </x:c>
      <x:c r="G134" s="89" t="str">
        <x:v>条目ID：rou_gui</x:v>
      </x:c>
      <x:c r="H134" s="89" t="str">
        <x:v>首次查看后标记已读，并解锁对应药材实体</x:v>
      </x:c>
    </x:row>
    <x:row r="135" ht="23" customHeight="1">
      <x:c r="A135" s="102" t="n">
        <x:v>134</x:v>
      </x:c>
      <x:c r="B135" s="102" t="n">
        <x:v>67</x:v>
      </x:c>
      <x:c r="C135" s="103" t="str">
        <x:v>2 依赖级联</x:v>
      </x:c>
      <x:c r="D135" s="103" t="str">
        <x:v>方剂</x:v>
      </x:c>
      <x:c r="E135" s="86" t="str">
        <x:v>养心汤</x:v>
      </x:c>
      <x:c r="F135" s="89" t="str">
        <x:v>所含全部药材均已解锁</x:v>
      </x:c>
      <x:c r="G135" s="89" t="str">
        <x:v>标准病证：心气虚</x:v>
      </x:c>
      <x:c r="H135" s="89" t="str">
        <x:v>自动解锁方剂实体及医书条目</x:v>
      </x:c>
    </x:row>
    <x:row r="136" ht="23" customHeight="1">
      <x:c r="A136" s="102" t="n">
        <x:v>135</x:v>
      </x:c>
      <x:c r="B136" s="102" t="n">
        <x:v>67</x:v>
      </x:c>
      <x:c r="C136" s="103" t="str">
        <x:v>3 依赖级联</x:v>
      </x:c>
      <x:c r="D136" s="103" t="str">
        <x:v>疾病</x:v>
      </x:c>
      <x:c r="E136" s="86" t="str">
        <x:v>心气虚</x:v>
      </x:c>
      <x:c r="F136" s="89" t="str">
        <x:v>标准方已经解锁</x:v>
      </x:c>
      <x:c r="G136" s="89" t="str">
        <x:v>标准方：养心汤</x:v>
      </x:c>
      <x:c r="H136" s="89" t="str">
        <x:v>自动解锁疾病实体及医书条目</x:v>
      </x:c>
    </x:row>
    <x:row r="137" ht="23" customHeight="1">
      <x:c r="A137" s="102" t="n">
        <x:v>136</x:v>
      </x:c>
      <x:c r="B137" s="102" t="n">
        <x:v>68</x:v>
      </x:c>
      <x:c r="C137" s="103" t="str">
        <x:v>1 药材条目</x:v>
      </x:c>
      <x:c r="D137" s="103" t="str">
        <x:v>药材</x:v>
      </x:c>
      <x:c r="E137" s="86" t="str">
        <x:v>桃仁</x:v>
      </x:c>
      <x:c r="F137" s="89" t="str">
        <x:v>累计心得达到68点</x:v>
      </x:c>
      <x:c r="G137" s="89" t="str">
        <x:v>条目ID：tao_ren</x:v>
      </x:c>
      <x:c r="H137" s="89" t="str">
        <x:v>首次查看后标记已读，并解锁对应药材实体</x:v>
      </x:c>
    </x:row>
    <x:row r="138" ht="23" customHeight="1">
      <x:c r="A138" s="102" t="n">
        <x:v>137</x:v>
      </x:c>
      <x:c r="B138" s="102" t="n">
        <x:v>69</x:v>
      </x:c>
      <x:c r="C138" s="103" t="str">
        <x:v>1 药材条目</x:v>
      </x:c>
      <x:c r="D138" s="103" t="str">
        <x:v>药材</x:v>
      </x:c>
      <x:c r="E138" s="86" t="str">
        <x:v>红花</x:v>
      </x:c>
      <x:c r="F138" s="89" t="str">
        <x:v>累计心得达到69点</x:v>
      </x:c>
      <x:c r="G138" s="89" t="str">
        <x:v>条目ID：hong_hua</x:v>
      </x:c>
      <x:c r="H138" s="89" t="str">
        <x:v>首次查看后标记已读，并解锁对应药材实体</x:v>
      </x:c>
    </x:row>
    <x:row r="139" ht="23" customHeight="1">
      <x:c r="A139" s="102" t="n">
        <x:v>138</x:v>
      </x:c>
      <x:c r="B139" s="102" t="n">
        <x:v>70</x:v>
      </x:c>
      <x:c r="C139" s="103" t="str">
        <x:v>1 药材条目</x:v>
      </x:c>
      <x:c r="D139" s="103" t="str">
        <x:v>药材</x:v>
      </x:c>
      <x:c r="E139" s="86" t="str">
        <x:v>赤芍</x:v>
      </x:c>
      <x:c r="F139" s="89" t="str">
        <x:v>累计心得达到70点</x:v>
      </x:c>
      <x:c r="G139" s="89" t="str">
        <x:v>条目ID：chi_shao</x:v>
      </x:c>
      <x:c r="H139" s="89" t="str">
        <x:v>首次查看后标记已读，并解锁对应药材实体</x:v>
      </x:c>
    </x:row>
    <x:row r="140" ht="23" customHeight="1">
      <x:c r="A140" s="102" t="n">
        <x:v>139</x:v>
      </x:c>
      <x:c r="B140" s="102" t="n">
        <x:v>71</x:v>
      </x:c>
      <x:c r="C140" s="103" t="str">
        <x:v>1 药材条目</x:v>
      </x:c>
      <x:c r="D140" s="103" t="str">
        <x:v>药材</x:v>
      </x:c>
      <x:c r="E140" s="86" t="str">
        <x:v>牛膝</x:v>
      </x:c>
      <x:c r="F140" s="89" t="str">
        <x:v>累计心得达到71点</x:v>
      </x:c>
      <x:c r="G140" s="89" t="str">
        <x:v>条目ID：niu_xi</x:v>
      </x:c>
      <x:c r="H140" s="89" t="str">
        <x:v>首次查看后标记已读，并解锁对应药材实体</x:v>
      </x:c>
    </x:row>
    <x:row r="141" ht="23" customHeight="1">
      <x:c r="A141" s="102" t="n">
        <x:v>140</x:v>
      </x:c>
      <x:c r="B141" s="102" t="n">
        <x:v>72</x:v>
      </x:c>
      <x:c r="C141" s="103" t="str">
        <x:v>1 药材条目</x:v>
      </x:c>
      <x:c r="D141" s="103" t="str">
        <x:v>药材</x:v>
      </x:c>
      <x:c r="E141" s="86" t="str">
        <x:v>柴胡</x:v>
      </x:c>
      <x:c r="F141" s="89" t="str">
        <x:v>累计心得达到72点</x:v>
      </x:c>
      <x:c r="G141" s="89" t="str">
        <x:v>条目ID：chai_hu</x:v>
      </x:c>
      <x:c r="H141" s="89" t="str">
        <x:v>首次查看后标记已读，并解锁对应药材实体</x:v>
      </x:c>
    </x:row>
    <x:row r="142" ht="23" customHeight="1">
      <x:c r="A142" s="102" t="n">
        <x:v>141</x:v>
      </x:c>
      <x:c r="B142" s="102" t="n">
        <x:v>72</x:v>
      </x:c>
      <x:c r="C142" s="103" t="str">
        <x:v>2 依赖级联</x:v>
      </x:c>
      <x:c r="D142" s="103" t="str">
        <x:v>方剂</x:v>
      </x:c>
      <x:c r="E142" s="86" t="str">
        <x:v>逍遥散</x:v>
      </x:c>
      <x:c r="F142" s="89" t="str">
        <x:v>所含全部药材均已解锁</x:v>
      </x:c>
      <x:c r="G142" s="89" t="str">
        <x:v>标准病证：肝脾不和</x:v>
      </x:c>
      <x:c r="H142" s="89" t="str">
        <x:v>自动解锁方剂实体及医书条目</x:v>
      </x:c>
    </x:row>
    <x:row r="143" ht="23" customHeight="1">
      <x:c r="A143" s="102" t="n">
        <x:v>142</x:v>
      </x:c>
      <x:c r="B143" s="102" t="n">
        <x:v>72</x:v>
      </x:c>
      <x:c r="C143" s="103" t="str">
        <x:v>2 依赖级联</x:v>
      </x:c>
      <x:c r="D143" s="103" t="str">
        <x:v>方剂</x:v>
      </x:c>
      <x:c r="E143" s="86" t="str">
        <x:v>血府逐瘀汤</x:v>
      </x:c>
      <x:c r="F143" s="89" t="str">
        <x:v>所含全部药材均已解锁</x:v>
      </x:c>
      <x:c r="G143" s="89" t="str">
        <x:v>标准病证：心脉瘀阻</x:v>
      </x:c>
      <x:c r="H143" s="89" t="str">
        <x:v>自动解锁方剂实体及医书条目</x:v>
      </x:c>
    </x:row>
    <x:row r="144" ht="23" customHeight="1">
      <x:c r="A144" s="102" t="n">
        <x:v>143</x:v>
      </x:c>
      <x:c r="B144" s="102" t="n">
        <x:v>72</x:v>
      </x:c>
      <x:c r="C144" s="103" t="str">
        <x:v>3 依赖级联</x:v>
      </x:c>
      <x:c r="D144" s="103" t="str">
        <x:v>疾病</x:v>
      </x:c>
      <x:c r="E144" s="86" t="str">
        <x:v>肝脾不和</x:v>
      </x:c>
      <x:c r="F144" s="89" t="str">
        <x:v>标准方已经解锁</x:v>
      </x:c>
      <x:c r="G144" s="89" t="str">
        <x:v>标准方：逍遥散</x:v>
      </x:c>
      <x:c r="H144" s="89" t="str">
        <x:v>自动解锁疾病实体及医书条目</x:v>
      </x:c>
    </x:row>
    <x:row r="145" ht="23" customHeight="1">
      <x:c r="A145" s="102" t="n">
        <x:v>144</x:v>
      </x:c>
      <x:c r="B145" s="102" t="n">
        <x:v>72</x:v>
      </x:c>
      <x:c r="C145" s="103" t="str">
        <x:v>3 依赖级联</x:v>
      </x:c>
      <x:c r="D145" s="103" t="str">
        <x:v>疾病</x:v>
      </x:c>
      <x:c r="E145" s="86" t="str">
        <x:v>心脉瘀阻</x:v>
      </x:c>
      <x:c r="F145" s="89" t="str">
        <x:v>标准方已经解锁</x:v>
      </x:c>
      <x:c r="G145" s="89" t="str">
        <x:v>标准方：血府逐瘀汤</x:v>
      </x:c>
      <x:c r="H145" s="89" t="str">
        <x:v>自动解锁疾病实体及医书条目</x:v>
      </x:c>
    </x:row>
    <x:row r="146" ht="23" customHeight="1">
      <x:c r="A146" s="102" t="n">
        <x:v>145</x:v>
      </x:c>
      <x:c r="B146" s="102" t="n">
        <x:v>73</x:v>
      </x:c>
      <x:c r="C146" s="103" t="str">
        <x:v>1 药材条目</x:v>
      </x:c>
      <x:c r="D146" s="103" t="str">
        <x:v>药材</x:v>
      </x:c>
      <x:c r="E146" s="86" t="str">
        <x:v>天门冬</x:v>
      </x:c>
      <x:c r="F146" s="89" t="str">
        <x:v>累计心得达到73点</x:v>
      </x:c>
      <x:c r="G146" s="89" t="str">
        <x:v>条目ID：tian_men_dong</x:v>
      </x:c>
      <x:c r="H146" s="89" t="str">
        <x:v>首次查看后标记已读，并解锁对应药材实体</x:v>
      </x:c>
    </x:row>
    <x:row r="147" ht="23" customHeight="1">
      <x:c r="A147" s="102" t="n">
        <x:v>146</x:v>
      </x:c>
      <x:c r="B147" s="102" t="n">
        <x:v>74</x:v>
      </x:c>
      <x:c r="C147" s="103" t="str">
        <x:v>1 药材条目</x:v>
      </x:c>
      <x:c r="D147" s="103" t="str">
        <x:v>药材</x:v>
      </x:c>
      <x:c r="E147" s="86" t="str">
        <x:v>玄参</x:v>
      </x:c>
      <x:c r="F147" s="89" t="str">
        <x:v>累计心得达到74点</x:v>
      </x:c>
      <x:c r="G147" s="89" t="str">
        <x:v>条目ID：xuan_shen</x:v>
      </x:c>
      <x:c r="H147" s="89" t="str">
        <x:v>首次查看后标记已读，并解锁对应药材实体</x:v>
      </x:c>
    </x:row>
    <x:row r="148" ht="23" customHeight="1">
      <x:c r="A148" s="102" t="n">
        <x:v>147</x:v>
      </x:c>
      <x:c r="B148" s="102" t="n">
        <x:v>75</x:v>
      </x:c>
      <x:c r="C148" s="103" t="str">
        <x:v>1 药材条目</x:v>
      </x:c>
      <x:c r="D148" s="103" t="str">
        <x:v>药材</x:v>
      </x:c>
      <x:c r="E148" s="86" t="str">
        <x:v>丹参</x:v>
      </x:c>
      <x:c r="F148" s="89" t="str">
        <x:v>累计心得达到75点</x:v>
      </x:c>
      <x:c r="G148" s="89" t="str">
        <x:v>条目ID：dan_shen</x:v>
      </x:c>
      <x:c r="H148" s="89" t="str">
        <x:v>首次查看后标记已读，并解锁对应药材实体</x:v>
      </x:c>
    </x:row>
    <x:row r="149" ht="23" customHeight="1">
      <x:c r="A149" s="102" t="n">
        <x:v>148</x:v>
      </x:c>
      <x:c r="B149" s="102" t="n">
        <x:v>75</x:v>
      </x:c>
      <x:c r="C149" s="103" t="str">
        <x:v>2 依赖级联</x:v>
      </x:c>
      <x:c r="D149" s="103" t="str">
        <x:v>方剂</x:v>
      </x:c>
      <x:c r="E149" s="86" t="str">
        <x:v>天王补心丹</x:v>
      </x:c>
      <x:c r="F149" s="89" t="str">
        <x:v>所含全部药材均已解锁</x:v>
      </x:c>
      <x:c r="G149" s="89" t="str">
        <x:v>标准病证：心阴虚</x:v>
      </x:c>
      <x:c r="H149" s="89" t="str">
        <x:v>自动解锁方剂实体及医书条目</x:v>
      </x:c>
    </x:row>
    <x:row r="150" ht="23" customHeight="1">
      <x:c r="A150" s="102" t="n">
        <x:v>149</x:v>
      </x:c>
      <x:c r="B150" s="102" t="n">
        <x:v>75</x:v>
      </x:c>
      <x:c r="C150" s="103" t="str">
        <x:v>3 依赖级联</x:v>
      </x:c>
      <x:c r="D150" s="103" t="str">
        <x:v>疾病</x:v>
      </x:c>
      <x:c r="E150" s="86" t="str">
        <x:v>心阴虚</x:v>
      </x:c>
      <x:c r="F150" s="89" t="str">
        <x:v>标准方已经解锁</x:v>
      </x:c>
      <x:c r="G150" s="89" t="str">
        <x:v>标准方：天王补心丹</x:v>
      </x:c>
      <x:c r="H150" s="89" t="str">
        <x:v>自动解锁疾病实体及医书条目</x:v>
      </x:c>
    </x:row>
    <x:row r="151" ht="23" customHeight="1">
      <x:c r="A151" s="102" t="n">
        <x:v>150</x:v>
      </x:c>
      <x:c r="B151" s="102" t="n">
        <x:v>76</x:v>
      </x:c>
      <x:c r="C151" s="103" t="str">
        <x:v>1 药材条目</x:v>
      </x:c>
      <x:c r="D151" s="103" t="str">
        <x:v>药材</x:v>
      </x:c>
      <x:c r="E151" s="86" t="str">
        <x:v>黄连</x:v>
      </x:c>
      <x:c r="F151" s="89" t="str">
        <x:v>累计心得达到76点</x:v>
      </x:c>
      <x:c r="G151" s="89" t="str">
        <x:v>条目ID：huang_lian</x:v>
      </x:c>
      <x:c r="H151" s="89" t="str">
        <x:v>首次查看后标记已读，并解锁对应药材实体</x:v>
      </x:c>
    </x:row>
    <x:row r="152" ht="23" customHeight="1">
      <x:c r="A152" s="102" t="n">
        <x:v>151</x:v>
      </x:c>
      <x:c r="B152" s="102" t="n">
        <x:v>76</x:v>
      </x:c>
      <x:c r="C152" s="103" t="str">
        <x:v>2 依赖级联</x:v>
      </x:c>
      <x:c r="D152" s="103" t="str">
        <x:v>方剂</x:v>
      </x:c>
      <x:c r="E152" s="86" t="str">
        <x:v>黄连温胆汤</x:v>
      </x:c>
      <x:c r="F152" s="89" t="str">
        <x:v>所含全部药材均已解锁</x:v>
      </x:c>
      <x:c r="G152" s="89" t="str">
        <x:v>标准病证：痰火扰心</x:v>
      </x:c>
      <x:c r="H152" s="89" t="str">
        <x:v>自动解锁方剂实体及医书条目</x:v>
      </x:c>
    </x:row>
    <x:row r="153" ht="23" customHeight="1">
      <x:c r="A153" s="102" t="n">
        <x:v>152</x:v>
      </x:c>
      <x:c r="B153" s="102" t="n">
        <x:v>76</x:v>
      </x:c>
      <x:c r="C153" s="103" t="str">
        <x:v>3 依赖级联</x:v>
      </x:c>
      <x:c r="D153" s="103" t="str">
        <x:v>疾病</x:v>
      </x:c>
      <x:c r="E153" s="86" t="str">
        <x:v>痰火扰心</x:v>
      </x:c>
      <x:c r="F153" s="89" t="str">
        <x:v>标准方已经解锁</x:v>
      </x:c>
      <x:c r="G153" s="89" t="str">
        <x:v>标准方：黄连温胆汤</x:v>
      </x:c>
      <x:c r="H153" s="89" t="str">
        <x:v>自动解锁疾病实体及医书条目</x:v>
      </x:c>
    </x:row>
    <x:row r="154" ht="23" customHeight="1">
      <x:c r="A154" s="102" t="n">
        <x:v>153</x:v>
      </x:c>
      <x:c r="B154" s="102" t="n">
        <x:v>77</x:v>
      </x:c>
      <x:c r="C154" s="103" t="str">
        <x:v>1 药材条目</x:v>
      </x:c>
      <x:c r="D154" s="103" t="str">
        <x:v>药材</x:v>
      </x:c>
      <x:c r="E154" s="86" t="str">
        <x:v>龙眼</x:v>
      </x:c>
      <x:c r="F154" s="89" t="str">
        <x:v>累计心得达到77点</x:v>
      </x:c>
      <x:c r="G154" s="89" t="str">
        <x:v>条目ID：long_yan</x:v>
      </x:c>
      <x:c r="H154" s="89" t="str">
        <x:v>首次查看后标记已读，并解锁对应药材实体</x:v>
      </x:c>
    </x:row>
    <x:row r="155" ht="23" customHeight="1">
      <x:c r="A155" s="102" t="n">
        <x:v>154</x:v>
      </x:c>
      <x:c r="B155" s="102" t="n">
        <x:v>78</x:v>
      </x:c>
      <x:c r="C155" s="103" t="str">
        <x:v>1 药材条目</x:v>
      </x:c>
      <x:c r="D155" s="103" t="str">
        <x:v>药材</x:v>
      </x:c>
      <x:c r="E155" s="86" t="str">
        <x:v>木香</x:v>
      </x:c>
      <x:c r="F155" s="89" t="str">
        <x:v>累计心得达到78点</x:v>
      </x:c>
      <x:c r="G155" s="89" t="str">
        <x:v>条目ID：mu_xiang</x:v>
      </x:c>
      <x:c r="H155" s="89" t="str">
        <x:v>首次查看后标记已读，并解锁对应药材实体</x:v>
      </x:c>
    </x:row>
    <x:row r="156" ht="23" customHeight="1">
      <x:c r="A156" s="102" t="n">
        <x:v>155</x:v>
      </x:c>
      <x:c r="B156" s="102" t="n">
        <x:v>78</x:v>
      </x:c>
      <x:c r="C156" s="103" t="str">
        <x:v>2 依赖级联</x:v>
      </x:c>
      <x:c r="D156" s="103" t="str">
        <x:v>方剂</x:v>
      </x:c>
      <x:c r="E156" s="86" t="str">
        <x:v>归脾汤</x:v>
      </x:c>
      <x:c r="F156" s="89" t="str">
        <x:v>所含全部药材均已解锁</x:v>
      </x:c>
      <x:c r="G156" s="89" t="str">
        <x:v>标准病证：心脾两虚</x:v>
      </x:c>
      <x:c r="H156" s="89" t="str">
        <x:v>自动解锁方剂实体及医书条目</x:v>
      </x:c>
    </x:row>
    <x:row r="157" ht="23" customHeight="1">
      <x:c r="A157" s="102" t="n">
        <x:v>156</x:v>
      </x:c>
      <x:c r="B157" s="102" t="n">
        <x:v>78</x:v>
      </x:c>
      <x:c r="C157" s="103" t="str">
        <x:v>3 依赖级联</x:v>
      </x:c>
      <x:c r="D157" s="103" t="str">
        <x:v>疾病</x:v>
      </x:c>
      <x:c r="E157" s="86" t="str">
        <x:v>心脾两虚</x:v>
      </x:c>
      <x:c r="F157" s="89" t="str">
        <x:v>标准方已经解锁</x:v>
      </x:c>
      <x:c r="G157" s="89" t="str">
        <x:v>标准方：归脾汤</x:v>
      </x:c>
      <x:c r="H157" s="89" t="str">
        <x:v>自动解锁疾病实体及医书条目</x:v>
      </x:c>
    </x:row>
    <x:row r="158" ht="23" customHeight="1">
      <x:c r="A158" s="102" t="n">
        <x:v>157</x:v>
      </x:c>
      <x:c r="B158" s="102" t="n">
        <x:v>79</x:v>
      </x:c>
      <x:c r="C158" s="103" t="str">
        <x:v>1 药材条目</x:v>
      </x:c>
      <x:c r="D158" s="103" t="str">
        <x:v>药材</x:v>
      </x:c>
      <x:c r="E158" s="86" t="str">
        <x:v>龙胆草</x:v>
      </x:c>
      <x:c r="F158" s="89" t="str">
        <x:v>累计心得达到79点</x:v>
      </x:c>
      <x:c r="G158" s="89" t="str">
        <x:v>条目ID：long_dan_cao</x:v>
      </x:c>
      <x:c r="H158" s="89" t="str">
        <x:v>首次查看后标记已读，并解锁对应药材实体</x:v>
      </x:c>
    </x:row>
    <x:row r="159" ht="23" customHeight="1">
      <x:c r="A159" s="102" t="n">
        <x:v>158</x:v>
      </x:c>
      <x:c r="B159" s="102" t="n">
        <x:v>80</x:v>
      </x:c>
      <x:c r="C159" s="103" t="str">
        <x:v>1 药材条目</x:v>
      </x:c>
      <x:c r="D159" s="103" t="str">
        <x:v>药材</x:v>
      </x:c>
      <x:c r="E159" s="86" t="str">
        <x:v>泽泻</x:v>
      </x:c>
      <x:c r="F159" s="89" t="str">
        <x:v>累计心得达到80点</x:v>
      </x:c>
      <x:c r="G159" s="89" t="str">
        <x:v>条目ID：ze_xie</x:v>
      </x:c>
      <x:c r="H159" s="89" t="str">
        <x:v>首次查看后标记已读，并解锁对应药材实体</x:v>
      </x:c>
    </x:row>
    <x:row r="160" ht="23" customHeight="1">
      <x:c r="A160" s="102" t="n">
        <x:v>159</x:v>
      </x:c>
      <x:c r="B160" s="102" t="n">
        <x:v>81</x:v>
      </x:c>
      <x:c r="C160" s="103" t="str">
        <x:v>1 药材条目</x:v>
      </x:c>
      <x:c r="D160" s="103" t="str">
        <x:v>药材</x:v>
      </x:c>
      <x:c r="E160" s="86" t="str">
        <x:v>车前子</x:v>
      </x:c>
      <x:c r="F160" s="89" t="str">
        <x:v>累计心得达到81点</x:v>
      </x:c>
      <x:c r="G160" s="89" t="str">
        <x:v>条目ID：che_qian_zi</x:v>
      </x:c>
      <x:c r="H160" s="89" t="str">
        <x:v>首次查看后标记已读，并解锁对应药材实体</x:v>
      </x:c>
    </x:row>
    <x:row r="161" ht="23" customHeight="1">
      <x:c r="A161" s="102" t="n">
        <x:v>160</x:v>
      </x:c>
      <x:c r="B161" s="102" t="n">
        <x:v>81</x:v>
      </x:c>
      <x:c r="C161" s="103" t="str">
        <x:v>2 依赖级联</x:v>
      </x:c>
      <x:c r="D161" s="103" t="str">
        <x:v>方剂</x:v>
      </x:c>
      <x:c r="E161" s="86" t="str">
        <x:v>龙胆泻肝汤</x:v>
      </x:c>
      <x:c r="F161" s="89" t="str">
        <x:v>所含全部药材均已解锁</x:v>
      </x:c>
      <x:c r="G161" s="89" t="str">
        <x:v>标准病证：肝火上炎</x:v>
      </x:c>
      <x:c r="H161" s="89" t="str">
        <x:v>自动解锁方剂实体及医书条目</x:v>
      </x:c>
    </x:row>
    <x:row r="162" ht="23" customHeight="1">
      <x:c r="A162" s="102" t="n">
        <x:v>161</x:v>
      </x:c>
      <x:c r="B162" s="102" t="n">
        <x:v>81</x:v>
      </x:c>
      <x:c r="C162" s="103" t="str">
        <x:v>3 依赖级联</x:v>
      </x:c>
      <x:c r="D162" s="103" t="str">
        <x:v>疾病</x:v>
      </x:c>
      <x:c r="E162" s="86" t="str">
        <x:v>肝火上炎</x:v>
      </x:c>
      <x:c r="F162" s="89" t="str">
        <x:v>标准方已经解锁</x:v>
      </x:c>
      <x:c r="G162" s="89" t="str">
        <x:v>标准方：龙胆泻肝汤</x:v>
      </x:c>
      <x:c r="H162" s="89" t="str">
        <x:v>自动解锁疾病实体及医书条目</x:v>
      </x:c>
    </x:row>
    <x:row r="163" ht="23" customHeight="1">
      <x:c r="A163" s="102" t="n">
        <x:v>162</x:v>
      </x:c>
      <x:c r="B163" s="102" t="n">
        <x:v>82</x:v>
      </x:c>
      <x:c r="C163" s="103" t="str">
        <x:v>1 药材条目</x:v>
      </x:c>
      <x:c r="D163" s="103" t="str">
        <x:v>药材</x:v>
      </x:c>
      <x:c r="E163" s="86" t="str">
        <x:v>茴香</x:v>
      </x:c>
      <x:c r="F163" s="89" t="str">
        <x:v>累计心得达到82点</x:v>
      </x:c>
      <x:c r="G163" s="89" t="str">
        <x:v>条目ID：hui_xiang</x:v>
      </x:c>
      <x:c r="H163" s="89" t="str">
        <x:v>首次查看后标记已读，并解锁对应药材实体</x:v>
      </x:c>
    </x:row>
    <x:row r="164" ht="23" customHeight="1">
      <x:c r="A164" s="102" t="n">
        <x:v>163</x:v>
      </x:c>
      <x:c r="B164" s="102" t="n">
        <x:v>83</x:v>
      </x:c>
      <x:c r="C164" s="103" t="str">
        <x:v>1 药材条目</x:v>
      </x:c>
      <x:c r="D164" s="103" t="str">
        <x:v>药材</x:v>
      </x:c>
      <x:c r="E164" s="86" t="str">
        <x:v>枸杞子</x:v>
      </x:c>
      <x:c r="F164" s="89" t="str">
        <x:v>累计心得达到83点</x:v>
      </x:c>
      <x:c r="G164" s="89" t="str">
        <x:v>条目ID：gou_qi_zi</x:v>
      </x:c>
      <x:c r="H164" s="89" t="str">
        <x:v>首次查看后标记已读，并解锁对应药材实体</x:v>
      </x:c>
    </x:row>
    <x:row r="165" ht="23" customHeight="1">
      <x:c r="A165" s="102" t="n">
        <x:v>164</x:v>
      </x:c>
      <x:c r="B165" s="102" t="n">
        <x:v>84</x:v>
      </x:c>
      <x:c r="C165" s="103" t="str">
        <x:v>1 药材条目</x:v>
      </x:c>
      <x:c r="D165" s="103" t="str">
        <x:v>药材</x:v>
      </x:c>
      <x:c r="E165" s="86" t="str">
        <x:v>乌药</x:v>
      </x:c>
      <x:c r="F165" s="89" t="str">
        <x:v>累计心得达到84点</x:v>
      </x:c>
      <x:c r="G165" s="89" t="str">
        <x:v>条目ID：wu_yao</x:v>
      </x:c>
      <x:c r="H165" s="89" t="str">
        <x:v>首次查看后标记已读，并解锁对应药材实体</x:v>
      </x:c>
    </x:row>
    <x:row r="166" ht="23" customHeight="1">
      <x:c r="A166" s="102" t="n">
        <x:v>165</x:v>
      </x:c>
      <x:c r="B166" s="102" t="n">
        <x:v>85</x:v>
      </x:c>
      <x:c r="C166" s="103" t="str">
        <x:v>1 药材条目</x:v>
      </x:c>
      <x:c r="D166" s="103" t="str">
        <x:v>药材</x:v>
      </x:c>
      <x:c r="E166" s="86" t="str">
        <x:v>沉香</x:v>
      </x:c>
      <x:c r="F166" s="89" t="str">
        <x:v>累计心得达到85点</x:v>
      </x:c>
      <x:c r="G166" s="89" t="str">
        <x:v>条目ID：chen_xiang</x:v>
      </x:c>
      <x:c r="H166" s="89" t="str">
        <x:v>首次查看后标记已读，并解锁对应药材实体</x:v>
      </x:c>
    </x:row>
    <x:row r="167" ht="23" customHeight="1">
      <x:c r="A167" s="102" t="n">
        <x:v>166</x:v>
      </x:c>
      <x:c r="B167" s="102" t="n">
        <x:v>85</x:v>
      </x:c>
      <x:c r="C167" s="103" t="str">
        <x:v>2 依赖级联</x:v>
      </x:c>
      <x:c r="D167" s="103" t="str">
        <x:v>方剂</x:v>
      </x:c>
      <x:c r="E167" s="86" t="str">
        <x:v>暖肝煎</x:v>
      </x:c>
      <x:c r="F167" s="89" t="str">
        <x:v>所含全部药材均已解锁</x:v>
      </x:c>
      <x:c r="G167" s="89" t="str">
        <x:v>标准病证：寒滞肝脉</x:v>
      </x:c>
      <x:c r="H167" s="89" t="str">
        <x:v>自动解锁方剂实体及医书条目</x:v>
      </x:c>
    </x:row>
    <x:row r="168" ht="23" customHeight="1">
      <x:c r="A168" s="102" t="n">
        <x:v>167</x:v>
      </x:c>
      <x:c r="B168" s="102" t="n">
        <x:v>85</x:v>
      </x:c>
      <x:c r="C168" s="103" t="str">
        <x:v>3 依赖级联</x:v>
      </x:c>
      <x:c r="D168" s="103" t="str">
        <x:v>疾病</x:v>
      </x:c>
      <x:c r="E168" s="86" t="str">
        <x:v>寒滞肝脉</x:v>
      </x:c>
      <x:c r="F168" s="89" t="str">
        <x:v>标准方已经解锁</x:v>
      </x:c>
      <x:c r="G168" s="89" t="str">
        <x:v>标准方：暖肝煎</x:v>
      </x:c>
      <x:c r="H168" s="89" t="str">
        <x:v>自动解锁疾病实体及医书条目</x:v>
      </x:c>
    </x:row>
    <x:row r="169" ht="23" customHeight="1">
      <x:c r="A169" s="102" t="n">
        <x:v>168</x:v>
      </x:c>
      <x:c r="B169" s="102" t="n">
        <x:v>86</x:v>
      </x:c>
      <x:c r="C169" s="103" t="str">
        <x:v>1 药材条目</x:v>
      </x:c>
      <x:c r="D169" s="103" t="str">
        <x:v>药材</x:v>
      </x:c>
      <x:c r="E169" s="86" t="str">
        <x:v>香附</x:v>
      </x:c>
      <x:c r="F169" s="89" t="str">
        <x:v>累计心得达到86点</x:v>
      </x:c>
      <x:c r="G169" s="89" t="str">
        <x:v>条目ID：xiang_fu</x:v>
      </x:c>
      <x:c r="H169" s="89" t="str">
        <x:v>首次查看后标记已读，并解锁对应药材实体</x:v>
      </x:c>
    </x:row>
    <x:row r="170" ht="23" customHeight="1">
      <x:c r="A170" s="102" t="n">
        <x:v>169</x:v>
      </x:c>
      <x:c r="B170" s="102" t="n">
        <x:v>86</x:v>
      </x:c>
      <x:c r="C170" s="103" t="str">
        <x:v>2 依赖级联</x:v>
      </x:c>
      <x:c r="D170" s="103" t="str">
        <x:v>方剂</x:v>
      </x:c>
      <x:c r="E170" s="86" t="str">
        <x:v>柴胡疏肝散</x:v>
      </x:c>
      <x:c r="F170" s="89" t="str">
        <x:v>所含全部药材均已解锁</x:v>
      </x:c>
      <x:c r="G170" s="89" t="str">
        <x:v>标准病证：肝气郁结</x:v>
      </x:c>
      <x:c r="H170" s="89" t="str">
        <x:v>自动解锁方剂实体及医书条目</x:v>
      </x:c>
    </x:row>
    <x:row r="171" ht="23" customHeight="1">
      <x:c r="A171" s="102" t="n">
        <x:v>170</x:v>
      </x:c>
      <x:c r="B171" s="102" t="n">
        <x:v>86</x:v>
      </x:c>
      <x:c r="C171" s="103" t="str">
        <x:v>3 依赖级联</x:v>
      </x:c>
      <x:c r="D171" s="103" t="str">
        <x:v>疾病</x:v>
      </x:c>
      <x:c r="E171" s="86" t="str">
        <x:v>肝气郁结</x:v>
      </x:c>
      <x:c r="F171" s="89" t="str">
        <x:v>标准方已经解锁</x:v>
      </x:c>
      <x:c r="G171" s="89" t="str">
        <x:v>标准方：柴胡疏肝散</x:v>
      </x:c>
      <x:c r="H171" s="89" t="str">
        <x:v>自动解锁疾病实体及医书条目</x:v>
      </x:c>
    </x:row>
    <x:row r="172" ht="23" customHeight="1">
      <x:c r="A172" s="102" t="n">
        <x:v>171</x:v>
      </x:c>
      <x:c r="B172" s="102" t="n">
        <x:v>87</x:v>
      </x:c>
      <x:c r="C172" s="103" t="str">
        <x:v>1 药材条目</x:v>
      </x:c>
      <x:c r="D172" s="103" t="str">
        <x:v>药材</x:v>
      </x:c>
      <x:c r="E172" s="86" t="str">
        <x:v>五灵脂</x:v>
      </x:c>
      <x:c r="F172" s="89" t="str">
        <x:v>累计心得达到87点</x:v>
      </x:c>
      <x:c r="G172" s="89" t="str">
        <x:v>条目ID：wu_ling_zhi</x:v>
      </x:c>
      <x:c r="H172" s="89" t="str">
        <x:v>首次查看后标记已读，并解锁对应药材实体</x:v>
      </x:c>
    </x:row>
    <x:row r="173" ht="23" customHeight="1">
      <x:c r="A173" s="102" t="n">
        <x:v>172</x:v>
      </x:c>
      <x:c r="B173" s="102" t="n">
        <x:v>88</x:v>
      </x:c>
      <x:c r="C173" s="103" t="str">
        <x:v>1 药材条目</x:v>
      </x:c>
      <x:c r="D173" s="103" t="str">
        <x:v>药材</x:v>
      </x:c>
      <x:c r="E173" s="86" t="str">
        <x:v>丹皮</x:v>
      </x:c>
      <x:c r="F173" s="89" t="str">
        <x:v>累计心得达到88点</x:v>
      </x:c>
      <x:c r="G173" s="89" t="str">
        <x:v>条目ID：dan_pi</x:v>
      </x:c>
      <x:c r="H173" s="89" t="str">
        <x:v>首次查看后标记已读，并解锁对应药材实体</x:v>
      </x:c>
    </x:row>
    <x:row r="174" ht="23" customHeight="1">
      <x:c r="A174" s="102" t="n">
        <x:v>173</x:v>
      </x:c>
      <x:c r="B174" s="102" t="n">
        <x:v>89</x:v>
      </x:c>
      <x:c r="C174" s="103" t="str">
        <x:v>1 药材条目</x:v>
      </x:c>
      <x:c r="D174" s="103" t="str">
        <x:v>药材</x:v>
      </x:c>
      <x:c r="E174" s="86" t="str">
        <x:v>延胡索</x:v>
      </x:c>
      <x:c r="F174" s="89" t="str">
        <x:v>累计心得达到89点</x:v>
      </x:c>
      <x:c r="G174" s="89" t="str">
        <x:v>条目ID：yan_hu_suo</x:v>
      </x:c>
      <x:c r="H174" s="89" t="str">
        <x:v>首次查看后标记已读，并解锁对应药材实体</x:v>
      </x:c>
    </x:row>
    <x:row r="175" ht="23" customHeight="1">
      <x:c r="A175" s="102" t="n">
        <x:v>174</x:v>
      </x:c>
      <x:c r="B175" s="102" t="n">
        <x:v>89</x:v>
      </x:c>
      <x:c r="C175" s="103" t="str">
        <x:v>2 依赖级联</x:v>
      </x:c>
      <x:c r="D175" s="103" t="str">
        <x:v>方剂</x:v>
      </x:c>
      <x:c r="E175" s="86" t="str">
        <x:v>膈下逐瘀汤</x:v>
      </x:c>
      <x:c r="F175" s="89" t="str">
        <x:v>所含全部药材均已解锁</x:v>
      </x:c>
      <x:c r="G175" s="89" t="str">
        <x:v>标准病证：肝血瘀滞</x:v>
      </x:c>
      <x:c r="H175" s="89" t="str">
        <x:v>自动解锁方剂实体及医书条目</x:v>
      </x:c>
    </x:row>
    <x:row r="176" ht="23" customHeight="1">
      <x:c r="A176" s="102" t="n">
        <x:v>175</x:v>
      </x:c>
      <x:c r="B176" s="102" t="n">
        <x:v>89</x:v>
      </x:c>
      <x:c r="C176" s="103" t="str">
        <x:v>3 依赖级联</x:v>
      </x:c>
      <x:c r="D176" s="103" t="str">
        <x:v>疾病</x:v>
      </x:c>
      <x:c r="E176" s="86" t="str">
        <x:v>肝血瘀滞</x:v>
      </x:c>
      <x:c r="F176" s="89" t="str">
        <x:v>标准方已经解锁</x:v>
      </x:c>
      <x:c r="G176" s="89" t="str">
        <x:v>标准方：膈下逐瘀汤</x:v>
      </x:c>
      <x:c r="H176" s="89" t="str">
        <x:v>自动解锁疾病实体及医书条目</x:v>
      </x:c>
    </x:row>
    <x:row r="177" ht="23" customHeight="1">
      <x:c r="A177" s="102" t="n">
        <x:v>176</x:v>
      </x:c>
      <x:c r="B177" s="102" t="n">
        <x:v>90</x:v>
      </x:c>
      <x:c r="C177" s="103" t="str">
        <x:v>1 药材条目</x:v>
      </x:c>
      <x:c r="D177" s="103" t="str">
        <x:v>药材</x:v>
      </x:c>
      <x:c r="E177" s="86" t="str">
        <x:v>川楝子</x:v>
      </x:c>
      <x:c r="F177" s="89" t="str">
        <x:v>累计心得达到90点</x:v>
      </x:c>
      <x:c r="G177" s="89" t="str">
        <x:v>条目ID：chuan_lian_zi</x:v>
      </x:c>
      <x:c r="H177" s="89" t="str">
        <x:v>首次查看后标记已读，并解锁对应药材实体</x:v>
      </x:c>
    </x:row>
    <x:row r="178" ht="23" customHeight="1">
      <x:c r="A178" s="102" t="n">
        <x:v>177</x:v>
      </x:c>
      <x:c r="B178" s="102" t="n">
        <x:v>90</x:v>
      </x:c>
      <x:c r="C178" s="103" t="str">
        <x:v>2 依赖级联</x:v>
      </x:c>
      <x:c r="D178" s="103" t="str">
        <x:v>方剂</x:v>
      </x:c>
      <x:c r="E178" s="86" t="str">
        <x:v>一贯煎</x:v>
      </x:c>
      <x:c r="F178" s="89" t="str">
        <x:v>所含全部药材均已解锁</x:v>
      </x:c>
      <x:c r="G178" s="89" t="str">
        <x:v>标准病证：肝阴虚</x:v>
      </x:c>
      <x:c r="H178" s="89" t="str">
        <x:v>自动解锁方剂实体及医书条目</x:v>
      </x:c>
    </x:row>
    <x:row r="179" ht="23" customHeight="1">
      <x:c r="A179" s="102" t="n">
        <x:v>178</x:v>
      </x:c>
      <x:c r="B179" s="102" t="n">
        <x:v>90</x:v>
      </x:c>
      <x:c r="C179" s="103" t="str">
        <x:v>3 依赖级联</x:v>
      </x:c>
      <x:c r="D179" s="103" t="str">
        <x:v>疾病</x:v>
      </x:c>
      <x:c r="E179" s="86" t="str">
        <x:v>肝阴虚</x:v>
      </x:c>
      <x:c r="F179" s="89" t="str">
        <x:v>标准方已经解锁</x:v>
      </x:c>
      <x:c r="G179" s="89" t="str">
        <x:v>标准方：一贯煎</x:v>
      </x:c>
      <x:c r="H179" s="89" t="str">
        <x:v>自动解锁疾病实体及医书条目</x:v>
      </x:c>
    </x:row>
    <x:row r="180" ht="23" customHeight="1">
      <x:c r="A180" s="102" t="n">
        <x:v>179</x:v>
      </x:c>
      <x:c r="B180" s="102" t="n">
        <x:v>91</x:v>
      </x:c>
      <x:c r="C180" s="103" t="str">
        <x:v>1 药材条目</x:v>
      </x:c>
      <x:c r="D180" s="103" t="str">
        <x:v>药材</x:v>
      </x:c>
      <x:c r="E180" s="86" t="str">
        <x:v>钩藤</x:v>
      </x:c>
      <x:c r="F180" s="89" t="str">
        <x:v>累计心得达到91点</x:v>
      </x:c>
      <x:c r="G180" s="89" t="str">
        <x:v>条目ID：gou_teng</x:v>
      </x:c>
      <x:c r="H180" s="89" t="str">
        <x:v>首次查看后标记已读，并解锁对应药材实体</x:v>
      </x:c>
    </x:row>
    <x:row r="181" ht="23" customHeight="1">
      <x:c r="A181" s="102" t="n">
        <x:v>180</x:v>
      </x:c>
      <x:c r="B181" s="102" t="n">
        <x:v>92</x:v>
      </x:c>
      <x:c r="C181" s="103" t="str">
        <x:v>1 药材条目</x:v>
      </x:c>
      <x:c r="D181" s="103" t="str">
        <x:v>药材</x:v>
      </x:c>
      <x:c r="E181" s="86" t="str">
        <x:v>菊花</x:v>
      </x:c>
      <x:c r="F181" s="89" t="str">
        <x:v>累计心得达到92点</x:v>
      </x:c>
      <x:c r="G181" s="89" t="str">
        <x:v>条目ID：ju_hua</x:v>
      </x:c>
      <x:c r="H181" s="89" t="str">
        <x:v>首次查看后标记已读，并解锁对应药材实体</x:v>
      </x:c>
    </x:row>
    <x:row r="182" ht="23" customHeight="1">
      <x:c r="A182" s="102" t="n">
        <x:v>181</x:v>
      </x:c>
      <x:c r="B182" s="102" t="n">
        <x:v>92</x:v>
      </x:c>
      <x:c r="C182" s="103" t="str">
        <x:v>2 依赖级联</x:v>
      </x:c>
      <x:c r="D182" s="103" t="str">
        <x:v>方剂</x:v>
      </x:c>
      <x:c r="E182" s="86" t="str">
        <x:v>钩藤散</x:v>
      </x:c>
      <x:c r="F182" s="89" t="str">
        <x:v>所含全部药材均已解锁</x:v>
      </x:c>
      <x:c r="G182" s="89" t="str">
        <x:v>标准病证：肝阳上亢</x:v>
      </x:c>
      <x:c r="H182" s="89" t="str">
        <x:v>自动解锁方剂实体及医书条目</x:v>
      </x:c>
    </x:row>
    <x:row r="183" ht="23" customHeight="1">
      <x:c r="A183" s="102" t="n">
        <x:v>182</x:v>
      </x:c>
      <x:c r="B183" s="102" t="n">
        <x:v>92</x:v>
      </x:c>
      <x:c r="C183" s="103" t="str">
        <x:v>3 依赖级联</x:v>
      </x:c>
      <x:c r="D183" s="103" t="str">
        <x:v>疾病</x:v>
      </x:c>
      <x:c r="E183" s="86" t="str">
        <x:v>肝阳上亢</x:v>
      </x:c>
      <x:c r="F183" s="89" t="str">
        <x:v>标准方已经解锁</x:v>
      </x:c>
      <x:c r="G183" s="89" t="str">
        <x:v>标准方：钩藤散</x:v>
      </x:c>
      <x:c r="H183" s="89" t="str">
        <x:v>自动解锁疾病实体及医书条目</x:v>
      </x:c>
    </x:row>
    <x:row r="184" ht="23" customHeight="1">
      <x:c r="A184" s="102" t="n">
        <x:v>183</x:v>
      </x:c>
      <x:c r="B184" s="102" t="n">
        <x:v>93</x:v>
      </x:c>
      <x:c r="C184" s="103" t="str">
        <x:v>1 药材条目</x:v>
      </x:c>
      <x:c r="D184" s="103" t="str">
        <x:v>药材</x:v>
      </x:c>
      <x:c r="E184" s="86" t="str">
        <x:v>蛤蚧</x:v>
      </x:c>
      <x:c r="F184" s="89" t="str">
        <x:v>累计心得达到93点</x:v>
      </x:c>
      <x:c r="G184" s="89" t="str">
        <x:v>条目ID：ge_jie</x:v>
      </x:c>
      <x:c r="H184" s="89" t="str">
        <x:v>首次查看后标记已读，并解锁对应药材实体</x:v>
      </x:c>
    </x:row>
    <x:row r="185" ht="23" customHeight="1">
      <x:c r="A185" s="102" t="n">
        <x:v>184</x:v>
      </x:c>
      <x:c r="B185" s="102" t="n">
        <x:v>93</x:v>
      </x:c>
      <x:c r="C185" s="103" t="str">
        <x:v>2 依赖级联</x:v>
      </x:c>
      <x:c r="D185" s="103" t="str">
        <x:v>方剂</x:v>
      </x:c>
      <x:c r="E185" s="86" t="str">
        <x:v>人参蛤蚧散</x:v>
      </x:c>
      <x:c r="F185" s="89" t="str">
        <x:v>所含全部药材均已解锁</x:v>
      </x:c>
      <x:c r="G185" s="89" t="str">
        <x:v>标准病证：肾不纳气</x:v>
      </x:c>
      <x:c r="H185" s="89" t="str">
        <x:v>自动解锁方剂实体及医书条目</x:v>
      </x:c>
    </x:row>
    <x:row r="186" ht="23" customHeight="1">
      <x:c r="A186" s="102" t="n">
        <x:v>185</x:v>
      </x:c>
      <x:c r="B186" s="102" t="n">
        <x:v>93</x:v>
      </x:c>
      <x:c r="C186" s="103" t="str">
        <x:v>3 依赖级联</x:v>
      </x:c>
      <x:c r="D186" s="103" t="str">
        <x:v>疾病</x:v>
      </x:c>
      <x:c r="E186" s="86" t="str">
        <x:v>肾不纳气</x:v>
      </x:c>
      <x:c r="F186" s="89" t="str">
        <x:v>标准方已经解锁</x:v>
      </x:c>
      <x:c r="G186" s="89" t="str">
        <x:v>标准方：人参蛤蚧散</x:v>
      </x:c>
      <x:c r="H186" s="89" t="str">
        <x:v>自动解锁疾病实体及医书条目</x:v>
      </x:c>
    </x:row>
    <x:row r="187" ht="23" customHeight="1">
      <x:c r="A187" s="102" t="n">
        <x:v>186</x:v>
      </x:c>
      <x:c r="B187" s="102" t="n">
        <x:v>94</x:v>
      </x:c>
      <x:c r="C187" s="103" t="str">
        <x:v>1 药材条目</x:v>
      </x:c>
      <x:c r="D187" s="103" t="str">
        <x:v>药材</x:v>
      </x:c>
      <x:c r="E187" s="86" t="str">
        <x:v>山茱萸</x:v>
      </x:c>
      <x:c r="F187" s="89" t="str">
        <x:v>累计心得达到94点</x:v>
      </x:c>
      <x:c r="G187" s="89" t="str">
        <x:v>条目ID：shan_zhu_yu</x:v>
      </x:c>
      <x:c r="H187" s="89" t="str">
        <x:v>首次查看后标记已读，并解锁对应药材实体</x:v>
      </x:c>
    </x:row>
    <x:row r="188" ht="23" customHeight="1">
      <x:c r="A188" s="102" t="n">
        <x:v>187</x:v>
      </x:c>
      <x:c r="B188" s="102" t="n">
        <x:v>94</x:v>
      </x:c>
      <x:c r="C188" s="103" t="str">
        <x:v>2 依赖级联</x:v>
      </x:c>
      <x:c r="D188" s="103" t="str">
        <x:v>方剂</x:v>
      </x:c>
      <x:c r="E188" s="86" t="str">
        <x:v>六味地黄丸</x:v>
      </x:c>
      <x:c r="F188" s="89" t="str">
        <x:v>所含全部药材均已解锁</x:v>
      </x:c>
      <x:c r="G188" s="89" t="str">
        <x:v>标准病证：肾阴虚</x:v>
      </x:c>
      <x:c r="H188" s="89" t="str">
        <x:v>自动解锁方剂实体及医书条目</x:v>
      </x:c>
    </x:row>
    <x:row r="189" ht="23" customHeight="1">
      <x:c r="A189" s="102" t="n">
        <x:v>188</x:v>
      </x:c>
      <x:c r="B189" s="102" t="n">
        <x:v>94</x:v>
      </x:c>
      <x:c r="C189" s="103" t="str">
        <x:v>3 依赖级联</x:v>
      </x:c>
      <x:c r="D189" s="103" t="str">
        <x:v>疾病</x:v>
      </x:c>
      <x:c r="E189" s="86" t="str">
        <x:v>肾阴虚</x:v>
      </x:c>
      <x:c r="F189" s="89" t="str">
        <x:v>标准方已经解锁</x:v>
      </x:c>
      <x:c r="G189" s="89" t="str">
        <x:v>标准方：六味地黄丸</x:v>
      </x:c>
      <x:c r="H189" s="89" t="str">
        <x:v>自动解锁疾病实体及医书条目</x:v>
      </x:c>
    </x:row>
    <x:row r="190" ht="23" customHeight="1">
      <x:c r="A190" s="102" t="n">
        <x:v>189</x:v>
      </x:c>
      <x:c r="B190" s="102" t="n">
        <x:v>95</x:v>
      </x:c>
      <x:c r="C190" s="103" t="str">
        <x:v>1 药材条目</x:v>
      </x:c>
      <x:c r="D190" s="103" t="str">
        <x:v>药材</x:v>
      </x:c>
      <x:c r="E190" s="86" t="str">
        <x:v>附子</x:v>
      </x:c>
      <x:c r="F190" s="89" t="str">
        <x:v>累计心得达到95点</x:v>
      </x:c>
      <x:c r="G190" s="89" t="str">
        <x:v>条目ID：fu_zi</x:v>
      </x:c>
      <x:c r="H190" s="89" t="str">
        <x:v>首次查看后标记已读，并解锁对应药材实体</x:v>
      </x:c>
    </x:row>
    <x:row r="191" ht="23" customHeight="1">
      <x:c r="A191" s="102" t="n">
        <x:v>190</x:v>
      </x:c>
      <x:c r="B191" s="102" t="n">
        <x:v>95</x:v>
      </x:c>
      <x:c r="C191" s="103" t="str">
        <x:v>2 依赖级联</x:v>
      </x:c>
      <x:c r="D191" s="103" t="str">
        <x:v>方剂</x:v>
      </x:c>
      <x:c r="E191" s="86" t="str">
        <x:v>金匮肾气丸</x:v>
      </x:c>
      <x:c r="F191" s="89" t="str">
        <x:v>所含全部药材均已解锁</x:v>
      </x:c>
      <x:c r="G191" s="89" t="str">
        <x:v>标准病证：肾阳虚</x:v>
      </x:c>
      <x:c r="H191" s="89" t="str">
        <x:v>自动解锁方剂实体及医书条目</x:v>
      </x:c>
    </x:row>
    <x:row r="192" ht="23" customHeight="1">
      <x:c r="A192" s="102" t="n">
        <x:v>191</x:v>
      </x:c>
      <x:c r="B192" s="102" t="n">
        <x:v>95</x:v>
      </x:c>
      <x:c r="C192" s="103" t="str">
        <x:v>2 依赖级联</x:v>
      </x:c>
      <x:c r="D192" s="103" t="str">
        <x:v>方剂</x:v>
      </x:c>
      <x:c r="E192" s="86" t="str">
        <x:v>真武汤</x:v>
      </x:c>
      <x:c r="F192" s="89" t="str">
        <x:v>所含全部药材均已解锁</x:v>
      </x:c>
      <x:c r="G192" s="89" t="str">
        <x:v>标准病证：肾虚水泛</x:v>
      </x:c>
      <x:c r="H192" s="89" t="str">
        <x:v>自动解锁方剂实体及医书条目</x:v>
      </x:c>
    </x:row>
    <x:row r="193" ht="23" customHeight="1">
      <x:c r="A193" s="102" t="n">
        <x:v>192</x:v>
      </x:c>
      <x:c r="B193" s="102" t="n">
        <x:v>95</x:v>
      </x:c>
      <x:c r="C193" s="103" t="str">
        <x:v>3 依赖级联</x:v>
      </x:c>
      <x:c r="D193" s="103" t="str">
        <x:v>疾病</x:v>
      </x:c>
      <x:c r="E193" s="86" t="str">
        <x:v>肾阳虚</x:v>
      </x:c>
      <x:c r="F193" s="89" t="str">
        <x:v>标准方已经解锁</x:v>
      </x:c>
      <x:c r="G193" s="89" t="str">
        <x:v>标准方：金匮肾气丸</x:v>
      </x:c>
      <x:c r="H193" s="89" t="str">
        <x:v>自动解锁疾病实体及医书条目</x:v>
      </x:c>
    </x:row>
    <x:row r="194" ht="23" customHeight="1">
      <x:c r="A194" s="102" t="n">
        <x:v>193</x:v>
      </x:c>
      <x:c r="B194" s="102" t="n">
        <x:v>95</x:v>
      </x:c>
      <x:c r="C194" s="103" t="str">
        <x:v>3 依赖级联</x:v>
      </x:c>
      <x:c r="D194" s="103" t="str">
        <x:v>疾病</x:v>
      </x:c>
      <x:c r="E194" s="86" t="str">
        <x:v>肾虚水泛</x:v>
      </x:c>
      <x:c r="F194" s="89" t="str">
        <x:v>标准方已经解锁</x:v>
      </x:c>
      <x:c r="G194" s="89" t="str">
        <x:v>标准方：真武汤</x:v>
      </x:c>
      <x:c r="H194" s="89" t="str">
        <x:v>自动解锁疾病实体及医书条目</x:v>
      </x:c>
    </x:row>
    <x:row r="195" ht="23" customHeight="1">
      <x:c r="A195" s="102" t="n">
        <x:v>194</x:v>
      </x:c>
      <x:c r="B195" s="102" t="n">
        <x:v>96</x:v>
      </x:c>
      <x:c r="C195" s="103" t="str">
        <x:v>1 药材条目</x:v>
      </x:c>
      <x:c r="D195" s="103" t="str">
        <x:v>药材</x:v>
      </x:c>
      <x:c r="E195" s="86" t="str">
        <x:v>龟板胶</x:v>
      </x:c>
      <x:c r="F195" s="89" t="str">
        <x:v>累计心得达到96点</x:v>
      </x:c>
      <x:c r="G195" s="89" t="str">
        <x:v>条目ID：gui_ban_jiao</x:v>
      </x:c>
      <x:c r="H195" s="89" t="str">
        <x:v>首次查看后标记已读，并解锁对应药材实体</x:v>
      </x:c>
    </x:row>
    <x:row r="196" ht="23" customHeight="1">
      <x:c r="A196" s="102" t="n">
        <x:v>195</x:v>
      </x:c>
      <x:c r="B196" s="102" t="n">
        <x:v>97</x:v>
      </x:c>
      <x:c r="C196" s="103" t="str">
        <x:v>1 药材条目</x:v>
      </x:c>
      <x:c r="D196" s="103" t="str">
        <x:v>药材</x:v>
      </x:c>
      <x:c r="E196" s="86" t="str">
        <x:v>鹿角胶</x:v>
      </x:c>
      <x:c r="F196" s="89" t="str">
        <x:v>累计心得达到97点</x:v>
      </x:c>
      <x:c r="G196" s="89" t="str">
        <x:v>条目ID：lu_jiao_jiao</x:v>
      </x:c>
      <x:c r="H196" s="89" t="str">
        <x:v>首次查看后标记已读，并解锁对应药材实体</x:v>
      </x:c>
    </x:row>
    <x:row r="197" ht="23" customHeight="1">
      <x:c r="A197" s="102" t="n">
        <x:v>196</x:v>
      </x:c>
      <x:c r="B197" s="102" t="n">
        <x:v>98</x:v>
      </x:c>
      <x:c r="C197" s="103" t="str">
        <x:v>1 药材条目</x:v>
      </x:c>
      <x:c r="D197" s="103" t="str">
        <x:v>药材</x:v>
      </x:c>
      <x:c r="E197" s="86" t="str">
        <x:v>菟丝子</x:v>
      </x:c>
      <x:c r="F197" s="89" t="str">
        <x:v>累计心得达到98点</x:v>
      </x:c>
      <x:c r="G197" s="89" t="str">
        <x:v>条目ID：tu_si_zi</x:v>
      </x:c>
      <x:c r="H197" s="89" t="str">
        <x:v>首次查看后标记已读，并解锁对应药材实体</x:v>
      </x:c>
    </x:row>
    <x:row r="198" ht="23" customHeight="1">
      <x:c r="A198" s="102" t="n">
        <x:v>197</x:v>
      </x:c>
      <x:c r="B198" s="102" t="n">
        <x:v>98</x:v>
      </x:c>
      <x:c r="C198" s="103" t="str">
        <x:v>2 依赖级联</x:v>
      </x:c>
      <x:c r="D198" s="103" t="str">
        <x:v>方剂</x:v>
      </x:c>
      <x:c r="E198" s="86" t="str">
        <x:v>左归丸</x:v>
      </x:c>
      <x:c r="F198" s="89" t="str">
        <x:v>所含全部药材均已解锁</x:v>
      </x:c>
      <x:c r="G198" s="89" t="str">
        <x:v>标准病证：肾精不足</x:v>
      </x:c>
      <x:c r="H198" s="89" t="str">
        <x:v>自动解锁方剂实体及医书条目</x:v>
      </x:c>
    </x:row>
    <x:row r="199" ht="23" customHeight="1">
      <x:c r="A199" s="102" t="n">
        <x:v>198</x:v>
      </x:c>
      <x:c r="B199" s="102" t="n">
        <x:v>98</x:v>
      </x:c>
      <x:c r="C199" s="103" t="str">
        <x:v>3 依赖级联</x:v>
      </x:c>
      <x:c r="D199" s="103" t="str">
        <x:v>疾病</x:v>
      </x:c>
      <x:c r="E199" s="86" t="str">
        <x:v>肾精不足</x:v>
      </x:c>
      <x:c r="F199" s="89" t="str">
        <x:v>标准方已经解锁</x:v>
      </x:c>
      <x:c r="G199" s="89" t="str">
        <x:v>标准方：左归丸</x:v>
      </x:c>
      <x:c r="H199" s="89" t="str">
        <x:v>自动解锁疾病实体及医书条目</x:v>
      </x:c>
    </x:row>
    <x:row r="200" ht="23" customHeight="1">
      <x:c r="A200" s="102" t="n">
        <x:v>199</x:v>
      </x:c>
      <x:c r="B200" s="102" t="n">
        <x:v>99</x:v>
      </x:c>
      <x:c r="C200" s="103" t="str">
        <x:v>1 药材条目</x:v>
      </x:c>
      <x:c r="D200" s="103" t="str">
        <x:v>药材</x:v>
      </x:c>
      <x:c r="E200" s="86" t="str">
        <x:v>沙苑子</x:v>
      </x:c>
      <x:c r="F200" s="89" t="str">
        <x:v>累计心得达到99点</x:v>
      </x:c>
      <x:c r="G200" s="89" t="str">
        <x:v>条目ID：sha_yuan_zi</x:v>
      </x:c>
      <x:c r="H200" s="89" t="str">
        <x:v>首次查看后标记已读，并解锁对应药材实体</x:v>
      </x:c>
    </x:row>
    <x:row r="201" ht="23" customHeight="1">
      <x:c r="A201" s="102" t="n">
        <x:v>200</x:v>
      </x:c>
      <x:c r="B201" s="102" t="n">
        <x:v>100</x:v>
      </x:c>
      <x:c r="C201" s="103" t="str">
        <x:v>1 药材条目</x:v>
      </x:c>
      <x:c r="D201" s="103" t="str">
        <x:v>药材</x:v>
      </x:c>
      <x:c r="E201" s="86" t="str">
        <x:v>芡实</x:v>
      </x:c>
      <x:c r="F201" s="89" t="str">
        <x:v>累计心得达到100点</x:v>
      </x:c>
      <x:c r="G201" s="89" t="str">
        <x:v>条目ID：qian_shi</x:v>
      </x:c>
      <x:c r="H201" s="89" t="str">
        <x:v>首次查看后标记已读，并解锁对应药材实体</x:v>
      </x:c>
    </x:row>
    <x:row r="202" ht="23" customHeight="1">
      <x:c r="A202" s="102" t="n">
        <x:v>201</x:v>
      </x:c>
      <x:c r="B202" s="102" t="n">
        <x:v>101</x:v>
      </x:c>
      <x:c r="C202" s="103" t="str">
        <x:v>1 药材条目</x:v>
      </x:c>
      <x:c r="D202" s="103" t="str">
        <x:v>药材</x:v>
      </x:c>
      <x:c r="E202" s="86" t="str">
        <x:v>龙骨</x:v>
      </x:c>
      <x:c r="F202" s="89" t="str">
        <x:v>累计心得达到101点</x:v>
      </x:c>
      <x:c r="G202" s="89" t="str">
        <x:v>条目ID：long_gu</x:v>
      </x:c>
      <x:c r="H202" s="89" t="str">
        <x:v>首次查看后标记已读，并解锁对应药材实体</x:v>
      </x:c>
    </x:row>
    <x:row r="203" ht="23" customHeight="1">
      <x:c r="A203" s="102" t="n">
        <x:v>202</x:v>
      </x:c>
      <x:c r="B203" s="102" t="n">
        <x:v>102</x:v>
      </x:c>
      <x:c r="C203" s="103" t="str">
        <x:v>1 药材条目</x:v>
      </x:c>
      <x:c r="D203" s="103" t="str">
        <x:v>药材</x:v>
      </x:c>
      <x:c r="E203" s="86" t="str">
        <x:v>牡蛎</x:v>
      </x:c>
      <x:c r="F203" s="89" t="str">
        <x:v>累计心得达到102点</x:v>
      </x:c>
      <x:c r="G203" s="89" t="str">
        <x:v>条目ID：mu_li</x:v>
      </x:c>
      <x:c r="H203" s="89" t="str">
        <x:v>首次查看后标记已读，并解锁对应药材实体</x:v>
      </x:c>
    </x:row>
    <x:row r="204" ht="23" customHeight="1">
      <x:c r="A204" s="102" t="n">
        <x:v>203</x:v>
      </x:c>
      <x:c r="B204" s="102" t="n">
        <x:v>103</x:v>
      </x:c>
      <x:c r="C204" s="103" t="str">
        <x:v>1 药材条目</x:v>
      </x:c>
      <x:c r="D204" s="103" t="str">
        <x:v>药材</x:v>
      </x:c>
      <x:c r="E204" s="86" t="str">
        <x:v>莲须</x:v>
      </x:c>
      <x:c r="F204" s="89" t="str">
        <x:v>累计心得达到103点</x:v>
      </x:c>
      <x:c r="G204" s="89" t="str">
        <x:v>条目ID：lian_xu</x:v>
      </x:c>
      <x:c r="H204" s="89" t="str">
        <x:v>首次查看后标记已读，并解锁对应药材实体</x:v>
      </x:c>
    </x:row>
    <x:row r="205" ht="23" customHeight="1">
      <x:c r="A205" s="102" t="n">
        <x:v>204</x:v>
      </x:c>
      <x:c r="B205" s="102" t="n">
        <x:v>103</x:v>
      </x:c>
      <x:c r="C205" s="103" t="str">
        <x:v>2 依赖级联</x:v>
      </x:c>
      <x:c r="D205" s="103" t="str">
        <x:v>方剂</x:v>
      </x:c>
      <x:c r="E205" s="86" t="str">
        <x:v>金锁固精丸</x:v>
      </x:c>
      <x:c r="F205" s="89" t="str">
        <x:v>所含全部药材均已解锁</x:v>
      </x:c>
      <x:c r="G205" s="89" t="str">
        <x:v>标准病证：肾气不固</x:v>
      </x:c>
      <x:c r="H205" s="89" t="str">
        <x:v>自动解锁方剂实体及医书条目</x:v>
      </x:c>
    </x:row>
    <x:row r="206" ht="23" customHeight="1">
      <x:c r="A206" s="102" t="n">
        <x:v>205</x:v>
      </x:c>
      <x:c r="B206" s="102" t="n">
        <x:v>103</x:v>
      </x:c>
      <x:c r="C206" s="103" t="str">
        <x:v>3 依赖级联</x:v>
      </x:c>
      <x:c r="D206" s="103" t="str">
        <x:v>疾病</x:v>
      </x:c>
      <x:c r="E206" s="86" t="str">
        <x:v>肾气不固</x:v>
      </x:c>
      <x:c r="F206" s="89" t="str">
        <x:v>标准方已经解锁</x:v>
      </x:c>
      <x:c r="G206" s="89" t="str">
        <x:v>标准方：金锁固精丸</x:v>
      </x:c>
      <x:c r="H206" s="89" t="str">
        <x:v>自动解锁疾病实体及医书条目</x:v>
      </x:c>
    </x:row>
    <x:row r="207" ht="23" customHeight="1">
      <x:c r="A207" s="102" t="n">
        <x:v>206</x:v>
      </x:c>
      <x:c r="B207" s="102" t="n">
        <x:v>104</x:v>
      </x:c>
      <x:c r="C207" s="103" t="str">
        <x:v>1 药材条目</x:v>
      </x:c>
      <x:c r="D207" s="103" t="str">
        <x:v>药材</x:v>
      </x:c>
      <x:c r="E207" s="86" t="str">
        <x:v>续断</x:v>
      </x:c>
      <x:c r="F207" s="89" t="str">
        <x:v>累计心得达到104点</x:v>
      </x:c>
      <x:c r="G207" s="89" t="str">
        <x:v>条目ID：xu_duan</x:v>
      </x:c>
      <x:c r="H207" s="89" t="str">
        <x:v>首次查看后标记已读，并解锁对应药材实体</x:v>
      </x:c>
    </x:row>
    <x:row r="208" ht="23" customHeight="1">
      <x:c r="A208" s="102" t="n">
        <x:v>207</x:v>
      </x:c>
      <x:c r="B208" s="102" t="n">
        <x:v>105</x:v>
      </x:c>
      <x:c r="C208" s="103" t="str">
        <x:v>1 药材条目</x:v>
      </x:c>
      <x:c r="D208" s="103" t="str">
        <x:v>药材</x:v>
      </x:c>
      <x:c r="E208" s="86" t="str">
        <x:v>糯米</x:v>
      </x:c>
      <x:c r="F208" s="89" t="str">
        <x:v>累计心得达到105点</x:v>
      </x:c>
      <x:c r="G208" s="89" t="str">
        <x:v>条目ID：nuo_mi</x:v>
      </x:c>
      <x:c r="H208" s="89" t="str">
        <x:v>首次查看后标记已读，并解锁对应药材实体</x:v>
      </x:c>
    </x:row>
    <x:row r="209" ht="23" customHeight="1">
      <x:c r="A209" s="102" t="n">
        <x:v>208</x:v>
      </x:c>
      <x:c r="B209" s="102" t="n">
        <x:v>105</x:v>
      </x:c>
      <x:c r="C209" s="103" t="str">
        <x:v>2 依赖级联</x:v>
      </x:c>
      <x:c r="D209" s="103" t="str">
        <x:v>方剂</x:v>
      </x:c>
      <x:c r="E209" s="86" t="str">
        <x:v>泰山磐石散</x:v>
      </x:c>
      <x:c r="F209" s="89" t="str">
        <x:v>所含全部药材均已解锁</x:v>
      </x:c>
      <x:c r="G209" s="89" t="str">
        <x:v>标准病证：妊娠</x:v>
      </x:c>
      <x:c r="H209" s="89" t="str">
        <x:v>自动解锁方剂实体及医书条目</x:v>
      </x:c>
    </x:row>
    <x:row r="210" ht="23" customHeight="1">
      <x:c r="A210" s="102" t="n">
        <x:v>209</x:v>
      </x:c>
      <x:c r="B210" s="102" t="n">
        <x:v>105</x:v>
      </x:c>
      <x:c r="C210" s="103" t="str">
        <x:v>3 依赖级联</x:v>
      </x:c>
      <x:c r="D210" s="103" t="str">
        <x:v>疾病</x:v>
      </x:c>
      <x:c r="E210" s="86" t="str">
        <x:v>妊娠</x:v>
      </x:c>
      <x:c r="F210" s="89" t="str">
        <x:v>标准方已经解锁</x:v>
      </x:c>
      <x:c r="G210" s="89" t="str">
        <x:v>标准方：泰山磐石散</x:v>
      </x:c>
      <x:c r="H210" s="89" t="str">
        <x:v>自动解锁疾病实体及医书条目</x:v>
      </x:c>
    </x:row>
    <x:row r="211" ht="23" customHeight="1">
      <x:c r="A211" s="102" t="n">
        <x:v>210</x:v>
      </x:c>
      <x:c r="B211" s="102" t="n">
        <x:v>106</x:v>
      </x:c>
      <x:c r="C211" s="103" t="str">
        <x:v>1 药材条目</x:v>
      </x:c>
      <x:c r="D211" s="103" t="str">
        <x:v>药材</x:v>
      </x:c>
      <x:c r="E211" s="86" t="str">
        <x:v>阿胶</x:v>
      </x:c>
      <x:c r="F211" s="89" t="str">
        <x:v>累计心得达到106点</x:v>
      </x:c>
      <x:c r="G211" s="89" t="str">
        <x:v>条目ID：e_jiao</x:v>
      </x:c>
      <x:c r="H211" s="89" t="str">
        <x:v>首次查看后标记已读，并解锁对应药材实体</x:v>
      </x:c>
    </x:row>
    <x:row r="212" ht="23" customHeight="1">
      <x:c r="A212" s="102" t="n">
        <x:v>211</x:v>
      </x:c>
      <x:c r="B212" s="102" t="n">
        <x:v>107</x:v>
      </x:c>
      <x:c r="C212" s="103" t="str">
        <x:v>1 药材条目</x:v>
      </x:c>
      <x:c r="D212" s="103" t="str">
        <x:v>药材</x:v>
      </x:c>
      <x:c r="E212" s="86" t="str">
        <x:v>鸡子黄</x:v>
      </x:c>
      <x:c r="F212" s="89" t="str">
        <x:v>累计心得达到107点</x:v>
      </x:c>
      <x:c r="G212" s="89" t="str">
        <x:v>条目ID：ji_zi_huang</x:v>
      </x:c>
      <x:c r="H212" s="89" t="str">
        <x:v>首次查看后标记已读，并解锁对应药材实体</x:v>
      </x:c>
    </x:row>
    <x:row r="213" ht="23" customHeight="1">
      <x:c r="A213" s="102" t="n">
        <x:v>212</x:v>
      </x:c>
      <x:c r="B213" s="102" t="n">
        <x:v>107</x:v>
      </x:c>
      <x:c r="C213" s="103" t="str">
        <x:v>2 依赖级联</x:v>
      </x:c>
      <x:c r="D213" s="103" t="str">
        <x:v>方剂</x:v>
      </x:c>
      <x:c r="E213" s="86" t="str">
        <x:v>黄连阿胶汤</x:v>
      </x:c>
      <x:c r="F213" s="89" t="str">
        <x:v>所含全部药材均已解锁</x:v>
      </x:c>
      <x:c r="G213" s="89" t="str">
        <x:v>标准病证：心肾不交</x:v>
      </x:c>
      <x:c r="H213" s="89" t="str">
        <x:v>自动解锁方剂实体及医书条目</x:v>
      </x:c>
    </x:row>
    <x:row r="214" ht="23" customHeight="1">
      <x:c r="A214" s="104" t="n">
        <x:v>213</x:v>
      </x:c>
      <x:c r="B214" s="104" t="n">
        <x:v>107</x:v>
      </x:c>
      <x:c r="C214" s="105" t="str">
        <x:v>3 依赖级联</x:v>
      </x:c>
      <x:c r="D214" s="105" t="str">
        <x:v>疾病</x:v>
      </x:c>
      <x:c r="E214" s="98" t="str">
        <x:v>心肾不交</x:v>
      </x:c>
      <x:c r="F214" s="93" t="str">
        <x:v>标准方已经解锁</x:v>
      </x:c>
      <x:c r="G214" s="93" t="str">
        <x:v>标准方：黄连阿胶汤</x:v>
      </x:c>
      <x:c r="H214" s="93" t="str">
        <x:v>自动解锁疾病实体及医书条目</x:v>
      </x:c>
    </x:row>
  </x:sheetData>
  <x:conditionalFormatting sqref="A2:H214">
    <x:cfRule type="expression" dxfId="0" priority="1">
      <x:formula>$D2="药材"</x:formula>
    </x:cfRule>
    <x:cfRule type="expression" dxfId="1" priority="2">
      <x:formula>$D2="方剂"</x:formula>
    </x:cfRule>
    <x:cfRule type="expression" dxfId="2" priority="3">
      <x:formula>$D2="疾病"</x:formula>
    </x:cfRule>
    <x:cfRule type="expression" dxfId="3" priority="4">
      <x:formula>$D2="理论"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c4b97778b8140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24" hidden="0" customWidth="1"/>
    <x:col min="5" max="5" width="24" hidden="0" customWidth="1"/>
  </x:cols>
  <x:sheetData>
    <x:row r="1" ht="22" customHeight="1">
      <x:c r="A1" s="79" t="str">
        <x:v>药材序号</x:v>
      </x:c>
      <x:c r="B1" s="80" t="str">
        <x:v>累计心得</x:v>
      </x:c>
      <x:c r="C1" s="80" t="str">
        <x:v>药材条目</x:v>
      </x:c>
      <x:c r="D1" s="80" t="str">
        <x:v>条目ID</x:v>
      </x:c>
      <x:c r="E1" s="81" t="str">
        <x:v>解锁方式</x:v>
      </x:c>
    </x:row>
    <x:row r="2" ht="22" customHeight="1">
      <x:c r="A2" s="100" t="n">
        <x:v>1</x:v>
      </x:c>
      <x:c r="B2" s="100" t="n">
        <x:v>0</x:v>
      </x:c>
      <x:c r="C2" s="82" t="str">
        <x:v>麻黄</x:v>
      </x:c>
      <x:c r="D2" s="82" t="str">
        <x:v>ma_huang</x:v>
      </x:c>
      <x:c r="E2" s="82" t="str">
        <x:v>初始自动解锁</x:v>
      </x:c>
    </x:row>
    <x:row r="3" ht="22" customHeight="1">
      <x:c r="A3" s="102" t="n">
        <x:v>2</x:v>
      </x:c>
      <x:c r="B3" s="102" t="n">
        <x:v>0</x:v>
      </x:c>
      <x:c r="C3" s="86" t="str">
        <x:v>桂枝</x:v>
      </x:c>
      <x:c r="D3" s="86" t="str">
        <x:v>gui_zhi</x:v>
      </x:c>
      <x:c r="E3" s="86" t="str">
        <x:v>初始自动解锁</x:v>
      </x:c>
    </x:row>
    <x:row r="4" ht="22" customHeight="1">
      <x:c r="A4" s="102" t="n">
        <x:v>3</x:v>
      </x:c>
      <x:c r="B4" s="102" t="n">
        <x:v>0</x:v>
      </x:c>
      <x:c r="C4" s="86" t="str">
        <x:v>杏仁</x:v>
      </x:c>
      <x:c r="D4" s="86" t="str">
        <x:v>xing_ren</x:v>
      </x:c>
      <x:c r="E4" s="86" t="str">
        <x:v>初始自动解锁</x:v>
      </x:c>
    </x:row>
    <x:row r="5" ht="22" customHeight="1">
      <x:c r="A5" s="102" t="n">
        <x:v>4</x:v>
      </x:c>
      <x:c r="B5" s="102" t="n">
        <x:v>0</x:v>
      </x:c>
      <x:c r="C5" s="86" t="str">
        <x:v>甘草</x:v>
      </x:c>
      <x:c r="D5" s="86" t="str">
        <x:v>gan_cao</x:v>
      </x:c>
      <x:c r="E5" s="86" t="str">
        <x:v>初始自动解锁</x:v>
      </x:c>
    </x:row>
    <x:row r="6" ht="22" customHeight="1">
      <x:c r="A6" s="102" t="n">
        <x:v>5</x:v>
      </x:c>
      <x:c r="B6" s="102" t="n">
        <x:v>0</x:v>
      </x:c>
      <x:c r="C6" s="86" t="str">
        <x:v>白芍</x:v>
      </x:c>
      <x:c r="D6" s="86" t="str">
        <x:v>bai_shao</x:v>
      </x:c>
      <x:c r="E6" s="86" t="str">
        <x:v>初始自动解锁</x:v>
      </x:c>
    </x:row>
    <x:row r="7" ht="22" customHeight="1">
      <x:c r="A7" s="102" t="n">
        <x:v>6</x:v>
      </x:c>
      <x:c r="B7" s="102" t="n">
        <x:v>0</x:v>
      </x:c>
      <x:c r="C7" s="86" t="str">
        <x:v>生姜</x:v>
      </x:c>
      <x:c r="D7" s="86" t="str">
        <x:v>sheng_jiang</x:v>
      </x:c>
      <x:c r="E7" s="86" t="str">
        <x:v>初始自动解锁</x:v>
      </x:c>
    </x:row>
    <x:row r="8" ht="22" customHeight="1">
      <x:c r="A8" s="102" t="n">
        <x:v>7</x:v>
      </x:c>
      <x:c r="B8" s="102" t="n">
        <x:v>0</x:v>
      </x:c>
      <x:c r="C8" s="86" t="str">
        <x:v>大枣</x:v>
      </x:c>
      <x:c r="D8" s="86" t="str">
        <x:v>da_zao</x:v>
      </x:c>
      <x:c r="E8" s="86" t="str">
        <x:v>初始自动解锁</x:v>
      </x:c>
    </x:row>
    <x:row r="9" ht="22" customHeight="1">
      <x:c r="A9" s="102" t="n">
        <x:v>8</x:v>
      </x:c>
      <x:c r="B9" s="102" t="n">
        <x:v>1</x:v>
      </x:c>
      <x:c r="C9" s="86" t="str">
        <x:v>金银花</x:v>
      </x:c>
      <x:c r="D9" s="86" t="str">
        <x:v>jin_yin_hua</x:v>
      </x:c>
      <x:c r="E9" s="86" t="str">
        <x:v>累计心得达到1点</x:v>
      </x:c>
    </x:row>
    <x:row r="10" ht="22" customHeight="1">
      <x:c r="A10" s="102" t="n">
        <x:v>9</x:v>
      </x:c>
      <x:c r="B10" s="102" t="n">
        <x:v>2</x:v>
      </x:c>
      <x:c r="C10" s="86" t="str">
        <x:v>连翘</x:v>
      </x:c>
      <x:c r="D10" s="86" t="str">
        <x:v>lian_qiao</x:v>
      </x:c>
      <x:c r="E10" s="86" t="str">
        <x:v>累计心得达到2点</x:v>
      </x:c>
    </x:row>
    <x:row r="11" ht="22" customHeight="1">
      <x:c r="A11" s="102" t="n">
        <x:v>10</x:v>
      </x:c>
      <x:c r="B11" s="102" t="n">
        <x:v>3</x:v>
      </x:c>
      <x:c r="C11" s="86" t="str">
        <x:v>牛蒡子</x:v>
      </x:c>
      <x:c r="D11" s="86" t="str">
        <x:v>niu_bang_zi</x:v>
      </x:c>
      <x:c r="E11" s="86" t="str">
        <x:v>累计心得达到3点</x:v>
      </x:c>
    </x:row>
    <x:row r="12" ht="22" customHeight="1">
      <x:c r="A12" s="102" t="n">
        <x:v>11</x:v>
      </x:c>
      <x:c r="B12" s="102" t="n">
        <x:v>4</x:v>
      </x:c>
      <x:c r="C12" s="86" t="str">
        <x:v>荆芥</x:v>
      </x:c>
      <x:c r="D12" s="86" t="str">
        <x:v>jing_jie</x:v>
      </x:c>
      <x:c r="E12" s="86" t="str">
        <x:v>累计心得达到4点</x:v>
      </x:c>
    </x:row>
    <x:row r="13" ht="22" customHeight="1">
      <x:c r="A13" s="102" t="n">
        <x:v>12</x:v>
      </x:c>
      <x:c r="B13" s="102" t="n">
        <x:v>5</x:v>
      </x:c>
      <x:c r="C13" s="86" t="str">
        <x:v>薄荷</x:v>
      </x:c>
      <x:c r="D13" s="86" t="str">
        <x:v>bo_he</x:v>
      </x:c>
      <x:c r="E13" s="86" t="str">
        <x:v>累计心得达到5点</x:v>
      </x:c>
    </x:row>
    <x:row r="14" ht="22" customHeight="1">
      <x:c r="A14" s="102" t="n">
        <x:v>13</x:v>
      </x:c>
      <x:c r="B14" s="102" t="n">
        <x:v>6</x:v>
      </x:c>
      <x:c r="C14" s="86" t="str">
        <x:v>淡豆豉</x:v>
      </x:c>
      <x:c r="D14" s="86" t="str">
        <x:v>dan_dou_chi</x:v>
      </x:c>
      <x:c r="E14" s="86" t="str">
        <x:v>累计心得达到6点</x:v>
      </x:c>
    </x:row>
    <x:row r="15" ht="22" customHeight="1">
      <x:c r="A15" s="102" t="n">
        <x:v>14</x:v>
      </x:c>
      <x:c r="B15" s="102" t="n">
        <x:v>7</x:v>
      </x:c>
      <x:c r="C15" s="86" t="str">
        <x:v>桔梗</x:v>
      </x:c>
      <x:c r="D15" s="86" t="str">
        <x:v>jie_geng</x:v>
      </x:c>
      <x:c r="E15" s="86" t="str">
        <x:v>累计心得达到7点</x:v>
      </x:c>
    </x:row>
    <x:row r="16" ht="22" customHeight="1">
      <x:c r="A16" s="102" t="n">
        <x:v>15</x:v>
      </x:c>
      <x:c r="B16" s="102" t="n">
        <x:v>8</x:v>
      </x:c>
      <x:c r="C16" s="86" t="str">
        <x:v>芦根</x:v>
      </x:c>
      <x:c r="D16" s="86" t="str">
        <x:v>lu_gen</x:v>
      </x:c>
      <x:c r="E16" s="86" t="str">
        <x:v>累计心得达到8点</x:v>
      </x:c>
    </x:row>
    <x:row r="17" ht="22" customHeight="1">
      <x:c r="A17" s="102" t="n">
        <x:v>16</x:v>
      </x:c>
      <x:c r="B17" s="102" t="n">
        <x:v>9</x:v>
      </x:c>
      <x:c r="C17" s="86" t="str">
        <x:v>竹叶</x:v>
      </x:c>
      <x:c r="D17" s="86" t="str">
        <x:v>zhu_ye</x:v>
      </x:c>
      <x:c r="E17" s="86" t="str">
        <x:v>累计心得达到9点</x:v>
      </x:c>
    </x:row>
    <x:row r="18" ht="22" customHeight="1">
      <x:c r="A18" s="102" t="n">
        <x:v>17</x:v>
      </x:c>
      <x:c r="B18" s="102" t="n">
        <x:v>10</x:v>
      </x:c>
      <x:c r="C18" s="86" t="str">
        <x:v>桑叶</x:v>
      </x:c>
      <x:c r="D18" s="86" t="str">
        <x:v>sang_ye</x:v>
      </x:c>
      <x:c r="E18" s="86" t="str">
        <x:v>累计心得达到10点</x:v>
      </x:c>
    </x:row>
    <x:row r="19" ht="22" customHeight="1">
      <x:c r="A19" s="102" t="n">
        <x:v>18</x:v>
      </x:c>
      <x:c r="B19" s="102" t="n">
        <x:v>11</x:v>
      </x:c>
      <x:c r="C19" s="86" t="str">
        <x:v>沙参</x:v>
      </x:c>
      <x:c r="D19" s="86" t="str">
        <x:v>sha_shen</x:v>
      </x:c>
      <x:c r="E19" s="86" t="str">
        <x:v>累计心得达到11点</x:v>
      </x:c>
    </x:row>
    <x:row r="20" ht="22" customHeight="1">
      <x:c r="A20" s="102" t="n">
        <x:v>19</x:v>
      </x:c>
      <x:c r="B20" s="102" t="n">
        <x:v>12</x:v>
      </x:c>
      <x:c r="C20" s="86" t="str">
        <x:v>贝母</x:v>
      </x:c>
      <x:c r="D20" s="86" t="str">
        <x:v>bei_mu</x:v>
      </x:c>
      <x:c r="E20" s="86" t="str">
        <x:v>累计心得达到12点</x:v>
      </x:c>
    </x:row>
    <x:row r="21" ht="22" customHeight="1">
      <x:c r="A21" s="102" t="n">
        <x:v>20</x:v>
      </x:c>
      <x:c r="B21" s="102" t="n">
        <x:v>13</x:v>
      </x:c>
      <x:c r="C21" s="86" t="str">
        <x:v>栀子</x:v>
      </x:c>
      <x:c r="D21" s="86" t="str">
        <x:v>zhi_zi</x:v>
      </x:c>
      <x:c r="E21" s="86" t="str">
        <x:v>累计心得达到13点</x:v>
      </x:c>
    </x:row>
    <x:row r="22" ht="22" customHeight="1">
      <x:c r="A22" s="102" t="n">
        <x:v>21</x:v>
      </x:c>
      <x:c r="B22" s="102" t="n">
        <x:v>14</x:v>
      </x:c>
      <x:c r="C22" s="86" t="str">
        <x:v>梨皮</x:v>
      </x:c>
      <x:c r="D22" s="86" t="str">
        <x:v>li_pi</x:v>
      </x:c>
      <x:c r="E22" s="86" t="str">
        <x:v>累计心得达到14点</x:v>
      </x:c>
    </x:row>
    <x:row r="23" ht="22" customHeight="1">
      <x:c r="A23" s="102" t="n">
        <x:v>22</x:v>
      </x:c>
      <x:c r="B23" s="102" t="n">
        <x:v>15</x:v>
      </x:c>
      <x:c r="C23" s="86" t="str">
        <x:v>苏叶</x:v>
      </x:c>
      <x:c r="D23" s="86" t="str">
        <x:v>su_ye</x:v>
      </x:c>
      <x:c r="E23" s="86" t="str">
        <x:v>累计心得达到15点</x:v>
      </x:c>
    </x:row>
    <x:row r="24" ht="22" customHeight="1">
      <x:c r="A24" s="102" t="n">
        <x:v>23</x:v>
      </x:c>
      <x:c r="B24" s="102" t="n">
        <x:v>16</x:v>
      </x:c>
      <x:c r="C24" s="86" t="str">
        <x:v>半夏</x:v>
      </x:c>
      <x:c r="D24" s="86" t="str">
        <x:v>ban_xia</x:v>
      </x:c>
      <x:c r="E24" s="86" t="str">
        <x:v>累计心得达到16点</x:v>
      </x:c>
    </x:row>
    <x:row r="25" ht="22" customHeight="1">
      <x:c r="A25" s="102" t="n">
        <x:v>24</x:v>
      </x:c>
      <x:c r="B25" s="102" t="n">
        <x:v>17</x:v>
      </x:c>
      <x:c r="C25" s="86" t="str">
        <x:v>前胡</x:v>
      </x:c>
      <x:c r="D25" s="86" t="str">
        <x:v>qian_hu</x:v>
      </x:c>
      <x:c r="E25" s="86" t="str">
        <x:v>累计心得达到17点</x:v>
      </x:c>
    </x:row>
    <x:row r="26" ht="22" customHeight="1">
      <x:c r="A26" s="102" t="n">
        <x:v>25</x:v>
      </x:c>
      <x:c r="B26" s="102" t="n">
        <x:v>18</x:v>
      </x:c>
      <x:c r="C26" s="86" t="str">
        <x:v>陈皮</x:v>
      </x:c>
      <x:c r="D26" s="86" t="str">
        <x:v>chen_pi</x:v>
      </x:c>
      <x:c r="E26" s="86" t="str">
        <x:v>累计心得达到18点</x:v>
      </x:c>
    </x:row>
    <x:row r="27" ht="22" customHeight="1">
      <x:c r="A27" s="102" t="n">
        <x:v>26</x:v>
      </x:c>
      <x:c r="B27" s="102" t="n">
        <x:v>19</x:v>
      </x:c>
      <x:c r="C27" s="86" t="str">
        <x:v>茯苓</x:v>
      </x:c>
      <x:c r="D27" s="86" t="str">
        <x:v>fu_ling</x:v>
      </x:c>
      <x:c r="E27" s="86" t="str">
        <x:v>累计心得达到19点</x:v>
      </x:c>
    </x:row>
    <x:row r="28" ht="22" customHeight="1">
      <x:c r="A28" s="102" t="n">
        <x:v>27</x:v>
      </x:c>
      <x:c r="B28" s="102" t="n">
        <x:v>20</x:v>
      </x:c>
      <x:c r="C28" s="86" t="str">
        <x:v>枳壳</x:v>
      </x:c>
      <x:c r="D28" s="86" t="str">
        <x:v>zhi_ke</x:v>
      </x:c>
      <x:c r="E28" s="86" t="str">
        <x:v>累计心得达到20点</x:v>
      </x:c>
    </x:row>
    <x:row r="29" ht="22" customHeight="1">
      <x:c r="A29" s="102" t="n">
        <x:v>28</x:v>
      </x:c>
      <x:c r="B29" s="102" t="n">
        <x:v>21</x:v>
      </x:c>
      <x:c r="C29" s="86" t="str">
        <x:v>黄芪</x:v>
      </x:c>
      <x:c r="D29" s="86" t="str">
        <x:v>huang_qi</x:v>
      </x:c>
      <x:c r="E29" s="86" t="str">
        <x:v>累计心得达到21点</x:v>
      </x:c>
    </x:row>
    <x:row r="30" ht="22" customHeight="1">
      <x:c r="A30" s="102" t="n">
        <x:v>29</x:v>
      </x:c>
      <x:c r="B30" s="102" t="n">
        <x:v>22</x:v>
      </x:c>
      <x:c r="C30" s="86" t="str">
        <x:v>白术</x:v>
      </x:c>
      <x:c r="D30" s="86" t="str">
        <x:v>bai_zhu</x:v>
      </x:c>
      <x:c r="E30" s="86" t="str">
        <x:v>累计心得达到22点</x:v>
      </x:c>
    </x:row>
    <x:row r="31" ht="22" customHeight="1">
      <x:c r="A31" s="102" t="n">
        <x:v>30</x:v>
      </x:c>
      <x:c r="B31" s="102" t="n">
        <x:v>23</x:v>
      </x:c>
      <x:c r="C31" s="86" t="str">
        <x:v>防风</x:v>
      </x:c>
      <x:c r="D31" s="86" t="str">
        <x:v>fang_feng</x:v>
      </x:c>
      <x:c r="E31" s="86" t="str">
        <x:v>累计心得达到23点</x:v>
      </x:c>
    </x:row>
    <x:row r="32" ht="22" customHeight="1">
      <x:c r="A32" s="102" t="n">
        <x:v>31</x:v>
      </x:c>
      <x:c r="B32" s="102" t="n">
        <x:v>24</x:v>
      </x:c>
      <x:c r="C32" s="86" t="str">
        <x:v>乌头</x:v>
      </x:c>
      <x:c r="D32" s="86" t="str">
        <x:v>wu_tou</x:v>
      </x:c>
      <x:c r="E32" s="86" t="str">
        <x:v>累计心得达到24点</x:v>
      </x:c>
    </x:row>
    <x:row r="33" ht="22" customHeight="1">
      <x:c r="A33" s="102" t="n">
        <x:v>32</x:v>
      </x:c>
      <x:c r="B33" s="102" t="n">
        <x:v>25</x:v>
      </x:c>
      <x:c r="C33" s="86" t="str">
        <x:v>蜂蜜</x:v>
      </x:c>
      <x:c r="D33" s="86" t="str">
        <x:v>feng_mi</x:v>
      </x:c>
      <x:c r="E33" s="86" t="str">
        <x:v>累计心得达到25点</x:v>
      </x:c>
    </x:row>
    <x:row r="34" ht="22" customHeight="1">
      <x:c r="A34" s="102" t="n">
        <x:v>33</x:v>
      </x:c>
      <x:c r="B34" s="102" t="n">
        <x:v>26</x:v>
      </x:c>
      <x:c r="C34" s="86" t="str">
        <x:v>石膏</x:v>
      </x:c>
      <x:c r="D34" s="86" t="str">
        <x:v>shi_gao</x:v>
      </x:c>
      <x:c r="E34" s="86" t="str">
        <x:v>累计心得达到26点</x:v>
      </x:c>
    </x:row>
    <x:row r="35" ht="22" customHeight="1">
      <x:c r="A35" s="102" t="n">
        <x:v>34</x:v>
      </x:c>
      <x:c r="B35" s="102" t="n">
        <x:v>27</x:v>
      </x:c>
      <x:c r="C35" s="86" t="str">
        <x:v>知母</x:v>
      </x:c>
      <x:c r="D35" s="86" t="str">
        <x:v>zhi_mu</x:v>
      </x:c>
      <x:c r="E35" s="86" t="str">
        <x:v>累计心得达到27点</x:v>
      </x:c>
    </x:row>
    <x:row r="36" ht="22" customHeight="1">
      <x:c r="A36" s="102" t="n">
        <x:v>35</x:v>
      </x:c>
      <x:c r="B36" s="102" t="n">
        <x:v>28</x:v>
      </x:c>
      <x:c r="C36" s="86" t="str">
        <x:v>粳米</x:v>
      </x:c>
      <x:c r="D36" s="86" t="str">
        <x:v>jing_mi</x:v>
      </x:c>
      <x:c r="E36" s="86" t="str">
        <x:v>累计心得达到28点</x:v>
      </x:c>
    </x:row>
    <x:row r="37" ht="22" customHeight="1">
      <x:c r="A37" s="102" t="n">
        <x:v>36</x:v>
      </x:c>
      <x:c r="B37" s="102" t="n">
        <x:v>29</x:v>
      </x:c>
      <x:c r="C37" s="86" t="str">
        <x:v>薏苡仁</x:v>
      </x:c>
      <x:c r="D37" s="86" t="str">
        <x:v>yi_yi_ren</x:v>
      </x:c>
      <x:c r="E37" s="86" t="str">
        <x:v>累计心得达到29点</x:v>
      </x:c>
    </x:row>
    <x:row r="38" ht="22" customHeight="1">
      <x:c r="A38" s="102" t="n">
        <x:v>37</x:v>
      </x:c>
      <x:c r="B38" s="102" t="n">
        <x:v>30</x:v>
      </x:c>
      <x:c r="C38" s="86" t="str">
        <x:v>羌活</x:v>
      </x:c>
      <x:c r="D38" s="86" t="str">
        <x:v>qiang_huo</x:v>
      </x:c>
      <x:c r="E38" s="86" t="str">
        <x:v>累计心得达到30点</x:v>
      </x:c>
    </x:row>
    <x:row r="39" ht="22" customHeight="1">
      <x:c r="A39" s="102" t="n">
        <x:v>38</x:v>
      </x:c>
      <x:c r="B39" s="102" t="n">
        <x:v>31</x:v>
      </x:c>
      <x:c r="C39" s="86" t="str">
        <x:v>独活</x:v>
      </x:c>
      <x:c r="D39" s="86" t="str">
        <x:v>du_huo</x:v>
      </x:c>
      <x:c r="E39" s="86" t="str">
        <x:v>累计心得达到31点</x:v>
      </x:c>
    </x:row>
    <x:row r="40" ht="22" customHeight="1">
      <x:c r="A40" s="102" t="n">
        <x:v>39</x:v>
      </x:c>
      <x:c r="B40" s="102" t="n">
        <x:v>32</x:v>
      </x:c>
      <x:c r="C40" s="86" t="str">
        <x:v>当归</x:v>
      </x:c>
      <x:c r="D40" s="86" t="str">
        <x:v>dang_gui</x:v>
      </x:c>
      <x:c r="E40" s="86" t="str">
        <x:v>累计心得达到32点</x:v>
      </x:c>
    </x:row>
    <x:row r="41" ht="22" customHeight="1">
      <x:c r="A41" s="102" t="n">
        <x:v>40</x:v>
      </x:c>
      <x:c r="B41" s="102" t="n">
        <x:v>33</x:v>
      </x:c>
      <x:c r="C41" s="86" t="str">
        <x:v>川芎</x:v>
      </x:c>
      <x:c r="D41" s="86" t="str">
        <x:v>chuan_xiong</x:v>
      </x:c>
      <x:c r="E41" s="86" t="str">
        <x:v>累计心得达到33点</x:v>
      </x:c>
    </x:row>
    <x:row r="42" ht="22" customHeight="1">
      <x:c r="A42" s="102" t="n">
        <x:v>41</x:v>
      </x:c>
      <x:c r="B42" s="102" t="n">
        <x:v>34</x:v>
      </x:c>
      <x:c r="C42" s="86" t="str">
        <x:v>秦艽</x:v>
      </x:c>
      <x:c r="D42" s="86" t="str">
        <x:v>qin_jiao</x:v>
      </x:c>
      <x:c r="E42" s="86" t="str">
        <x:v>累计心得达到34点</x:v>
      </x:c>
    </x:row>
    <x:row r="43" ht="22" customHeight="1">
      <x:c r="A43" s="102" t="n">
        <x:v>42</x:v>
      </x:c>
      <x:c r="B43" s="102" t="n">
        <x:v>35</x:v>
      </x:c>
      <x:c r="C43" s="86" t="str">
        <x:v>葛根</x:v>
      </x:c>
      <x:c r="D43" s="86" t="str">
        <x:v>ge_gen</x:v>
      </x:c>
      <x:c r="E43" s="86" t="str">
        <x:v>累计心得达到35点</x:v>
      </x:c>
    </x:row>
    <x:row r="44" ht="22" customHeight="1">
      <x:c r="A44" s="102" t="n">
        <x:v>43</x:v>
      </x:c>
      <x:c r="B44" s="102" t="n">
        <x:v>36</x:v>
      </x:c>
      <x:c r="C44" s="86" t="str">
        <x:v>人参</x:v>
      </x:c>
      <x:c r="D44" s="86" t="str">
        <x:v>ren_shen</x:v>
      </x:c>
      <x:c r="E44" s="86" t="str">
        <x:v>累计心得达到36点</x:v>
      </x:c>
    </x:row>
    <x:row r="45" ht="22" customHeight="1">
      <x:c r="A45" s="102" t="n">
        <x:v>44</x:v>
      </x:c>
      <x:c r="B45" s="102" t="n">
        <x:v>37</x:v>
      </x:c>
      <x:c r="C45" s="86" t="str">
        <x:v>熟地黄</x:v>
      </x:c>
      <x:c r="D45" s="86" t="str">
        <x:v>shu_di_huang</x:v>
      </x:c>
      <x:c r="E45" s="86" t="str">
        <x:v>累计心得达到37点</x:v>
      </x:c>
    </x:row>
    <x:row r="46" ht="22" customHeight="1">
      <x:c r="A46" s="102" t="n">
        <x:v>45</x:v>
      </x:c>
      <x:c r="B46" s="102" t="n">
        <x:v>38</x:v>
      </x:c>
      <x:c r="C46" s="86" t="str">
        <x:v>五味子</x:v>
      </x:c>
      <x:c r="D46" s="86" t="str">
        <x:v>wu_wei_zi</x:v>
      </x:c>
      <x:c r="E46" s="86" t="str">
        <x:v>累计心得达到38点</x:v>
      </x:c>
    </x:row>
    <x:row r="47" ht="22" customHeight="1">
      <x:c r="A47" s="102" t="n">
        <x:v>46</x:v>
      </x:c>
      <x:c r="B47" s="102" t="n">
        <x:v>39</x:v>
      </x:c>
      <x:c r="C47" s="86" t="str">
        <x:v>紫菀</x:v>
      </x:c>
      <x:c r="D47" s="86" t="str">
        <x:v>zi_wan</x:v>
      </x:c>
      <x:c r="E47" s="86" t="str">
        <x:v>累计心得达到39点</x:v>
      </x:c>
    </x:row>
    <x:row r="48" ht="22" customHeight="1">
      <x:c r="A48" s="102" t="n">
        <x:v>47</x:v>
      </x:c>
      <x:c r="B48" s="102" t="n">
        <x:v>40</x:v>
      </x:c>
      <x:c r="C48" s="86" t="str">
        <x:v>桑白皮</x:v>
      </x:c>
      <x:c r="D48" s="86" t="str">
        <x:v>sang_bai_pi</x:v>
      </x:c>
      <x:c r="E48" s="86" t="str">
        <x:v>累计心得达到40点</x:v>
      </x:c>
    </x:row>
    <x:row r="49" ht="22" customHeight="1">
      <x:c r="A49" s="102" t="n">
        <x:v>48</x:v>
      </x:c>
      <x:c r="B49" s="102" t="n">
        <x:v>41</x:v>
      </x:c>
      <x:c r="C49" s="86" t="str">
        <x:v>麦门冬</x:v>
      </x:c>
      <x:c r="D49" s="86" t="str">
        <x:v>mai_men_dong</x:v>
      </x:c>
      <x:c r="E49" s="86" t="str">
        <x:v>累计心得达到41点</x:v>
      </x:c>
    </x:row>
    <x:row r="50" ht="22" customHeight="1">
      <x:c r="A50" s="102" t="n">
        <x:v>49</x:v>
      </x:c>
      <x:c r="B50" s="102" t="n">
        <x:v>42</x:v>
      </x:c>
      <x:c r="C50" s="86" t="str">
        <x:v>玉竹</x:v>
      </x:c>
      <x:c r="D50" s="86" t="str">
        <x:v>yu_zhu</x:v>
      </x:c>
      <x:c r="E50" s="86" t="str">
        <x:v>累计心得达到42点</x:v>
      </x:c>
    </x:row>
    <x:row r="51" ht="22" customHeight="1">
      <x:c r="A51" s="102" t="n">
        <x:v>50</x:v>
      </x:c>
      <x:c r="B51" s="102" t="n">
        <x:v>43</x:v>
      </x:c>
      <x:c r="C51" s="86" t="str">
        <x:v>天花粉</x:v>
      </x:c>
      <x:c r="D51" s="86" t="str">
        <x:v>tian_hua_fen</x:v>
      </x:c>
      <x:c r="E51" s="86" t="str">
        <x:v>累计心得达到43点</x:v>
      </x:c>
    </x:row>
    <x:row r="52" ht="22" customHeight="1">
      <x:c r="A52" s="102" t="n">
        <x:v>51</x:v>
      </x:c>
      <x:c r="B52" s="102" t="n">
        <x:v>44</x:v>
      </x:c>
      <x:c r="C52" s="86" t="str">
        <x:v>扁豆</x:v>
      </x:c>
      <x:c r="D52" s="86" t="str">
        <x:v>bian_dou</x:v>
      </x:c>
      <x:c r="E52" s="86" t="str">
        <x:v>累计心得达到44点</x:v>
      </x:c>
    </x:row>
    <x:row r="53" ht="22" customHeight="1">
      <x:c r="A53" s="102" t="n">
        <x:v>52</x:v>
      </x:c>
      <x:c r="B53" s="102" t="n">
        <x:v>45</x:v>
      </x:c>
      <x:c r="C53" s="86" t="str">
        <x:v>胆南星</x:v>
      </x:c>
      <x:c r="D53" s="86" t="str">
        <x:v>dan_nan_xing</x:v>
      </x:c>
      <x:c r="E53" s="86" t="str">
        <x:v>累计心得达到45点</x:v>
      </x:c>
    </x:row>
    <x:row r="54" ht="22" customHeight="1">
      <x:c r="A54" s="102" t="n">
        <x:v>53</x:v>
      </x:c>
      <x:c r="B54" s="102" t="n">
        <x:v>46</x:v>
      </x:c>
      <x:c r="C54" s="86" t="str">
        <x:v>瓜蒌仁</x:v>
      </x:c>
      <x:c r="D54" s="86" t="str">
        <x:v>gua_lou_ren</x:v>
      </x:c>
      <x:c r="E54" s="86" t="str">
        <x:v>累计心得达到46点</x:v>
      </x:c>
    </x:row>
    <x:row r="55" ht="22" customHeight="1">
      <x:c r="A55" s="102" t="n">
        <x:v>54</x:v>
      </x:c>
      <x:c r="B55" s="102" t="n">
        <x:v>47</x:v>
      </x:c>
      <x:c r="C55" s="86" t="str">
        <x:v>黄芩</x:v>
      </x:c>
      <x:c r="D55" s="86" t="str">
        <x:v>huang_qin</x:v>
      </x:c>
      <x:c r="E55" s="86" t="str">
        <x:v>累计心得达到47点</x:v>
      </x:c>
    </x:row>
    <x:row r="56" ht="22" customHeight="1">
      <x:c r="A56" s="102" t="n">
        <x:v>55</x:v>
      </x:c>
      <x:c r="B56" s="102" t="n">
        <x:v>48</x:v>
      </x:c>
      <x:c r="C56" s="86" t="str">
        <x:v>枳实</x:v>
      </x:c>
      <x:c r="D56" s="86" t="str">
        <x:v>zhi_shi</x:v>
      </x:c>
      <x:c r="E56" s="86" t="str">
        <x:v>累计心得达到48点</x:v>
      </x:c>
    </x:row>
    <x:row r="57" ht="22" customHeight="1">
      <x:c r="A57" s="102" t="n">
        <x:v>56</x:v>
      </x:c>
      <x:c r="B57" s="102" t="n">
        <x:v>49</x:v>
      </x:c>
      <x:c r="C57" s="86" t="str">
        <x:v>干姜</x:v>
      </x:c>
      <x:c r="D57" s="86" t="str">
        <x:v>gan_jiang</x:v>
      </x:c>
      <x:c r="E57" s="86" t="str">
        <x:v>累计心得达到49点</x:v>
      </x:c>
    </x:row>
    <x:row r="58" ht="22" customHeight="1">
      <x:c r="A58" s="102" t="n">
        <x:v>57</x:v>
      </x:c>
      <x:c r="B58" s="102" t="n">
        <x:v>50</x:v>
      </x:c>
      <x:c r="C58" s="86" t="str">
        <x:v>细辛</x:v>
      </x:c>
      <x:c r="D58" s="86" t="str">
        <x:v>xi_xin</x:v>
      </x:c>
      <x:c r="E58" s="86" t="str">
        <x:v>累计心得达到50点</x:v>
      </x:c>
    </x:row>
    <x:row r="59" ht="22" customHeight="1">
      <x:c r="A59" s="102" t="n">
        <x:v>58</x:v>
      </x:c>
      <x:c r="B59" s="102" t="n">
        <x:v>51</x:v>
      </x:c>
      <x:c r="C59" s="86" t="str">
        <x:v>苍术</x:v>
      </x:c>
      <x:c r="D59" s="86" t="str">
        <x:v>cang_zhu</x:v>
      </x:c>
      <x:c r="E59" s="86" t="str">
        <x:v>累计心得达到51点</x:v>
      </x:c>
    </x:row>
    <x:row r="60" ht="22" customHeight="1">
      <x:c r="A60" s="102" t="n">
        <x:v>59</x:v>
      </x:c>
      <x:c r="B60" s="102" t="n">
        <x:v>52</x:v>
      </x:c>
      <x:c r="C60" s="86" t="str">
        <x:v>厚朴</x:v>
      </x:c>
      <x:c r="D60" s="86" t="str">
        <x:v>hou_po</x:v>
      </x:c>
      <x:c r="E60" s="86" t="str">
        <x:v>累计心得达到52点</x:v>
      </x:c>
    </x:row>
    <x:row r="61" ht="22" customHeight="1">
      <x:c r="A61" s="102" t="n">
        <x:v>60</x:v>
      </x:c>
      <x:c r="B61" s="102" t="n">
        <x:v>53</x:v>
      </x:c>
      <x:c r="C61" s="86" t="str">
        <x:v>山药</x:v>
      </x:c>
      <x:c r="D61" s="86" t="str">
        <x:v>shan_yao</x:v>
      </x:c>
      <x:c r="E61" s="86" t="str">
        <x:v>累计心得达到53点</x:v>
      </x:c>
    </x:row>
    <x:row r="62" ht="22" customHeight="1">
      <x:c r="A62" s="102" t="n">
        <x:v>61</x:v>
      </x:c>
      <x:c r="B62" s="102" t="n">
        <x:v>54</x:v>
      </x:c>
      <x:c r="C62" s="86" t="str">
        <x:v>莲子</x:v>
      </x:c>
      <x:c r="D62" s="86" t="str">
        <x:v>lian_zi</x:v>
      </x:c>
      <x:c r="E62" s="86" t="str">
        <x:v>累计心得达到54点</x:v>
      </x:c>
    </x:row>
    <x:row r="63" ht="22" customHeight="1">
      <x:c r="A63" s="102" t="n">
        <x:v>62</x:v>
      </x:c>
      <x:c r="B63" s="102" t="n">
        <x:v>55</x:v>
      </x:c>
      <x:c r="C63" s="86" t="str">
        <x:v>砂仁</x:v>
      </x:c>
      <x:c r="D63" s="86" t="str">
        <x:v>sha_ren</x:v>
      </x:c>
      <x:c r="E63" s="86" t="str">
        <x:v>累计心得达到55点</x:v>
      </x:c>
    </x:row>
    <x:row r="64" ht="22" customHeight="1">
      <x:c r="A64" s="102" t="n">
        <x:v>63</x:v>
      </x:c>
      <x:c r="B64" s="102" t="n">
        <x:v>56</x:v>
      </x:c>
      <x:c r="C64" s="86" t="str">
        <x:v>藿香</x:v>
      </x:c>
      <x:c r="D64" s="86" t="str">
        <x:v>huo_xiang</x:v>
      </x:c>
      <x:c r="E64" s="86" t="str">
        <x:v>累计心得达到56点</x:v>
      </x:c>
    </x:row>
    <x:row r="65" ht="22" customHeight="1">
      <x:c r="A65" s="102" t="n">
        <x:v>64</x:v>
      </x:c>
      <x:c r="B65" s="102" t="n">
        <x:v>57</x:v>
      </x:c>
      <x:c r="C65" s="86" t="str">
        <x:v>白芷</x:v>
      </x:c>
      <x:c r="D65" s="86" t="str">
        <x:v>bai_zhi</x:v>
      </x:c>
      <x:c r="E65" s="86" t="str">
        <x:v>累计心得达到57点</x:v>
      </x:c>
    </x:row>
    <x:row r="66" ht="22" customHeight="1">
      <x:c r="A66" s="102" t="n">
        <x:v>65</x:v>
      </x:c>
      <x:c r="B66" s="102" t="n">
        <x:v>58</x:v>
      </x:c>
      <x:c r="C66" s="86" t="str">
        <x:v>大腹皮</x:v>
      </x:c>
      <x:c r="D66" s="86" t="str">
        <x:v>da_fu_pi</x:v>
      </x:c>
      <x:c r="E66" s="86" t="str">
        <x:v>累计心得达到58点</x:v>
      </x:c>
    </x:row>
    <x:row r="67" ht="22" customHeight="1">
      <x:c r="A67" s="102" t="n">
        <x:v>66</x:v>
      </x:c>
      <x:c r="B67" s="102" t="n">
        <x:v>59</x:v>
      </x:c>
      <x:c r="C67" s="86" t="str">
        <x:v>木通</x:v>
      </x:c>
      <x:c r="D67" s="86" t="str">
        <x:v>mu_tong</x:v>
      </x:c>
      <x:c r="E67" s="86" t="str">
        <x:v>累计心得达到59点</x:v>
      </x:c>
    </x:row>
    <x:row r="68" ht="22" customHeight="1">
      <x:c r="A68" s="102" t="n">
        <x:v>67</x:v>
      </x:c>
      <x:c r="B68" s="102" t="n">
        <x:v>60</x:v>
      </x:c>
      <x:c r="C68" s="86" t="str">
        <x:v>生地黄</x:v>
      </x:c>
      <x:c r="D68" s="86" t="str">
        <x:v>sheng_di_huang</x:v>
      </x:c>
      <x:c r="E68" s="86" t="str">
        <x:v>累计心得达到60点</x:v>
      </x:c>
    </x:row>
    <x:row r="69" ht="22" customHeight="1">
      <x:c r="A69" s="102" t="n">
        <x:v>68</x:v>
      </x:c>
      <x:c r="B69" s="102" t="n">
        <x:v>61</x:v>
      </x:c>
      <x:c r="C69" s="86" t="str">
        <x:v>竹茹</x:v>
      </x:c>
      <x:c r="D69" s="86" t="str">
        <x:v>zhu_ru</x:v>
      </x:c>
      <x:c r="E69" s="86" t="str">
        <x:v>累计心得达到61点</x:v>
      </x:c>
    </x:row>
    <x:row r="70" ht="22" customHeight="1">
      <x:c r="A70" s="102" t="n">
        <x:v>69</x:v>
      </x:c>
      <x:c r="B70" s="102" t="n">
        <x:v>62</x:v>
      </x:c>
      <x:c r="C70" s="86" t="str">
        <x:v>石菖蒲</x:v>
      </x:c>
      <x:c r="D70" s="86" t="str">
        <x:v>shi_chang_pu</x:v>
      </x:c>
      <x:c r="E70" s="86" t="str">
        <x:v>累计心得达到62点</x:v>
      </x:c>
    </x:row>
    <x:row r="71" ht="22" customHeight="1">
      <x:c r="A71" s="102" t="n">
        <x:v>70</x:v>
      </x:c>
      <x:c r="B71" s="102" t="n">
        <x:v>63</x:v>
      </x:c>
      <x:c r="C71" s="86" t="str">
        <x:v>茯神</x:v>
      </x:c>
      <x:c r="D71" s="86" t="str">
        <x:v>fu_shen</x:v>
      </x:c>
      <x:c r="E71" s="86" t="str">
        <x:v>累计心得达到63点</x:v>
      </x:c>
    </x:row>
    <x:row r="72" ht="22" customHeight="1">
      <x:c r="A72" s="102" t="n">
        <x:v>71</x:v>
      </x:c>
      <x:c r="B72" s="102" t="n">
        <x:v>64</x:v>
      </x:c>
      <x:c r="C72" s="86" t="str">
        <x:v>酸枣仁</x:v>
      </x:c>
      <x:c r="D72" s="86" t="str">
        <x:v>suan_zao_ren</x:v>
      </x:c>
      <x:c r="E72" s="86" t="str">
        <x:v>累计心得达到64点</x:v>
      </x:c>
    </x:row>
    <x:row r="73" ht="22" customHeight="1">
      <x:c r="A73" s="102" t="n">
        <x:v>72</x:v>
      </x:c>
      <x:c r="B73" s="102" t="n">
        <x:v>65</x:v>
      </x:c>
      <x:c r="C73" s="86" t="str">
        <x:v>柏子仁</x:v>
      </x:c>
      <x:c r="D73" s="86" t="str">
        <x:v>bai_zi_ren</x:v>
      </x:c>
      <x:c r="E73" s="86" t="str">
        <x:v>累计心得达到65点</x:v>
      </x:c>
    </x:row>
    <x:row r="74" ht="22" customHeight="1">
      <x:c r="A74" s="102" t="n">
        <x:v>73</x:v>
      </x:c>
      <x:c r="B74" s="102" t="n">
        <x:v>66</x:v>
      </x:c>
      <x:c r="C74" s="86" t="str">
        <x:v>远志</x:v>
      </x:c>
      <x:c r="D74" s="86" t="str">
        <x:v>yuan_zhi</x:v>
      </x:c>
      <x:c r="E74" s="86" t="str">
        <x:v>累计心得达到66点</x:v>
      </x:c>
    </x:row>
    <x:row r="75" ht="22" customHeight="1">
      <x:c r="A75" s="102" t="n">
        <x:v>74</x:v>
      </x:c>
      <x:c r="B75" s="102" t="n">
        <x:v>67</x:v>
      </x:c>
      <x:c r="C75" s="86" t="str">
        <x:v>肉桂</x:v>
      </x:c>
      <x:c r="D75" s="86" t="str">
        <x:v>rou_gui</x:v>
      </x:c>
      <x:c r="E75" s="86" t="str">
        <x:v>累计心得达到67点</x:v>
      </x:c>
    </x:row>
    <x:row r="76" ht="22" customHeight="1">
      <x:c r="A76" s="102" t="n">
        <x:v>75</x:v>
      </x:c>
      <x:c r="B76" s="102" t="n">
        <x:v>68</x:v>
      </x:c>
      <x:c r="C76" s="86" t="str">
        <x:v>桃仁</x:v>
      </x:c>
      <x:c r="D76" s="86" t="str">
        <x:v>tao_ren</x:v>
      </x:c>
      <x:c r="E76" s="86" t="str">
        <x:v>累计心得达到68点</x:v>
      </x:c>
    </x:row>
    <x:row r="77" ht="22" customHeight="1">
      <x:c r="A77" s="102" t="n">
        <x:v>76</x:v>
      </x:c>
      <x:c r="B77" s="102" t="n">
        <x:v>69</x:v>
      </x:c>
      <x:c r="C77" s="86" t="str">
        <x:v>红花</x:v>
      </x:c>
      <x:c r="D77" s="86" t="str">
        <x:v>hong_hua</x:v>
      </x:c>
      <x:c r="E77" s="86" t="str">
        <x:v>累计心得达到69点</x:v>
      </x:c>
    </x:row>
    <x:row r="78" ht="22" customHeight="1">
      <x:c r="A78" s="102" t="n">
        <x:v>77</x:v>
      </x:c>
      <x:c r="B78" s="102" t="n">
        <x:v>70</x:v>
      </x:c>
      <x:c r="C78" s="86" t="str">
        <x:v>赤芍</x:v>
      </x:c>
      <x:c r="D78" s="86" t="str">
        <x:v>chi_shao</x:v>
      </x:c>
      <x:c r="E78" s="86" t="str">
        <x:v>累计心得达到70点</x:v>
      </x:c>
    </x:row>
    <x:row r="79" ht="22" customHeight="1">
      <x:c r="A79" s="102" t="n">
        <x:v>78</x:v>
      </x:c>
      <x:c r="B79" s="102" t="n">
        <x:v>71</x:v>
      </x:c>
      <x:c r="C79" s="86" t="str">
        <x:v>牛膝</x:v>
      </x:c>
      <x:c r="D79" s="86" t="str">
        <x:v>niu_xi</x:v>
      </x:c>
      <x:c r="E79" s="86" t="str">
        <x:v>累计心得达到71点</x:v>
      </x:c>
    </x:row>
    <x:row r="80" ht="22" customHeight="1">
      <x:c r="A80" s="102" t="n">
        <x:v>79</x:v>
      </x:c>
      <x:c r="B80" s="102" t="n">
        <x:v>72</x:v>
      </x:c>
      <x:c r="C80" s="86" t="str">
        <x:v>柴胡</x:v>
      </x:c>
      <x:c r="D80" s="86" t="str">
        <x:v>chai_hu</x:v>
      </x:c>
      <x:c r="E80" s="86" t="str">
        <x:v>累计心得达到72点</x:v>
      </x:c>
    </x:row>
    <x:row r="81" ht="22" customHeight="1">
      <x:c r="A81" s="102" t="n">
        <x:v>80</x:v>
      </x:c>
      <x:c r="B81" s="102" t="n">
        <x:v>73</x:v>
      </x:c>
      <x:c r="C81" s="86" t="str">
        <x:v>天门冬</x:v>
      </x:c>
      <x:c r="D81" s="86" t="str">
        <x:v>tian_men_dong</x:v>
      </x:c>
      <x:c r="E81" s="86" t="str">
        <x:v>累计心得达到73点</x:v>
      </x:c>
    </x:row>
    <x:row r="82" ht="22" customHeight="1">
      <x:c r="A82" s="102" t="n">
        <x:v>81</x:v>
      </x:c>
      <x:c r="B82" s="102" t="n">
        <x:v>74</x:v>
      </x:c>
      <x:c r="C82" s="86" t="str">
        <x:v>玄参</x:v>
      </x:c>
      <x:c r="D82" s="86" t="str">
        <x:v>xuan_shen</x:v>
      </x:c>
      <x:c r="E82" s="86" t="str">
        <x:v>累计心得达到74点</x:v>
      </x:c>
    </x:row>
    <x:row r="83" ht="22" customHeight="1">
      <x:c r="A83" s="102" t="n">
        <x:v>82</x:v>
      </x:c>
      <x:c r="B83" s="102" t="n">
        <x:v>75</x:v>
      </x:c>
      <x:c r="C83" s="86" t="str">
        <x:v>丹参</x:v>
      </x:c>
      <x:c r="D83" s="86" t="str">
        <x:v>dan_shen</x:v>
      </x:c>
      <x:c r="E83" s="86" t="str">
        <x:v>累计心得达到75点</x:v>
      </x:c>
    </x:row>
    <x:row r="84" ht="22" customHeight="1">
      <x:c r="A84" s="102" t="n">
        <x:v>83</x:v>
      </x:c>
      <x:c r="B84" s="102" t="n">
        <x:v>76</x:v>
      </x:c>
      <x:c r="C84" s="86" t="str">
        <x:v>黄连</x:v>
      </x:c>
      <x:c r="D84" s="86" t="str">
        <x:v>huang_lian</x:v>
      </x:c>
      <x:c r="E84" s="86" t="str">
        <x:v>累计心得达到76点</x:v>
      </x:c>
    </x:row>
    <x:row r="85" ht="22" customHeight="1">
      <x:c r="A85" s="102" t="n">
        <x:v>84</x:v>
      </x:c>
      <x:c r="B85" s="102" t="n">
        <x:v>77</x:v>
      </x:c>
      <x:c r="C85" s="86" t="str">
        <x:v>龙眼</x:v>
      </x:c>
      <x:c r="D85" s="86" t="str">
        <x:v>long_yan</x:v>
      </x:c>
      <x:c r="E85" s="86" t="str">
        <x:v>累计心得达到77点</x:v>
      </x:c>
    </x:row>
    <x:row r="86" ht="22" customHeight="1">
      <x:c r="A86" s="102" t="n">
        <x:v>85</x:v>
      </x:c>
      <x:c r="B86" s="102" t="n">
        <x:v>78</x:v>
      </x:c>
      <x:c r="C86" s="86" t="str">
        <x:v>木香</x:v>
      </x:c>
      <x:c r="D86" s="86" t="str">
        <x:v>mu_xiang</x:v>
      </x:c>
      <x:c r="E86" s="86" t="str">
        <x:v>累计心得达到78点</x:v>
      </x:c>
    </x:row>
    <x:row r="87" ht="22" customHeight="1">
      <x:c r="A87" s="102" t="n">
        <x:v>86</x:v>
      </x:c>
      <x:c r="B87" s="102" t="n">
        <x:v>79</x:v>
      </x:c>
      <x:c r="C87" s="86" t="str">
        <x:v>龙胆草</x:v>
      </x:c>
      <x:c r="D87" s="86" t="str">
        <x:v>long_dan_cao</x:v>
      </x:c>
      <x:c r="E87" s="86" t="str">
        <x:v>累计心得达到79点</x:v>
      </x:c>
    </x:row>
    <x:row r="88" ht="22" customHeight="1">
      <x:c r="A88" s="102" t="n">
        <x:v>87</x:v>
      </x:c>
      <x:c r="B88" s="102" t="n">
        <x:v>80</x:v>
      </x:c>
      <x:c r="C88" s="86" t="str">
        <x:v>泽泻</x:v>
      </x:c>
      <x:c r="D88" s="86" t="str">
        <x:v>ze_xie</x:v>
      </x:c>
      <x:c r="E88" s="86" t="str">
        <x:v>累计心得达到80点</x:v>
      </x:c>
    </x:row>
    <x:row r="89" ht="22" customHeight="1">
      <x:c r="A89" s="102" t="n">
        <x:v>88</x:v>
      </x:c>
      <x:c r="B89" s="102" t="n">
        <x:v>81</x:v>
      </x:c>
      <x:c r="C89" s="86" t="str">
        <x:v>车前子</x:v>
      </x:c>
      <x:c r="D89" s="86" t="str">
        <x:v>che_qian_zi</x:v>
      </x:c>
      <x:c r="E89" s="86" t="str">
        <x:v>累计心得达到81点</x:v>
      </x:c>
    </x:row>
    <x:row r="90" ht="22" customHeight="1">
      <x:c r="A90" s="102" t="n">
        <x:v>89</x:v>
      </x:c>
      <x:c r="B90" s="102" t="n">
        <x:v>82</x:v>
      </x:c>
      <x:c r="C90" s="86" t="str">
        <x:v>茴香</x:v>
      </x:c>
      <x:c r="D90" s="86" t="str">
        <x:v>hui_xiang</x:v>
      </x:c>
      <x:c r="E90" s="86" t="str">
        <x:v>累计心得达到82点</x:v>
      </x:c>
    </x:row>
    <x:row r="91" ht="22" customHeight="1">
      <x:c r="A91" s="102" t="n">
        <x:v>90</x:v>
      </x:c>
      <x:c r="B91" s="102" t="n">
        <x:v>83</x:v>
      </x:c>
      <x:c r="C91" s="86" t="str">
        <x:v>枸杞子</x:v>
      </x:c>
      <x:c r="D91" s="86" t="str">
        <x:v>gou_qi_zi</x:v>
      </x:c>
      <x:c r="E91" s="86" t="str">
        <x:v>累计心得达到83点</x:v>
      </x:c>
    </x:row>
    <x:row r="92" ht="22" customHeight="1">
      <x:c r="A92" s="102" t="n">
        <x:v>91</x:v>
      </x:c>
      <x:c r="B92" s="102" t="n">
        <x:v>84</x:v>
      </x:c>
      <x:c r="C92" s="86" t="str">
        <x:v>乌药</x:v>
      </x:c>
      <x:c r="D92" s="86" t="str">
        <x:v>wu_yao</x:v>
      </x:c>
      <x:c r="E92" s="86" t="str">
        <x:v>累计心得达到84点</x:v>
      </x:c>
    </x:row>
    <x:row r="93" ht="22" customHeight="1">
      <x:c r="A93" s="102" t="n">
        <x:v>92</x:v>
      </x:c>
      <x:c r="B93" s="102" t="n">
        <x:v>85</x:v>
      </x:c>
      <x:c r="C93" s="86" t="str">
        <x:v>沉香</x:v>
      </x:c>
      <x:c r="D93" s="86" t="str">
        <x:v>chen_xiang</x:v>
      </x:c>
      <x:c r="E93" s="86" t="str">
        <x:v>累计心得达到85点</x:v>
      </x:c>
    </x:row>
    <x:row r="94" ht="22" customHeight="1">
      <x:c r="A94" s="102" t="n">
        <x:v>93</x:v>
      </x:c>
      <x:c r="B94" s="102" t="n">
        <x:v>86</x:v>
      </x:c>
      <x:c r="C94" s="86" t="str">
        <x:v>香附</x:v>
      </x:c>
      <x:c r="D94" s="86" t="str">
        <x:v>xiang_fu</x:v>
      </x:c>
      <x:c r="E94" s="86" t="str">
        <x:v>累计心得达到86点</x:v>
      </x:c>
    </x:row>
    <x:row r="95" ht="22" customHeight="1">
      <x:c r="A95" s="102" t="n">
        <x:v>94</x:v>
      </x:c>
      <x:c r="B95" s="102" t="n">
        <x:v>87</x:v>
      </x:c>
      <x:c r="C95" s="86" t="str">
        <x:v>五灵脂</x:v>
      </x:c>
      <x:c r="D95" s="86" t="str">
        <x:v>wu_ling_zhi</x:v>
      </x:c>
      <x:c r="E95" s="86" t="str">
        <x:v>累计心得达到87点</x:v>
      </x:c>
    </x:row>
    <x:row r="96" ht="22" customHeight="1">
      <x:c r="A96" s="102" t="n">
        <x:v>95</x:v>
      </x:c>
      <x:c r="B96" s="102" t="n">
        <x:v>88</x:v>
      </x:c>
      <x:c r="C96" s="86" t="str">
        <x:v>丹皮</x:v>
      </x:c>
      <x:c r="D96" s="86" t="str">
        <x:v>dan_pi</x:v>
      </x:c>
      <x:c r="E96" s="86" t="str">
        <x:v>累计心得达到88点</x:v>
      </x:c>
    </x:row>
    <x:row r="97" ht="22" customHeight="1">
      <x:c r="A97" s="102" t="n">
        <x:v>96</x:v>
      </x:c>
      <x:c r="B97" s="102" t="n">
        <x:v>89</x:v>
      </x:c>
      <x:c r="C97" s="86" t="str">
        <x:v>延胡索</x:v>
      </x:c>
      <x:c r="D97" s="86" t="str">
        <x:v>yan_hu_suo</x:v>
      </x:c>
      <x:c r="E97" s="86" t="str">
        <x:v>累计心得达到89点</x:v>
      </x:c>
    </x:row>
    <x:row r="98" ht="22" customHeight="1">
      <x:c r="A98" s="102" t="n">
        <x:v>97</x:v>
      </x:c>
      <x:c r="B98" s="102" t="n">
        <x:v>90</x:v>
      </x:c>
      <x:c r="C98" s="86" t="str">
        <x:v>川楝子</x:v>
      </x:c>
      <x:c r="D98" s="86" t="str">
        <x:v>chuan_lian_zi</x:v>
      </x:c>
      <x:c r="E98" s="86" t="str">
        <x:v>累计心得达到90点</x:v>
      </x:c>
    </x:row>
    <x:row r="99" ht="22" customHeight="1">
      <x:c r="A99" s="102" t="n">
        <x:v>98</x:v>
      </x:c>
      <x:c r="B99" s="102" t="n">
        <x:v>91</x:v>
      </x:c>
      <x:c r="C99" s="86" t="str">
        <x:v>钩藤</x:v>
      </x:c>
      <x:c r="D99" s="86" t="str">
        <x:v>gou_teng</x:v>
      </x:c>
      <x:c r="E99" s="86" t="str">
        <x:v>累计心得达到91点</x:v>
      </x:c>
    </x:row>
    <x:row r="100" ht="22" customHeight="1">
      <x:c r="A100" s="102" t="n">
        <x:v>99</x:v>
      </x:c>
      <x:c r="B100" s="102" t="n">
        <x:v>92</x:v>
      </x:c>
      <x:c r="C100" s="86" t="str">
        <x:v>菊花</x:v>
      </x:c>
      <x:c r="D100" s="86" t="str">
        <x:v>ju_hua</x:v>
      </x:c>
      <x:c r="E100" s="86" t="str">
        <x:v>累计心得达到92点</x:v>
      </x:c>
    </x:row>
    <x:row r="101" ht="22" customHeight="1">
      <x:c r="A101" s="102" t="n">
        <x:v>100</x:v>
      </x:c>
      <x:c r="B101" s="102" t="n">
        <x:v>93</x:v>
      </x:c>
      <x:c r="C101" s="86" t="str">
        <x:v>蛤蚧</x:v>
      </x:c>
      <x:c r="D101" s="86" t="str">
        <x:v>ge_jie</x:v>
      </x:c>
      <x:c r="E101" s="86" t="str">
        <x:v>累计心得达到93点</x:v>
      </x:c>
    </x:row>
    <x:row r="102" ht="22" customHeight="1">
      <x:c r="A102" s="102" t="n">
        <x:v>101</x:v>
      </x:c>
      <x:c r="B102" s="102" t="n">
        <x:v>94</x:v>
      </x:c>
      <x:c r="C102" s="86" t="str">
        <x:v>山茱萸</x:v>
      </x:c>
      <x:c r="D102" s="86" t="str">
        <x:v>shan_zhu_yu</x:v>
      </x:c>
      <x:c r="E102" s="86" t="str">
        <x:v>累计心得达到94点</x:v>
      </x:c>
    </x:row>
    <x:row r="103" ht="22" customHeight="1">
      <x:c r="A103" s="102" t="n">
        <x:v>102</x:v>
      </x:c>
      <x:c r="B103" s="102" t="n">
        <x:v>95</x:v>
      </x:c>
      <x:c r="C103" s="86" t="str">
        <x:v>附子</x:v>
      </x:c>
      <x:c r="D103" s="86" t="str">
        <x:v>fu_zi</x:v>
      </x:c>
      <x:c r="E103" s="86" t="str">
        <x:v>累计心得达到95点</x:v>
      </x:c>
    </x:row>
    <x:row r="104" ht="22" customHeight="1">
      <x:c r="A104" s="102" t="n">
        <x:v>103</x:v>
      </x:c>
      <x:c r="B104" s="102" t="n">
        <x:v>96</x:v>
      </x:c>
      <x:c r="C104" s="86" t="str">
        <x:v>龟板胶</x:v>
      </x:c>
      <x:c r="D104" s="86" t="str">
        <x:v>gui_ban_jiao</x:v>
      </x:c>
      <x:c r="E104" s="86" t="str">
        <x:v>累计心得达到96点</x:v>
      </x:c>
    </x:row>
    <x:row r="105" ht="22" customHeight="1">
      <x:c r="A105" s="102" t="n">
        <x:v>104</x:v>
      </x:c>
      <x:c r="B105" s="102" t="n">
        <x:v>97</x:v>
      </x:c>
      <x:c r="C105" s="86" t="str">
        <x:v>鹿角胶</x:v>
      </x:c>
      <x:c r="D105" s="86" t="str">
        <x:v>lu_jiao_jiao</x:v>
      </x:c>
      <x:c r="E105" s="86" t="str">
        <x:v>累计心得达到97点</x:v>
      </x:c>
    </x:row>
    <x:row r="106" ht="22" customHeight="1">
      <x:c r="A106" s="102" t="n">
        <x:v>105</x:v>
      </x:c>
      <x:c r="B106" s="102" t="n">
        <x:v>98</x:v>
      </x:c>
      <x:c r="C106" s="86" t="str">
        <x:v>菟丝子</x:v>
      </x:c>
      <x:c r="D106" s="86" t="str">
        <x:v>tu_si_zi</x:v>
      </x:c>
      <x:c r="E106" s="86" t="str">
        <x:v>累计心得达到98点</x:v>
      </x:c>
    </x:row>
    <x:row r="107" ht="22" customHeight="1">
      <x:c r="A107" s="102" t="n">
        <x:v>106</x:v>
      </x:c>
      <x:c r="B107" s="102" t="n">
        <x:v>99</x:v>
      </x:c>
      <x:c r="C107" s="86" t="str">
        <x:v>沙苑子</x:v>
      </x:c>
      <x:c r="D107" s="86" t="str">
        <x:v>sha_yuan_zi</x:v>
      </x:c>
      <x:c r="E107" s="86" t="str">
        <x:v>累计心得达到99点</x:v>
      </x:c>
    </x:row>
    <x:row r="108" ht="22" customHeight="1">
      <x:c r="A108" s="102" t="n">
        <x:v>107</x:v>
      </x:c>
      <x:c r="B108" s="102" t="n">
        <x:v>100</x:v>
      </x:c>
      <x:c r="C108" s="86" t="str">
        <x:v>芡实</x:v>
      </x:c>
      <x:c r="D108" s="86" t="str">
        <x:v>qian_shi</x:v>
      </x:c>
      <x:c r="E108" s="86" t="str">
        <x:v>累计心得达到100点</x:v>
      </x:c>
    </x:row>
    <x:row r="109" ht="22" customHeight="1">
      <x:c r="A109" s="102" t="n">
        <x:v>108</x:v>
      </x:c>
      <x:c r="B109" s="102" t="n">
        <x:v>101</x:v>
      </x:c>
      <x:c r="C109" s="86" t="str">
        <x:v>龙骨</x:v>
      </x:c>
      <x:c r="D109" s="86" t="str">
        <x:v>long_gu</x:v>
      </x:c>
      <x:c r="E109" s="86" t="str">
        <x:v>累计心得达到101点</x:v>
      </x:c>
    </x:row>
    <x:row r="110" ht="22" customHeight="1">
      <x:c r="A110" s="102" t="n">
        <x:v>109</x:v>
      </x:c>
      <x:c r="B110" s="102" t="n">
        <x:v>102</x:v>
      </x:c>
      <x:c r="C110" s="86" t="str">
        <x:v>牡蛎</x:v>
      </x:c>
      <x:c r="D110" s="86" t="str">
        <x:v>mu_li</x:v>
      </x:c>
      <x:c r="E110" s="86" t="str">
        <x:v>累计心得达到102点</x:v>
      </x:c>
    </x:row>
    <x:row r="111" ht="22" customHeight="1">
      <x:c r="A111" s="102" t="n">
        <x:v>110</x:v>
      </x:c>
      <x:c r="B111" s="102" t="n">
        <x:v>103</x:v>
      </x:c>
      <x:c r="C111" s="86" t="str">
        <x:v>莲须</x:v>
      </x:c>
      <x:c r="D111" s="86" t="str">
        <x:v>lian_xu</x:v>
      </x:c>
      <x:c r="E111" s="86" t="str">
        <x:v>累计心得达到103点</x:v>
      </x:c>
    </x:row>
    <x:row r="112" ht="22" customHeight="1">
      <x:c r="A112" s="102" t="n">
        <x:v>111</x:v>
      </x:c>
      <x:c r="B112" s="102" t="n">
        <x:v>104</x:v>
      </x:c>
      <x:c r="C112" s="86" t="str">
        <x:v>续断</x:v>
      </x:c>
      <x:c r="D112" s="86" t="str">
        <x:v>xu_duan</x:v>
      </x:c>
      <x:c r="E112" s="86" t="str">
        <x:v>累计心得达到104点</x:v>
      </x:c>
    </x:row>
    <x:row r="113" ht="22" customHeight="1">
      <x:c r="A113" s="102" t="n">
        <x:v>112</x:v>
      </x:c>
      <x:c r="B113" s="102" t="n">
        <x:v>105</x:v>
      </x:c>
      <x:c r="C113" s="86" t="str">
        <x:v>糯米</x:v>
      </x:c>
      <x:c r="D113" s="86" t="str">
        <x:v>nuo_mi</x:v>
      </x:c>
      <x:c r="E113" s="86" t="str">
        <x:v>累计心得达到105点</x:v>
      </x:c>
    </x:row>
    <x:row r="114" ht="22" customHeight="1">
      <x:c r="A114" s="102" t="n">
        <x:v>113</x:v>
      </x:c>
      <x:c r="B114" s="102" t="n">
        <x:v>106</x:v>
      </x:c>
      <x:c r="C114" s="86" t="str">
        <x:v>阿胶</x:v>
      </x:c>
      <x:c r="D114" s="86" t="str">
        <x:v>e_jiao</x:v>
      </x:c>
      <x:c r="E114" s="86" t="str">
        <x:v>累计心得达到106点</x:v>
      </x:c>
    </x:row>
    <x:row r="115" ht="22" customHeight="1">
      <x:c r="A115" s="104" t="n">
        <x:v>114</x:v>
      </x:c>
      <x:c r="B115" s="104" t="n">
        <x:v>107</x:v>
      </x:c>
      <x:c r="C115" s="98" t="str">
        <x:v>鸡子黄</x:v>
      </x:c>
      <x:c r="D115" s="98" t="str">
        <x:v>ji_zi_huang</x:v>
      </x:c>
      <x:c r="E115" s="98" t="str">
        <x:v>累计心得达到107点</x:v>
      </x:c>
    </x:row>
  </x:sheetData>
  <x:conditionalFormatting sqref="A2:E115">
    <x:cfRule type="colorScale" priority="1">
      <x:colorScale>
        <x:cfvo type="min"/>
        <x:cfvo type="percentile" val="50"/>
        <x:cfvo type="max"/>
        <x:color rgb="FFE8F5E9"/>
        <x:color rgb="FFFFF8E1"/>
        <x:color rgb="FFFDECE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25fb21b872642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58" hidden="0" customWidth="1"/>
    <x:col min="4" max="4" width="22" hidden="0" customWidth="1"/>
    <x:col min="5" max="5" width="40" hidden="0" customWidth="1"/>
  </x:cols>
  <x:sheetData>
    <x:row r="1" ht="30" customHeight="1">
      <x:c r="A1" s="79" t="str">
        <x:v>累计心得</x:v>
      </x:c>
      <x:c r="B1" s="80" t="str">
        <x:v>方剂条目</x:v>
      </x:c>
      <x:c r="C1" s="80" t="str">
        <x:v>必需药材</x:v>
      </x:c>
      <x:c r="D1" s="80" t="str">
        <x:v>疾病条目</x:v>
      </x:c>
      <x:c r="E1" s="81" t="str">
        <x:v>触发顺序</x:v>
      </x:c>
    </x:row>
    <x:row r="2" ht="30" customHeight="1">
      <x:c r="A2" s="100" t="n">
        <x:v>0</x:v>
      </x:c>
      <x:c r="B2" s="82" t="str">
        <x:v>桂枝甘草汤</x:v>
      </x:c>
      <x:c r="C2" s="85" t="str">
        <x:v>桂枝、甘草</x:v>
      </x:c>
      <x:c r="D2" s="85" t="str">
        <x:v>心阳虚</x:v>
      </x:c>
      <x:c r="E2" s="85" t="str">
        <x:v>药材齐全 → 方剂解锁 → 标准方对应疾病解锁</x:v>
      </x:c>
    </x:row>
    <x:row r="3" ht="30" customHeight="1">
      <x:c r="A3" s="102" t="n">
        <x:v>0</x:v>
      </x:c>
      <x:c r="B3" s="86" t="str">
        <x:v>桂枝汤</x:v>
      </x:c>
      <x:c r="C3" s="89" t="str">
        <x:v>桂枝、白芍、生姜、大枣、甘草</x:v>
      </x:c>
      <x:c r="D3" s="89" t="str">
        <x:v>风寒表虚证</x:v>
      </x:c>
      <x:c r="E3" s="89" t="str">
        <x:v>药材齐全 → 方剂解锁 → 标准方对应疾病解锁</x:v>
      </x:c>
    </x:row>
    <x:row r="4" ht="30" customHeight="1">
      <x:c r="A4" s="102" t="n">
        <x:v>0</x:v>
      </x:c>
      <x:c r="B4" s="86" t="str">
        <x:v>麻黄汤</x:v>
      </x:c>
      <x:c r="C4" s="89" t="str">
        <x:v>麻黄、桂枝、杏仁、甘草</x:v>
      </x:c>
      <x:c r="D4" s="89" t="str">
        <x:v>风寒表实证</x:v>
      </x:c>
      <x:c r="E4" s="89" t="str">
        <x:v>药材齐全 → 方剂解锁 → 标准方对应疾病解锁</x:v>
      </x:c>
    </x:row>
    <x:row r="5" ht="30" customHeight="1">
      <x:c r="A5" s="102" t="n">
        <x:v>9</x:v>
      </x:c>
      <x:c r="B5" s="86" t="str">
        <x:v>银翘散</x:v>
      </x:c>
      <x:c r="C5" s="89" t="str">
        <x:v>金银花、连翘、牛蒡子、荆芥、薄荷、淡豆豉、桔梗、芦根、竹叶、甘草</x:v>
      </x:c>
      <x:c r="D5" s="89" t="str">
        <x:v>风热表证</x:v>
      </x:c>
      <x:c r="E5" s="89" t="str">
        <x:v>药材齐全 → 方剂解锁 → 标准方对应疾病解锁</x:v>
      </x:c>
    </x:row>
    <x:row r="6" ht="30" customHeight="1">
      <x:c r="A6" s="102" t="n">
        <x:v>14</x:v>
      </x:c>
      <x:c r="B6" s="86" t="str">
        <x:v>桑杏汤</x:v>
      </x:c>
      <x:c r="C6" s="89" t="str">
        <x:v>桑叶、杏仁、沙参、贝母、淡豆豉、栀子、梨皮</x:v>
      </x:c>
      <x:c r="D6" s="89" t="str">
        <x:v>温燥证</x:v>
      </x:c>
      <x:c r="E6" s="89" t="str">
        <x:v>药材齐全 → 方剂解锁 → 标准方对应疾病解锁</x:v>
      </x:c>
    </x:row>
    <x:row r="7" ht="30" customHeight="1">
      <x:c r="A7" s="102" t="n">
        <x:v>19</x:v>
      </x:c>
      <x:c r="B7" s="86" t="str">
        <x:v>二陈汤</x:v>
      </x:c>
      <x:c r="C7" s="89" t="str">
        <x:v>半夏、陈皮、茯苓、甘草</x:v>
      </x:c>
      <x:c r="D7" s="89" t="str">
        <x:v>痰湿阻肺</x:v>
      </x:c>
      <x:c r="E7" s="89" t="str">
        <x:v>药材齐全 → 方剂解锁 → 标准方对应疾病解锁</x:v>
      </x:c>
    </x:row>
    <x:row r="8" ht="30" customHeight="1">
      <x:c r="A8" s="102" t="n">
        <x:v>20</x:v>
      </x:c>
      <x:c r="B8" s="86" t="str">
        <x:v>杏苏散</x:v>
      </x:c>
      <x:c r="C8" s="89" t="str">
        <x:v>杏仁、苏叶、半夏、前胡、陈皮、茯苓、桔梗、枳壳、甘草</x:v>
      </x:c>
      <x:c r="D8" s="89" t="str">
        <x:v>凉燥证</x:v>
      </x:c>
      <x:c r="E8" s="89" t="str">
        <x:v>药材齐全 → 方剂解锁 → 标准方对应疾病解锁</x:v>
      </x:c>
    </x:row>
    <x:row r="9" ht="30" customHeight="1">
      <x:c r="A9" s="102" t="n">
        <x:v>23</x:v>
      </x:c>
      <x:c r="B9" s="86" t="str">
        <x:v>玉屏风散</x:v>
      </x:c>
      <x:c r="C9" s="89" t="str">
        <x:v>黄芪、白术、防风</x:v>
      </x:c>
      <x:c r="D9" s="89" t="str">
        <x:v>卫气虚</x:v>
      </x:c>
      <x:c r="E9" s="89" t="str">
        <x:v>药材齐全 → 方剂解锁 → 标准方对应疾病解锁</x:v>
      </x:c>
    </x:row>
    <x:row r="10" ht="30" customHeight="1">
      <x:c r="A10" s="102" t="n">
        <x:v>25</x:v>
      </x:c>
      <x:c r="B10" s="86" t="str">
        <x:v>乌头汤</x:v>
      </x:c>
      <x:c r="C10" s="89" t="str">
        <x:v>乌头、麻黄、白芍、黄芪、甘草、蜂蜜</x:v>
      </x:c>
      <x:c r="D10" s="89" t="str">
        <x:v>痛痹</x:v>
      </x:c>
      <x:c r="E10" s="89" t="str">
        <x:v>药材齐全 → 方剂解锁 → 标准方对应疾病解锁</x:v>
      </x:c>
    </x:row>
    <x:row r="11" ht="30" customHeight="1">
      <x:c r="A11" s="102" t="n">
        <x:v>26</x:v>
      </x:c>
      <x:c r="B11" s="86" t="str">
        <x:v>大青龙汤</x:v>
      </x:c>
      <x:c r="C11" s="89" t="str">
        <x:v>麻黄、桂枝、石膏、杏仁、生姜、大枣、甘草</x:v>
      </x:c>
      <x:c r="D11" s="89" t="str">
        <x:v>表寒里热</x:v>
      </x:c>
      <x:c r="E11" s="89" t="str">
        <x:v>药材齐全 → 方剂解锁 → 标准方对应疾病解锁</x:v>
      </x:c>
    </x:row>
    <x:row r="12" ht="30" customHeight="1">
      <x:c r="A12" s="102" t="n">
        <x:v>26</x:v>
      </x:c>
      <x:c r="B12" s="86" t="str">
        <x:v>麻杏石甘汤</x:v>
      </x:c>
      <x:c r="C12" s="89" t="str">
        <x:v>麻黄、石膏、杏仁、甘草</x:v>
      </x:c>
      <x:c r="D12" s="89" t="str">
        <x:v>肺热壅盛</x:v>
      </x:c>
      <x:c r="E12" s="89" t="str">
        <x:v>药材齐全 → 方剂解锁 → 标准方对应疾病解锁</x:v>
      </x:c>
    </x:row>
    <x:row r="13" ht="30" customHeight="1">
      <x:c r="A13" s="102" t="n">
        <x:v>28</x:v>
      </x:c>
      <x:c r="B13" s="86" t="str">
        <x:v>白虎桂枝汤</x:v>
      </x:c>
      <x:c r="C13" s="89" t="str">
        <x:v>石膏、知母、桂枝、粳米、甘草</x:v>
      </x:c>
      <x:c r="D13" s="89" t="str">
        <x:v>热痹</x:v>
      </x:c>
      <x:c r="E13" s="89" t="str">
        <x:v>药材齐全 → 方剂解锁 → 标准方对应疾病解锁</x:v>
      </x:c>
    </x:row>
    <x:row r="14" ht="30" customHeight="1">
      <x:c r="A14" s="102" t="n">
        <x:v>28</x:v>
      </x:c>
      <x:c r="B14" s="86" t="str">
        <x:v>白虎汤</x:v>
      </x:c>
      <x:c r="C14" s="89" t="str">
        <x:v>石膏、知母、粳米、甘草</x:v>
      </x:c>
      <x:c r="D14" s="89" t="str">
        <x:v>气分热盛</x:v>
      </x:c>
      <x:c r="E14" s="89" t="str">
        <x:v>药材齐全 → 方剂解锁 → 标准方对应疾病解锁</x:v>
      </x:c>
    </x:row>
    <x:row r="15" ht="30" customHeight="1">
      <x:c r="A15" s="102" t="n">
        <x:v>33</x:v>
      </x:c>
      <x:c r="B15" s="86" t="str">
        <x:v>薏苡仁汤</x:v>
      </x:c>
      <x:c r="C15" s="89" t="str">
        <x:v>薏苡仁、羌活、独活、麻黄、桂枝、当归、川芎、甘草</x:v>
      </x:c>
      <x:c r="D15" s="89" t="str">
        <x:v>着痹</x:v>
      </x:c>
      <x:c r="E15" s="89" t="str">
        <x:v>药材齐全 → 方剂解锁 → 标准方对应疾病解锁</x:v>
      </x:c>
    </x:row>
    <x:row r="16" ht="30" customHeight="1">
      <x:c r="A16" s="102" t="n">
        <x:v>35</x:v>
      </x:c>
      <x:c r="B16" s="86" t="str">
        <x:v>防风汤</x:v>
      </x:c>
      <x:c r="C16" s="89" t="str">
        <x:v>防风、桂枝、秦艽、当归、川芎、葛根、甘草</x:v>
      </x:c>
      <x:c r="D16" s="89" t="str">
        <x:v>行痹</x:v>
      </x:c>
      <x:c r="E16" s="89" t="str">
        <x:v>药材齐全 → 方剂解锁 → 标准方对应疾病解锁</x:v>
      </x:c>
    </x:row>
    <x:row r="17" ht="30" customHeight="1">
      <x:c r="A17" s="102" t="n">
        <x:v>36</x:v>
      </x:c>
      <x:c r="B17" s="86" t="str">
        <x:v>四君子汤</x:v>
      </x:c>
      <x:c r="C17" s="89" t="str">
        <x:v>人参、白术、茯苓、甘草</x:v>
      </x:c>
      <x:c r="D17" s="89" t="str">
        <x:v>脾气虚</x:v>
      </x:c>
      <x:c r="E17" s="89" t="str">
        <x:v>药材齐全 → 方剂解锁 → 标准方对应疾病解锁</x:v>
      </x:c>
    </x:row>
    <x:row r="18" ht="30" customHeight="1">
      <x:c r="A18" s="102" t="n">
        <x:v>37</x:v>
      </x:c>
      <x:c r="B18" s="86" t="str">
        <x:v>四物汤</x:v>
      </x:c>
      <x:c r="C18" s="89" t="str">
        <x:v>熟地黄、当归、白芍、川芎</x:v>
      </x:c>
      <x:c r="D18" s="89" t="str">
        <x:v>肝血虚</x:v>
      </x:c>
      <x:c r="E18" s="89" t="str">
        <x:v>药材齐全 → 方剂解锁 → 标准方对应疾病解锁</x:v>
      </x:c>
    </x:row>
    <x:row r="19" ht="30" customHeight="1">
      <x:c r="A19" s="102" t="n">
        <x:v>40</x:v>
      </x:c>
      <x:c r="B19" s="86" t="str">
        <x:v>补肺汤</x:v>
      </x:c>
      <x:c r="C19" s="89" t="str">
        <x:v>人参、黄芪、熟地黄、五味子、紫菀、桑白皮</x:v>
      </x:c>
      <x:c r="D19" s="89" t="str">
        <x:v>肺气虚</x:v>
      </x:c>
      <x:c r="E19" s="89" t="str">
        <x:v>药材齐全 → 方剂解锁 → 标准方对应疾病解锁</x:v>
      </x:c>
    </x:row>
    <x:row r="20" ht="30" customHeight="1">
      <x:c r="A20" s="102" t="n">
        <x:v>44</x:v>
      </x:c>
      <x:c r="B20" s="86" t="str">
        <x:v>沙参麦冬汤</x:v>
      </x:c>
      <x:c r="C20" s="89" t="str">
        <x:v>沙参、麦门冬、玉竹、天花粉、扁豆、桑叶、甘草</x:v>
      </x:c>
      <x:c r="D20" s="89" t="str">
        <x:v>肺阴虚</x:v>
      </x:c>
      <x:c r="E20" s="89" t="str">
        <x:v>药材齐全 → 方剂解锁 → 标准方对应疾病解锁</x:v>
      </x:c>
    </x:row>
    <x:row r="21" ht="30" customHeight="1">
      <x:c r="A21" s="102" t="n">
        <x:v>48</x:v>
      </x:c>
      <x:c r="B21" s="86" t="str">
        <x:v>清气化痰丸</x:v>
      </x:c>
      <x:c r="C21" s="89" t="str">
        <x:v>胆南星、半夏、瓜蒌仁、黄芩、杏仁、陈皮、枳实、茯苓、生姜</x:v>
      </x:c>
      <x:c r="D21" s="89" t="str">
        <x:v>痰热壅肺</x:v>
      </x:c>
      <x:c r="E21" s="89" t="str">
        <x:v>药材齐全 → 方剂解锁 → 标准方对应疾病解锁</x:v>
      </x:c>
    </x:row>
    <x:row r="22" ht="30" customHeight="1">
      <x:c r="A22" s="102" t="n">
        <x:v>49</x:v>
      </x:c>
      <x:c r="B22" s="86" t="str">
        <x:v>理中丸</x:v>
      </x:c>
      <x:c r="C22" s="89" t="str">
        <x:v>干姜、人参、白术、甘草</x:v>
      </x:c>
      <x:c r="D22" s="89" t="str">
        <x:v>脾阳虚</x:v>
      </x:c>
      <x:c r="E22" s="89" t="str">
        <x:v>药材齐全 → 方剂解锁 → 标准方对应疾病解锁</x:v>
      </x:c>
    </x:row>
    <x:row r="23" ht="30" customHeight="1">
      <x:c r="A23" s="102" t="n">
        <x:v>50</x:v>
      </x:c>
      <x:c r="B23" s="86" t="str">
        <x:v>小青龙汤</x:v>
      </x:c>
      <x:c r="C23" s="89" t="str">
        <x:v>麻黄、桂枝、干姜、细辛、白芍、五味子、半夏、甘草</x:v>
      </x:c>
      <x:c r="D23" s="89" t="str">
        <x:v>表寒里饮</x:v>
      </x:c>
      <x:c r="E23" s="89" t="str">
        <x:v>药材齐全 → 方剂解锁 → 标准方对应疾病解锁</x:v>
      </x:c>
    </x:row>
    <x:row r="24" ht="30" customHeight="1">
      <x:c r="A24" s="102" t="n">
        <x:v>52</x:v>
      </x:c>
      <x:c r="B24" s="86" t="str">
        <x:v>平胃散</x:v>
      </x:c>
      <x:c r="C24" s="89" t="str">
        <x:v>苍术、厚朴、陈皮、甘草</x:v>
      </x:c>
      <x:c r="D24" s="89" t="str">
        <x:v>湿盛困脾</x:v>
      </x:c>
      <x:c r="E24" s="89" t="str">
        <x:v>药材齐全 → 方剂解锁 → 标准方对应疾病解锁</x:v>
      </x:c>
    </x:row>
    <x:row r="25" ht="30" customHeight="1">
      <x:c r="A25" s="102" t="n">
        <x:v>55</x:v>
      </x:c>
      <x:c r="B25" s="86" t="str">
        <x:v>参苓白术散</x:v>
      </x:c>
      <x:c r="C25" s="89" t="str">
        <x:v>人参、茯苓、白术、山药、莲子、扁豆、薏苡仁、砂仁、桔梗、甘草</x:v>
      </x:c>
      <x:c r="D25" s="89" t="str">
        <x:v>脾虚湿盛</x:v>
      </x:c>
      <x:c r="E25" s="89" t="str">
        <x:v>药材齐全 → 方剂解锁 → 标准方对应疾病解锁</x:v>
      </x:c>
    </x:row>
    <x:row r="26" ht="30" customHeight="1">
      <x:c r="A26" s="102" t="n">
        <x:v>58</x:v>
      </x:c>
      <x:c r="B26" s="86" t="str">
        <x:v>藿香正气散</x:v>
      </x:c>
      <x:c r="C26" s="89" t="str">
        <x:v>藿香、苏叶、白芷、半夏、厚朴、白术、苍术、陈皮、茯苓、大腹皮、桔梗、甘草、生姜、大枣</x:v>
      </x:c>
      <x:c r="D26" s="89" t="str">
        <x:v>外感风寒，内伤湿滞</x:v>
      </x:c>
      <x:c r="E26" s="89" t="str">
        <x:v>药材齐全 → 方剂解锁 → 标准方对应疾病解锁</x:v>
      </x:c>
    </x:row>
    <x:row r="27" ht="30" customHeight="1">
      <x:c r="A27" s="102" t="n">
        <x:v>59</x:v>
      </x:c>
      <x:c r="B27" s="86" t="str">
        <x:v>当归四逆汤</x:v>
      </x:c>
      <x:c r="C27" s="89" t="str">
        <x:v>当归、桂枝、白芍、细辛、木通、甘草、大枣</x:v>
      </x:c>
      <x:c r="D27" s="89" t="str">
        <x:v>寒凝心脉</x:v>
      </x:c>
      <x:c r="E27" s="89" t="str">
        <x:v>药材齐全 → 方剂解锁 → 标准方对应疾病解锁</x:v>
      </x:c>
    </x:row>
    <x:row r="28" ht="30" customHeight="1">
      <x:c r="A28" s="102" t="n">
        <x:v>60</x:v>
      </x:c>
      <x:c r="B28" s="86" t="str">
        <x:v>导赤散</x:v>
      </x:c>
      <x:c r="C28" s="89" t="str">
        <x:v>生地黄、木通、竹叶、甘草</x:v>
      </x:c>
      <x:c r="D28" s="89" t="str">
        <x:v>心火亢盛</x:v>
      </x:c>
      <x:c r="E28" s="89" t="str">
        <x:v>药材齐全 → 方剂解锁 → 标准方对应疾病解锁</x:v>
      </x:c>
    </x:row>
    <x:row r="29" ht="30" customHeight="1">
      <x:c r="A29" s="102" t="n">
        <x:v>62</x:v>
      </x:c>
      <x:c r="B29" s="86" t="str">
        <x:v>涤痰汤</x:v>
      </x:c>
      <x:c r="C29" s="89" t="str">
        <x:v>半夏、胆南星、枳实、陈皮、竹茹、茯苓、石菖蒲、人参、生姜、甘草</x:v>
      </x:c>
      <x:c r="D29" s="89" t="str">
        <x:v>痰迷心窍</x:v>
      </x:c>
      <x:c r="E29" s="89" t="str">
        <x:v>药材齐全 → 方剂解锁 → 标准方对应疾病解锁</x:v>
      </x:c>
    </x:row>
    <x:row r="30" ht="30" customHeight="1">
      <x:c r="A30" s="102" t="n">
        <x:v>67</x:v>
      </x:c>
      <x:c r="B30" s="86" t="str">
        <x:v>养心汤</x:v>
      </x:c>
      <x:c r="C30" s="89" t="str">
        <x:v>黄芪、人参、当归、茯神、茯苓、酸枣仁、柏子仁、远志、五味子、川芎、半夏、肉桂、甘草、生姜、大枣</x:v>
      </x:c>
      <x:c r="D30" s="89" t="str">
        <x:v>心气虚</x:v>
      </x:c>
      <x:c r="E30" s="89" t="str">
        <x:v>药材齐全 → 方剂解锁 → 标准方对应疾病解锁</x:v>
      </x:c>
    </x:row>
    <x:row r="31" ht="30" customHeight="1">
      <x:c r="A31" s="102" t="n">
        <x:v>72</x:v>
      </x:c>
      <x:c r="B31" s="86" t="str">
        <x:v>逍遥散</x:v>
      </x:c>
      <x:c r="C31" s="89" t="str">
        <x:v>柴胡、当归、白芍、白术、茯苓、生姜、薄荷、甘草</x:v>
      </x:c>
      <x:c r="D31" s="89" t="str">
        <x:v>肝脾不和</x:v>
      </x:c>
      <x:c r="E31" s="89" t="str">
        <x:v>药材齐全 → 方剂解锁 → 标准方对应疾病解锁</x:v>
      </x:c>
    </x:row>
    <x:row r="32" ht="30" customHeight="1">
      <x:c r="A32" s="102" t="n">
        <x:v>72</x:v>
      </x:c>
      <x:c r="B32" s="86" t="str">
        <x:v>血府逐瘀汤</x:v>
      </x:c>
      <x:c r="C32" s="89" t="str">
        <x:v>桃仁、红花、赤芍、川芎、牛膝、当归、生地黄、桔梗、枳壳、柴胡、甘草</x:v>
      </x:c>
      <x:c r="D32" s="89" t="str">
        <x:v>心脉瘀阻</x:v>
      </x:c>
      <x:c r="E32" s="89" t="str">
        <x:v>药材齐全 → 方剂解锁 → 标准方对应疾病解锁</x:v>
      </x:c>
    </x:row>
    <x:row r="33" ht="30" customHeight="1">
      <x:c r="A33" s="102" t="n">
        <x:v>75</x:v>
      </x:c>
      <x:c r="B33" s="86" t="str">
        <x:v>天王补心丹</x:v>
      </x:c>
      <x:c r="C33" s="89" t="str">
        <x:v>生地黄、天门冬、麦门冬、酸枣仁、柏子仁、当归、人参、茯苓、玄参、丹参、远志、五味子、桔梗</x:v>
      </x:c>
      <x:c r="D33" s="89" t="str">
        <x:v>心阴虚</x:v>
      </x:c>
      <x:c r="E33" s="89" t="str">
        <x:v>药材齐全 → 方剂解锁 → 标准方对应疾病解锁</x:v>
      </x:c>
    </x:row>
    <x:row r="34" ht="30" customHeight="1">
      <x:c r="A34" s="102" t="n">
        <x:v>76</x:v>
      </x:c>
      <x:c r="B34" s="86" t="str">
        <x:v>黄连温胆汤</x:v>
      </x:c>
      <x:c r="C34" s="89" t="str">
        <x:v>黄连、半夏、竹茹、陈皮、枳实、茯苓、甘草、生姜、大枣</x:v>
      </x:c>
      <x:c r="D34" s="89" t="str">
        <x:v>痰火扰心</x:v>
      </x:c>
      <x:c r="E34" s="89" t="str">
        <x:v>药材齐全 → 方剂解锁 → 标准方对应疾病解锁</x:v>
      </x:c>
    </x:row>
    <x:row r="35" ht="30" customHeight="1">
      <x:c r="A35" s="102" t="n">
        <x:v>78</x:v>
      </x:c>
      <x:c r="B35" s="86" t="str">
        <x:v>归脾汤</x:v>
      </x:c>
      <x:c r="C35" s="89" t="str">
        <x:v>黄芪、人参、龙眼、白术、当归、酸枣仁、茯神、远志、木香、甘草、生姜、大枣</x:v>
      </x:c>
      <x:c r="D35" s="89" t="str">
        <x:v>心脾两虚</x:v>
      </x:c>
      <x:c r="E35" s="89" t="str">
        <x:v>药材齐全 → 方剂解锁 → 标准方对应疾病解锁</x:v>
      </x:c>
    </x:row>
    <x:row r="36" ht="30" customHeight="1">
      <x:c r="A36" s="102" t="n">
        <x:v>81</x:v>
      </x:c>
      <x:c r="B36" s="86" t="str">
        <x:v>龙胆泻肝汤</x:v>
      </x:c>
      <x:c r="C36" s="89" t="str">
        <x:v>龙胆草、黄芩、栀子、泽泻、木通、车前子、当归、生地黄、柴胡、甘草</x:v>
      </x:c>
      <x:c r="D36" s="89" t="str">
        <x:v>肝火上炎</x:v>
      </x:c>
      <x:c r="E36" s="89" t="str">
        <x:v>药材齐全 → 方剂解锁 → 标准方对应疾病解锁</x:v>
      </x:c>
    </x:row>
    <x:row r="37" ht="30" customHeight="1">
      <x:c r="A37" s="102" t="n">
        <x:v>85</x:v>
      </x:c>
      <x:c r="B37" s="86" t="str">
        <x:v>暖肝煎</x:v>
      </x:c>
      <x:c r="C37" s="89" t="str">
        <x:v>肉桂、茴香、当归、枸杞子、乌药、茯苓、沉香、生姜</x:v>
      </x:c>
      <x:c r="D37" s="89" t="str">
        <x:v>寒滞肝脉</x:v>
      </x:c>
      <x:c r="E37" s="89" t="str">
        <x:v>药材齐全 → 方剂解锁 → 标准方对应疾病解锁</x:v>
      </x:c>
    </x:row>
    <x:row r="38" ht="30" customHeight="1">
      <x:c r="A38" s="102" t="n">
        <x:v>86</x:v>
      </x:c>
      <x:c r="B38" s="86" t="str">
        <x:v>柴胡疏肝散</x:v>
      </x:c>
      <x:c r="C38" s="89" t="str">
        <x:v>柴胡、香附、川芎、陈皮、枳壳、白芍、甘草</x:v>
      </x:c>
      <x:c r="D38" s="89" t="str">
        <x:v>肝气郁结</x:v>
      </x:c>
      <x:c r="E38" s="89" t="str">
        <x:v>药材齐全 → 方剂解锁 → 标准方对应疾病解锁</x:v>
      </x:c>
    </x:row>
    <x:row r="39" ht="30" customHeight="1">
      <x:c r="A39" s="102" t="n">
        <x:v>89</x:v>
      </x:c>
      <x:c r="B39" s="86" t="str">
        <x:v>膈下逐瘀汤</x:v>
      </x:c>
      <x:c r="C39" s="89" t="str">
        <x:v>当归、川芎、赤芍、桃仁、红花、五灵脂、丹皮、香附、乌药、枳壳、延胡索、甘草</x:v>
      </x:c>
      <x:c r="D39" s="89" t="str">
        <x:v>肝血瘀滞</x:v>
      </x:c>
      <x:c r="E39" s="89" t="str">
        <x:v>药材齐全 → 方剂解锁 → 标准方对应疾病解锁</x:v>
      </x:c>
    </x:row>
    <x:row r="40" ht="30" customHeight="1">
      <x:c r="A40" s="102" t="n">
        <x:v>90</x:v>
      </x:c>
      <x:c r="B40" s="86" t="str">
        <x:v>一贯煎</x:v>
      </x:c>
      <x:c r="C40" s="89" t="str">
        <x:v>生地黄、枸杞子、沙参、麦门冬、当归、川楝子</x:v>
      </x:c>
      <x:c r="D40" s="89" t="str">
        <x:v>肝阴虚</x:v>
      </x:c>
      <x:c r="E40" s="89" t="str">
        <x:v>药材齐全 → 方剂解锁 → 标准方对应疾病解锁</x:v>
      </x:c>
    </x:row>
    <x:row r="41" ht="30" customHeight="1">
      <x:c r="A41" s="102" t="n">
        <x:v>92</x:v>
      </x:c>
      <x:c r="B41" s="86" t="str">
        <x:v>钩藤散</x:v>
      </x:c>
      <x:c r="C41" s="89" t="str">
        <x:v>钩藤、菊花、防风、石膏、茯苓、半夏、陈皮、人参、甘草、生姜</x:v>
      </x:c>
      <x:c r="D41" s="89" t="str">
        <x:v>肝阳上亢</x:v>
      </x:c>
      <x:c r="E41" s="89" t="str">
        <x:v>药材齐全 → 方剂解锁 → 标准方对应疾病解锁</x:v>
      </x:c>
    </x:row>
    <x:row r="42" ht="30" customHeight="1">
      <x:c r="A42" s="102" t="n">
        <x:v>93</x:v>
      </x:c>
      <x:c r="B42" s="86" t="str">
        <x:v>人参蛤蚧散</x:v>
      </x:c>
      <x:c r="C42" s="89" t="str">
        <x:v>蛤蚧、人参、知母、贝母、桑白皮、茯苓、杏仁、甘草</x:v>
      </x:c>
      <x:c r="D42" s="89" t="str">
        <x:v>肾不纳气</x:v>
      </x:c>
      <x:c r="E42" s="89" t="str">
        <x:v>药材齐全 → 方剂解锁 → 标准方对应疾病解锁</x:v>
      </x:c>
    </x:row>
    <x:row r="43" ht="30" customHeight="1">
      <x:c r="A43" s="102" t="n">
        <x:v>94</x:v>
      </x:c>
      <x:c r="B43" s="86" t="str">
        <x:v>六味地黄丸</x:v>
      </x:c>
      <x:c r="C43" s="89" t="str">
        <x:v>熟地黄、山茱萸、山药、泽泻、茯苓、丹皮</x:v>
      </x:c>
      <x:c r="D43" s="89" t="str">
        <x:v>肾阴虚</x:v>
      </x:c>
      <x:c r="E43" s="89" t="str">
        <x:v>药材齐全 → 方剂解锁 → 标准方对应疾病解锁</x:v>
      </x:c>
    </x:row>
    <x:row r="44" ht="30" customHeight="1">
      <x:c r="A44" s="102" t="n">
        <x:v>95</x:v>
      </x:c>
      <x:c r="B44" s="86" t="str">
        <x:v>金匮肾气丸</x:v>
      </x:c>
      <x:c r="C44" s="89" t="str">
        <x:v>附子、桂枝、熟地黄、山茱萸、山药、泽泻、茯苓、丹皮</x:v>
      </x:c>
      <x:c r="D44" s="89" t="str">
        <x:v>肾阳虚</x:v>
      </x:c>
      <x:c r="E44" s="89" t="str">
        <x:v>药材齐全 → 方剂解锁 → 标准方对应疾病解锁</x:v>
      </x:c>
    </x:row>
    <x:row r="45" ht="30" customHeight="1">
      <x:c r="A45" s="102" t="n">
        <x:v>95</x:v>
      </x:c>
      <x:c r="B45" s="86" t="str">
        <x:v>真武汤</x:v>
      </x:c>
      <x:c r="C45" s="89" t="str">
        <x:v>附子、茯苓、白术、生姜、白芍</x:v>
      </x:c>
      <x:c r="D45" s="89" t="str">
        <x:v>肾虚水泛</x:v>
      </x:c>
      <x:c r="E45" s="89" t="str">
        <x:v>药材齐全 → 方剂解锁 → 标准方对应疾病解锁</x:v>
      </x:c>
    </x:row>
    <x:row r="46" ht="30" customHeight="1">
      <x:c r="A46" s="102" t="n">
        <x:v>98</x:v>
      </x:c>
      <x:c r="B46" s="86" t="str">
        <x:v>左归丸</x:v>
      </x:c>
      <x:c r="C46" s="89" t="str">
        <x:v>熟地黄、龟板胶、鹿角胶、枸杞子、菟丝子、山茱萸、山药、牛膝</x:v>
      </x:c>
      <x:c r="D46" s="89" t="str">
        <x:v>肾精不足</x:v>
      </x:c>
      <x:c r="E46" s="89" t="str">
        <x:v>药材齐全 → 方剂解锁 → 标准方对应疾病解锁</x:v>
      </x:c>
    </x:row>
    <x:row r="47" ht="30" customHeight="1">
      <x:c r="A47" s="102" t="n">
        <x:v>103</x:v>
      </x:c>
      <x:c r="B47" s="86" t="str">
        <x:v>金锁固精丸</x:v>
      </x:c>
      <x:c r="C47" s="89" t="str">
        <x:v>沙苑子、芡实、龙骨、牡蛎、莲须、莲子</x:v>
      </x:c>
      <x:c r="D47" s="89" t="str">
        <x:v>肾气不固</x:v>
      </x:c>
      <x:c r="E47" s="89" t="str">
        <x:v>药材齐全 → 方剂解锁 → 标准方对应疾病解锁</x:v>
      </x:c>
    </x:row>
    <x:row r="48" ht="30" customHeight="1">
      <x:c r="A48" s="102" t="n">
        <x:v>105</x:v>
      </x:c>
      <x:c r="B48" s="86" t="str">
        <x:v>泰山磐石散</x:v>
      </x:c>
      <x:c r="C48" s="89" t="str">
        <x:v>白术、人参、黄芪、续断、熟地黄、当归、白芍、川芎、黄芩、砂仁、甘草、糯米</x:v>
      </x:c>
      <x:c r="D48" s="89" t="str">
        <x:v>妊娠</x:v>
      </x:c>
      <x:c r="E48" s="89" t="str">
        <x:v>药材齐全 → 方剂解锁 → 标准方对应疾病解锁</x:v>
      </x:c>
    </x:row>
    <x:row r="49" ht="30" customHeight="1">
      <x:c r="A49" s="104" t="n">
        <x:v>107</x:v>
      </x:c>
      <x:c r="B49" s="98" t="str">
        <x:v>黄连阿胶汤</x:v>
      </x:c>
      <x:c r="C49" s="93" t="str">
        <x:v>黄连、黄芩、白芍、阿胶、鸡子黄</x:v>
      </x:c>
      <x:c r="D49" s="93" t="str">
        <x:v>心肾不交</x:v>
      </x:c>
      <x:c r="E49" s="93" t="str">
        <x:v>药材齐全 → 方剂解锁 → 标准方对应疾病解锁</x:v>
      </x:c>
    </x:row>
  </x:sheetData>
  <x:conditionalFormatting sqref="A2:E49">
    <x:cfRule type="expression" dxfId="4" priority="1">
      <x:formula>MOD($A2,2)=0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357bf1345e84b20"/>
  </x:tableParts>
</x:worksheet>
</file>