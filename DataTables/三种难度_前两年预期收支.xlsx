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"/>
    </mc:Choice>
  </mc:AlternateContent>
  <xr:revisionPtr revIDLastSave="0" documentId="13_ncr:1_{1B61BE79-DBBC-4531-A876-1C9074AB236F}" xr6:coauthVersionLast="47" xr6:coauthVersionMax="47" xr10:uidLastSave="{00000000-0000-0000-0000-000000000000}"/>
  <bookViews>
    <workbookView xWindow="-20610" yWindow="3210" windowWidth="20730" windowHeight="11040" activeTab="2" xr2:uid="{00000000-000D-0000-FFFF-FFFF00000000}"/>
  </bookViews>
  <sheets>
    <sheet name="计算口径" sheetId="1" r:id="rId1"/>
    <sheet name="剧情奖励核对" sheetId="2" r:id="rId2"/>
    <sheet name="简单" sheetId="3" r:id="rId3"/>
    <sheet name="普通" sheetId="4" r:id="rId4"/>
    <sheet name="困难" sheetId="5" r:id="rId5"/>
    <sheet name="汇总" sheetId="6" r:id="rId6"/>
    <sheet name="药材收益口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2" i="3"/>
  <c r="L2" i="4"/>
  <c r="L4" i="6"/>
  <c r="H4" i="6"/>
  <c r="F4" i="6"/>
  <c r="L3" i="6"/>
  <c r="H3" i="6"/>
  <c r="F3" i="6"/>
  <c r="L2" i="6"/>
  <c r="H2" i="6"/>
  <c r="F2" i="6"/>
  <c r="F49" i="5"/>
  <c r="J49" i="5" s="1"/>
  <c r="N49" i="5" s="1"/>
  <c r="J48" i="5"/>
  <c r="N48" i="5" s="1"/>
  <c r="F48" i="5"/>
  <c r="F47" i="5"/>
  <c r="J47" i="5" s="1"/>
  <c r="N47" i="5" s="1"/>
  <c r="J46" i="5"/>
  <c r="N46" i="5" s="1"/>
  <c r="F46" i="5"/>
  <c r="F45" i="5"/>
  <c r="J45" i="5" s="1"/>
  <c r="N45" i="5" s="1"/>
  <c r="F44" i="5"/>
  <c r="J44" i="5" s="1"/>
  <c r="N44" i="5" s="1"/>
  <c r="F43" i="5"/>
  <c r="J43" i="5" s="1"/>
  <c r="N43" i="5" s="1"/>
  <c r="J42" i="5"/>
  <c r="N42" i="5" s="1"/>
  <c r="F42" i="5"/>
  <c r="F41" i="5"/>
  <c r="J41" i="5" s="1"/>
  <c r="N41" i="5" s="1"/>
  <c r="J40" i="5"/>
  <c r="N40" i="5" s="1"/>
  <c r="F40" i="5"/>
  <c r="F39" i="5"/>
  <c r="J39" i="5" s="1"/>
  <c r="N39" i="5" s="1"/>
  <c r="J38" i="5"/>
  <c r="N38" i="5" s="1"/>
  <c r="F38" i="5"/>
  <c r="F37" i="5"/>
  <c r="J37" i="5" s="1"/>
  <c r="N37" i="5" s="1"/>
  <c r="F36" i="5"/>
  <c r="J36" i="5" s="1"/>
  <c r="N36" i="5" s="1"/>
  <c r="F35" i="5"/>
  <c r="J35" i="5" s="1"/>
  <c r="N35" i="5" s="1"/>
  <c r="J34" i="5"/>
  <c r="N34" i="5" s="1"/>
  <c r="F34" i="5"/>
  <c r="F33" i="5"/>
  <c r="J33" i="5" s="1"/>
  <c r="N33" i="5" s="1"/>
  <c r="J32" i="5"/>
  <c r="N32" i="5" s="1"/>
  <c r="F32" i="5"/>
  <c r="F31" i="5"/>
  <c r="J31" i="5" s="1"/>
  <c r="N31" i="5" s="1"/>
  <c r="J30" i="5"/>
  <c r="N30" i="5" s="1"/>
  <c r="F30" i="5"/>
  <c r="F29" i="5"/>
  <c r="J29" i="5" s="1"/>
  <c r="N29" i="5" s="1"/>
  <c r="J28" i="5"/>
  <c r="N28" i="5" s="1"/>
  <c r="F28" i="5"/>
  <c r="F27" i="5"/>
  <c r="J27" i="5" s="1"/>
  <c r="N27" i="5" s="1"/>
  <c r="J26" i="5"/>
  <c r="N26" i="5" s="1"/>
  <c r="F26" i="5"/>
  <c r="F25" i="5"/>
  <c r="J25" i="5" s="1"/>
  <c r="N25" i="5" s="1"/>
  <c r="J24" i="5"/>
  <c r="N24" i="5" s="1"/>
  <c r="F24" i="5"/>
  <c r="F23" i="5"/>
  <c r="J23" i="5" s="1"/>
  <c r="N23" i="5" s="1"/>
  <c r="J22" i="5"/>
  <c r="N22" i="5" s="1"/>
  <c r="F22" i="5"/>
  <c r="F21" i="5"/>
  <c r="J21" i="5" s="1"/>
  <c r="N21" i="5" s="1"/>
  <c r="J20" i="5"/>
  <c r="N20" i="5" s="1"/>
  <c r="F20" i="5"/>
  <c r="F19" i="5"/>
  <c r="J19" i="5" s="1"/>
  <c r="N19" i="5" s="1"/>
  <c r="J18" i="5"/>
  <c r="N18" i="5" s="1"/>
  <c r="F18" i="5"/>
  <c r="F17" i="5"/>
  <c r="J17" i="5" s="1"/>
  <c r="N17" i="5" s="1"/>
  <c r="J16" i="5"/>
  <c r="N16" i="5" s="1"/>
  <c r="F16" i="5"/>
  <c r="F15" i="5"/>
  <c r="J15" i="5" s="1"/>
  <c r="N15" i="5" s="1"/>
  <c r="J14" i="5"/>
  <c r="N14" i="5" s="1"/>
  <c r="F14" i="5"/>
  <c r="F13" i="5"/>
  <c r="J13" i="5" s="1"/>
  <c r="N13" i="5" s="1"/>
  <c r="N12" i="5"/>
  <c r="J12" i="5"/>
  <c r="F12" i="5"/>
  <c r="F11" i="5"/>
  <c r="J11" i="5" s="1"/>
  <c r="N11" i="5" s="1"/>
  <c r="J10" i="5"/>
  <c r="N10" i="5" s="1"/>
  <c r="F10" i="5"/>
  <c r="F9" i="5"/>
  <c r="J9" i="5" s="1"/>
  <c r="N9" i="5" s="1"/>
  <c r="J8" i="5"/>
  <c r="N8" i="5" s="1"/>
  <c r="F8" i="5"/>
  <c r="F7" i="5"/>
  <c r="J7" i="5" s="1"/>
  <c r="N7" i="5" s="1"/>
  <c r="J6" i="5"/>
  <c r="N6" i="5" s="1"/>
  <c r="F6" i="5"/>
  <c r="F5" i="5"/>
  <c r="J5" i="5" s="1"/>
  <c r="N5" i="5" s="1"/>
  <c r="J4" i="5"/>
  <c r="N4" i="5" s="1"/>
  <c r="F4" i="5"/>
  <c r="F3" i="5"/>
  <c r="J3" i="5" s="1"/>
  <c r="N3" i="5" s="1"/>
  <c r="M2" i="5"/>
  <c r="M3" i="5" s="1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K2" i="5"/>
  <c r="J2" i="5"/>
  <c r="N2" i="5" s="1"/>
  <c r="F2" i="5"/>
  <c r="F49" i="4"/>
  <c r="J49" i="4" s="1"/>
  <c r="N49" i="4" s="1"/>
  <c r="J48" i="4"/>
  <c r="N48" i="4" s="1"/>
  <c r="F48" i="4"/>
  <c r="F47" i="4"/>
  <c r="J47" i="4" s="1"/>
  <c r="N47" i="4" s="1"/>
  <c r="J46" i="4"/>
  <c r="N46" i="4" s="1"/>
  <c r="F46" i="4"/>
  <c r="F45" i="4"/>
  <c r="J45" i="4" s="1"/>
  <c r="N45" i="4" s="1"/>
  <c r="J44" i="4"/>
  <c r="N44" i="4" s="1"/>
  <c r="F44" i="4"/>
  <c r="F43" i="4"/>
  <c r="J43" i="4" s="1"/>
  <c r="N43" i="4" s="1"/>
  <c r="J42" i="4"/>
  <c r="N42" i="4" s="1"/>
  <c r="F42" i="4"/>
  <c r="F41" i="4"/>
  <c r="J41" i="4" s="1"/>
  <c r="N41" i="4" s="1"/>
  <c r="J40" i="4"/>
  <c r="N40" i="4" s="1"/>
  <c r="F40" i="4"/>
  <c r="F39" i="4"/>
  <c r="J39" i="4" s="1"/>
  <c r="N39" i="4" s="1"/>
  <c r="J38" i="4"/>
  <c r="N38" i="4" s="1"/>
  <c r="F38" i="4"/>
  <c r="F37" i="4"/>
  <c r="J37" i="4" s="1"/>
  <c r="N37" i="4" s="1"/>
  <c r="J36" i="4"/>
  <c r="N36" i="4" s="1"/>
  <c r="F36" i="4"/>
  <c r="F35" i="4"/>
  <c r="J35" i="4" s="1"/>
  <c r="N35" i="4" s="1"/>
  <c r="J34" i="4"/>
  <c r="N34" i="4" s="1"/>
  <c r="F34" i="4"/>
  <c r="F33" i="4"/>
  <c r="J33" i="4" s="1"/>
  <c r="N33" i="4" s="1"/>
  <c r="J32" i="4"/>
  <c r="N32" i="4" s="1"/>
  <c r="F32" i="4"/>
  <c r="F31" i="4"/>
  <c r="J31" i="4" s="1"/>
  <c r="N31" i="4" s="1"/>
  <c r="J30" i="4"/>
  <c r="N30" i="4" s="1"/>
  <c r="F30" i="4"/>
  <c r="F29" i="4"/>
  <c r="J29" i="4" s="1"/>
  <c r="N29" i="4" s="1"/>
  <c r="J28" i="4"/>
  <c r="N28" i="4" s="1"/>
  <c r="F28" i="4"/>
  <c r="F27" i="4"/>
  <c r="J27" i="4" s="1"/>
  <c r="N27" i="4" s="1"/>
  <c r="J26" i="4"/>
  <c r="N26" i="4" s="1"/>
  <c r="F26" i="4"/>
  <c r="F25" i="4"/>
  <c r="J25" i="4" s="1"/>
  <c r="N25" i="4" s="1"/>
  <c r="J24" i="4"/>
  <c r="N24" i="4" s="1"/>
  <c r="F24" i="4"/>
  <c r="J23" i="4"/>
  <c r="N23" i="4" s="1"/>
  <c r="F23" i="4"/>
  <c r="F22" i="4"/>
  <c r="J22" i="4" s="1"/>
  <c r="N22" i="4" s="1"/>
  <c r="F21" i="4"/>
  <c r="J21" i="4" s="1"/>
  <c r="N21" i="4" s="1"/>
  <c r="J20" i="4"/>
  <c r="N20" i="4" s="1"/>
  <c r="F20" i="4"/>
  <c r="F19" i="4"/>
  <c r="J19" i="4" s="1"/>
  <c r="N19" i="4" s="1"/>
  <c r="J18" i="4"/>
  <c r="N18" i="4" s="1"/>
  <c r="F18" i="4"/>
  <c r="N17" i="4"/>
  <c r="F17" i="4"/>
  <c r="J17" i="4" s="1"/>
  <c r="J16" i="4"/>
  <c r="N16" i="4" s="1"/>
  <c r="F16" i="4"/>
  <c r="F15" i="4"/>
  <c r="J15" i="4" s="1"/>
  <c r="N15" i="4" s="1"/>
  <c r="F14" i="4"/>
  <c r="J14" i="4" s="1"/>
  <c r="N14" i="4" s="1"/>
  <c r="F13" i="4"/>
  <c r="J13" i="4" s="1"/>
  <c r="N13" i="4" s="1"/>
  <c r="J12" i="4"/>
  <c r="N12" i="4" s="1"/>
  <c r="F12" i="4"/>
  <c r="F11" i="4"/>
  <c r="J11" i="4" s="1"/>
  <c r="N11" i="4" s="1"/>
  <c r="J10" i="4"/>
  <c r="N10" i="4" s="1"/>
  <c r="F10" i="4"/>
  <c r="N9" i="4"/>
  <c r="F9" i="4"/>
  <c r="J9" i="4" s="1"/>
  <c r="J8" i="4"/>
  <c r="N8" i="4" s="1"/>
  <c r="F8" i="4"/>
  <c r="F7" i="4"/>
  <c r="J7" i="4" s="1"/>
  <c r="N7" i="4" s="1"/>
  <c r="F6" i="4"/>
  <c r="J6" i="4" s="1"/>
  <c r="N6" i="4" s="1"/>
  <c r="F5" i="4"/>
  <c r="J5" i="4" s="1"/>
  <c r="N5" i="4" s="1"/>
  <c r="J4" i="4"/>
  <c r="N4" i="4" s="1"/>
  <c r="F4" i="4"/>
  <c r="J3" i="4"/>
  <c r="N3" i="4" s="1"/>
  <c r="F3" i="4"/>
  <c r="M2" i="4"/>
  <c r="M3" i="4" s="1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J2" i="4"/>
  <c r="F2" i="4"/>
  <c r="F49" i="3"/>
  <c r="J49" i="3" s="1"/>
  <c r="N49" i="3" s="1"/>
  <c r="F48" i="3"/>
  <c r="J48" i="3" s="1"/>
  <c r="N48" i="3" s="1"/>
  <c r="F47" i="3"/>
  <c r="J47" i="3" s="1"/>
  <c r="N47" i="3" s="1"/>
  <c r="F46" i="3"/>
  <c r="J46" i="3" s="1"/>
  <c r="N46" i="3" s="1"/>
  <c r="F45" i="3"/>
  <c r="J45" i="3" s="1"/>
  <c r="N45" i="3" s="1"/>
  <c r="F44" i="3"/>
  <c r="J44" i="3" s="1"/>
  <c r="N44" i="3" s="1"/>
  <c r="F43" i="3"/>
  <c r="J43" i="3" s="1"/>
  <c r="N43" i="3" s="1"/>
  <c r="F42" i="3"/>
  <c r="J42" i="3" s="1"/>
  <c r="N42" i="3" s="1"/>
  <c r="F41" i="3"/>
  <c r="J41" i="3" s="1"/>
  <c r="N41" i="3" s="1"/>
  <c r="F40" i="3"/>
  <c r="J40" i="3" s="1"/>
  <c r="N40" i="3" s="1"/>
  <c r="F39" i="3"/>
  <c r="J39" i="3" s="1"/>
  <c r="N39" i="3" s="1"/>
  <c r="F38" i="3"/>
  <c r="J38" i="3" s="1"/>
  <c r="N38" i="3" s="1"/>
  <c r="F37" i="3"/>
  <c r="J37" i="3" s="1"/>
  <c r="N37" i="3" s="1"/>
  <c r="F36" i="3"/>
  <c r="J36" i="3" s="1"/>
  <c r="N36" i="3" s="1"/>
  <c r="F35" i="3"/>
  <c r="J35" i="3" s="1"/>
  <c r="N35" i="3" s="1"/>
  <c r="J34" i="3"/>
  <c r="N34" i="3" s="1"/>
  <c r="F34" i="3"/>
  <c r="F33" i="3"/>
  <c r="J33" i="3" s="1"/>
  <c r="N33" i="3" s="1"/>
  <c r="F32" i="3"/>
  <c r="J32" i="3" s="1"/>
  <c r="N32" i="3" s="1"/>
  <c r="F31" i="3"/>
  <c r="J31" i="3" s="1"/>
  <c r="N31" i="3" s="1"/>
  <c r="F30" i="3"/>
  <c r="J30" i="3" s="1"/>
  <c r="N30" i="3" s="1"/>
  <c r="F29" i="3"/>
  <c r="J29" i="3" s="1"/>
  <c r="N29" i="3" s="1"/>
  <c r="F28" i="3"/>
  <c r="J28" i="3" s="1"/>
  <c r="N28" i="3" s="1"/>
  <c r="F27" i="3"/>
  <c r="J27" i="3" s="1"/>
  <c r="N27" i="3" s="1"/>
  <c r="F26" i="3"/>
  <c r="J26" i="3" s="1"/>
  <c r="N26" i="3" s="1"/>
  <c r="F25" i="3"/>
  <c r="J25" i="3" s="1"/>
  <c r="N25" i="3" s="1"/>
  <c r="F24" i="3"/>
  <c r="J24" i="3" s="1"/>
  <c r="N24" i="3" s="1"/>
  <c r="J23" i="3"/>
  <c r="N23" i="3" s="1"/>
  <c r="F23" i="3"/>
  <c r="F22" i="3"/>
  <c r="J22" i="3" s="1"/>
  <c r="N22" i="3" s="1"/>
  <c r="J21" i="3"/>
  <c r="N21" i="3" s="1"/>
  <c r="F21" i="3"/>
  <c r="F20" i="3"/>
  <c r="J20" i="3" s="1"/>
  <c r="N20" i="3" s="1"/>
  <c r="F19" i="3"/>
  <c r="J19" i="3" s="1"/>
  <c r="N19" i="3" s="1"/>
  <c r="F18" i="3"/>
  <c r="J18" i="3" s="1"/>
  <c r="N18" i="3" s="1"/>
  <c r="F17" i="3"/>
  <c r="J17" i="3" s="1"/>
  <c r="N17" i="3" s="1"/>
  <c r="F16" i="3"/>
  <c r="J16" i="3" s="1"/>
  <c r="N16" i="3" s="1"/>
  <c r="F15" i="3"/>
  <c r="J15" i="3" s="1"/>
  <c r="N15" i="3" s="1"/>
  <c r="F14" i="3"/>
  <c r="J14" i="3" s="1"/>
  <c r="N14" i="3" s="1"/>
  <c r="F13" i="3"/>
  <c r="J13" i="3" s="1"/>
  <c r="N13" i="3" s="1"/>
  <c r="F12" i="3"/>
  <c r="J12" i="3" s="1"/>
  <c r="N12" i="3" s="1"/>
  <c r="F11" i="3"/>
  <c r="J11" i="3" s="1"/>
  <c r="N11" i="3" s="1"/>
  <c r="F10" i="3"/>
  <c r="J10" i="3" s="1"/>
  <c r="N10" i="3" s="1"/>
  <c r="F9" i="3"/>
  <c r="J9" i="3" s="1"/>
  <c r="N9" i="3" s="1"/>
  <c r="F8" i="3"/>
  <c r="J8" i="3" s="1"/>
  <c r="N8" i="3" s="1"/>
  <c r="F7" i="3"/>
  <c r="J7" i="3" s="1"/>
  <c r="N7" i="3" s="1"/>
  <c r="F6" i="3"/>
  <c r="J6" i="3" s="1"/>
  <c r="N6" i="3" s="1"/>
  <c r="F5" i="3"/>
  <c r="J5" i="3" s="1"/>
  <c r="N5" i="3" s="1"/>
  <c r="F4" i="3"/>
  <c r="J4" i="3" s="1"/>
  <c r="N4" i="3" s="1"/>
  <c r="F3" i="3"/>
  <c r="J3" i="3" s="1"/>
  <c r="N3" i="3" s="1"/>
  <c r="M2" i="3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F2" i="3"/>
  <c r="J2" i="3" s="1"/>
  <c r="G2" i="6" l="1"/>
  <c r="I2" i="6" s="1"/>
  <c r="J2" i="6" s="1"/>
  <c r="K2" i="6"/>
  <c r="M2" i="6" s="1"/>
  <c r="N2" i="6" s="1"/>
  <c r="K2" i="3"/>
  <c r="N2" i="3"/>
  <c r="G4" i="6"/>
  <c r="I4" i="6" s="1"/>
  <c r="J4" i="6" s="1"/>
  <c r="K3" i="6"/>
  <c r="M3" i="6" s="1"/>
  <c r="N3" i="6" s="1"/>
  <c r="G3" i="6"/>
  <c r="I3" i="6" s="1"/>
  <c r="J3" i="6" s="1"/>
  <c r="K2" i="4"/>
  <c r="N2" i="4"/>
  <c r="O2" i="5"/>
  <c r="P2" i="5" s="1"/>
  <c r="K3" i="5"/>
  <c r="K4" i="6"/>
  <c r="M4" i="6" s="1"/>
  <c r="N4" i="6" s="1"/>
  <c r="K4" i="5" l="1"/>
  <c r="O3" i="5"/>
  <c r="P3" i="5" s="1"/>
  <c r="K3" i="3"/>
  <c r="O2" i="3"/>
  <c r="P2" i="3" s="1"/>
  <c r="O2" i="4"/>
  <c r="P2" i="4" s="1"/>
  <c r="K3" i="4"/>
  <c r="K4" i="4" l="1"/>
  <c r="O3" i="4"/>
  <c r="P3" i="4" s="1"/>
  <c r="K4" i="3"/>
  <c r="O3" i="3"/>
  <c r="P3" i="3" s="1"/>
  <c r="O4" i="5"/>
  <c r="P4" i="5" s="1"/>
  <c r="K5" i="5"/>
  <c r="O4" i="4" l="1"/>
  <c r="P4" i="4" s="1"/>
  <c r="K5" i="4"/>
  <c r="K6" i="5"/>
  <c r="O5" i="5"/>
  <c r="P5" i="5" s="1"/>
  <c r="K5" i="3"/>
  <c r="O4" i="3"/>
  <c r="P4" i="3" s="1"/>
  <c r="K6" i="4" l="1"/>
  <c r="O5" i="4"/>
  <c r="P5" i="4" s="1"/>
  <c r="K7" i="5"/>
  <c r="O6" i="5"/>
  <c r="P6" i="5" s="1"/>
  <c r="K6" i="3"/>
  <c r="O5" i="3"/>
  <c r="P5" i="3" s="1"/>
  <c r="K7" i="3" l="1"/>
  <c r="O6" i="3"/>
  <c r="P6" i="3" s="1"/>
  <c r="K7" i="4"/>
  <c r="O6" i="4"/>
  <c r="P6" i="4" s="1"/>
  <c r="K8" i="5"/>
  <c r="O7" i="5"/>
  <c r="P7" i="5" s="1"/>
  <c r="K8" i="4" l="1"/>
  <c r="O7" i="4"/>
  <c r="P7" i="4" s="1"/>
  <c r="O8" i="5"/>
  <c r="P8" i="5" s="1"/>
  <c r="K9" i="5"/>
  <c r="K8" i="3"/>
  <c r="O7" i="3"/>
  <c r="P7" i="3" s="1"/>
  <c r="O9" i="5" l="1"/>
  <c r="P9" i="5" s="1"/>
  <c r="K10" i="5"/>
  <c r="K9" i="3"/>
  <c r="O8" i="3"/>
  <c r="P8" i="3" s="1"/>
  <c r="K9" i="4"/>
  <c r="O8" i="4"/>
  <c r="P8" i="4" s="1"/>
  <c r="O9" i="3" l="1"/>
  <c r="P9" i="3" s="1"/>
  <c r="K10" i="3"/>
  <c r="O10" i="5"/>
  <c r="P10" i="5" s="1"/>
  <c r="K11" i="5"/>
  <c r="K10" i="4"/>
  <c r="O9" i="4"/>
  <c r="P9" i="4" s="1"/>
  <c r="K12" i="5" l="1"/>
  <c r="O11" i="5"/>
  <c r="P11" i="5" s="1"/>
  <c r="K11" i="3"/>
  <c r="O10" i="3"/>
  <c r="P10" i="3" s="1"/>
  <c r="O10" i="4"/>
  <c r="P10" i="4" s="1"/>
  <c r="K11" i="4"/>
  <c r="O11" i="3" l="1"/>
  <c r="P11" i="3" s="1"/>
  <c r="K12" i="3"/>
  <c r="O11" i="4"/>
  <c r="P11" i="4" s="1"/>
  <c r="K12" i="4"/>
  <c r="O12" i="5"/>
  <c r="P12" i="5" s="1"/>
  <c r="K13" i="5"/>
  <c r="O12" i="4" l="1"/>
  <c r="P12" i="4" s="1"/>
  <c r="K13" i="4"/>
  <c r="K14" i="5"/>
  <c r="O13" i="5"/>
  <c r="P13" i="5" s="1"/>
  <c r="K13" i="3"/>
  <c r="O12" i="3"/>
  <c r="P12" i="3" s="1"/>
  <c r="K15" i="5" l="1"/>
  <c r="O14" i="5"/>
  <c r="P14" i="5" s="1"/>
  <c r="K14" i="4"/>
  <c r="O13" i="4"/>
  <c r="P13" i="4" s="1"/>
  <c r="K14" i="3"/>
  <c r="O13" i="3"/>
  <c r="P13" i="3" s="1"/>
  <c r="K15" i="3" l="1"/>
  <c r="O14" i="3"/>
  <c r="P14" i="3" s="1"/>
  <c r="O14" i="4"/>
  <c r="P14" i="4" s="1"/>
  <c r="K15" i="4"/>
  <c r="K16" i="5"/>
  <c r="O15" i="5"/>
  <c r="P15" i="5" s="1"/>
  <c r="K16" i="4" l="1"/>
  <c r="O15" i="4"/>
  <c r="P15" i="4" s="1"/>
  <c r="O16" i="5"/>
  <c r="P16" i="5" s="1"/>
  <c r="K17" i="5"/>
  <c r="O15" i="3"/>
  <c r="P15" i="3" s="1"/>
  <c r="K16" i="3"/>
  <c r="O17" i="5" l="1"/>
  <c r="P17" i="5" s="1"/>
  <c r="K18" i="5"/>
  <c r="K17" i="3"/>
  <c r="O16" i="3"/>
  <c r="P16" i="3" s="1"/>
  <c r="K17" i="4"/>
  <c r="O16" i="4"/>
  <c r="P16" i="4" s="1"/>
  <c r="O17" i="3" l="1"/>
  <c r="P17" i="3" s="1"/>
  <c r="K18" i="3"/>
  <c r="O18" i="5"/>
  <c r="P18" i="5" s="1"/>
  <c r="K19" i="5"/>
  <c r="K18" i="4"/>
  <c r="O17" i="4"/>
  <c r="P17" i="4" s="1"/>
  <c r="K20" i="5" l="1"/>
  <c r="O19" i="5"/>
  <c r="P19" i="5" s="1"/>
  <c r="K19" i="3"/>
  <c r="O18" i="3"/>
  <c r="P18" i="3" s="1"/>
  <c r="O18" i="4"/>
  <c r="P18" i="4" s="1"/>
  <c r="K19" i="4"/>
  <c r="O19" i="3" l="1"/>
  <c r="P19" i="3" s="1"/>
  <c r="K20" i="3"/>
  <c r="K20" i="4"/>
  <c r="O19" i="4"/>
  <c r="P19" i="4" s="1"/>
  <c r="O20" i="5"/>
  <c r="P20" i="5" s="1"/>
  <c r="K21" i="5"/>
  <c r="O20" i="4" l="1"/>
  <c r="P20" i="4" s="1"/>
  <c r="K21" i="4"/>
  <c r="K22" i="5"/>
  <c r="O21" i="5"/>
  <c r="P21" i="5" s="1"/>
  <c r="K21" i="3"/>
  <c r="O20" i="3"/>
  <c r="P20" i="3" s="1"/>
  <c r="K23" i="5" l="1"/>
  <c r="O22" i="5"/>
  <c r="P22" i="5" s="1"/>
  <c r="K22" i="4"/>
  <c r="O21" i="4"/>
  <c r="P21" i="4" s="1"/>
  <c r="K22" i="3"/>
  <c r="O21" i="3"/>
  <c r="P21" i="3" s="1"/>
  <c r="K23" i="4" l="1"/>
  <c r="O22" i="4"/>
  <c r="P22" i="4" s="1"/>
  <c r="K23" i="3"/>
  <c r="O22" i="3"/>
  <c r="P22" i="3" s="1"/>
  <c r="K24" i="5"/>
  <c r="O23" i="5"/>
  <c r="P23" i="5" s="1"/>
  <c r="O23" i="3" l="1"/>
  <c r="P23" i="3" s="1"/>
  <c r="K24" i="3"/>
  <c r="O24" i="5"/>
  <c r="P24" i="5" s="1"/>
  <c r="K25" i="5"/>
  <c r="K24" i="4"/>
  <c r="O23" i="4"/>
  <c r="P23" i="4" s="1"/>
  <c r="O25" i="5" l="1"/>
  <c r="P25" i="5" s="1"/>
  <c r="K26" i="5"/>
  <c r="K25" i="3"/>
  <c r="O24" i="3"/>
  <c r="P24" i="3" s="1"/>
  <c r="K25" i="4"/>
  <c r="O24" i="4"/>
  <c r="P24" i="4" s="1"/>
  <c r="O25" i="3" l="1"/>
  <c r="P25" i="3" s="1"/>
  <c r="K26" i="3"/>
  <c r="O26" i="5"/>
  <c r="P26" i="5" s="1"/>
  <c r="K27" i="5"/>
  <c r="K26" i="4"/>
  <c r="O25" i="4"/>
  <c r="P25" i="4" s="1"/>
  <c r="K28" i="5" l="1"/>
  <c r="O27" i="5"/>
  <c r="P27" i="5" s="1"/>
  <c r="K27" i="3"/>
  <c r="O26" i="3"/>
  <c r="P26" i="3" s="1"/>
  <c r="O26" i="4"/>
  <c r="P26" i="4" s="1"/>
  <c r="K27" i="4"/>
  <c r="K28" i="3" l="1"/>
  <c r="O27" i="3"/>
  <c r="P27" i="3" s="1"/>
  <c r="K28" i="4"/>
  <c r="O27" i="4"/>
  <c r="P27" i="4" s="1"/>
  <c r="O28" i="5"/>
  <c r="P28" i="5" s="1"/>
  <c r="K29" i="5"/>
  <c r="O28" i="4" l="1"/>
  <c r="P28" i="4" s="1"/>
  <c r="K29" i="4"/>
  <c r="K30" i="5"/>
  <c r="O29" i="5"/>
  <c r="P29" i="5" s="1"/>
  <c r="O28" i="3"/>
  <c r="P28" i="3" s="1"/>
  <c r="K29" i="3"/>
  <c r="K31" i="5" l="1"/>
  <c r="O30" i="5"/>
  <c r="P30" i="5" s="1"/>
  <c r="O29" i="3"/>
  <c r="P29" i="3" s="1"/>
  <c r="K30" i="3"/>
  <c r="K30" i="4"/>
  <c r="O29" i="4"/>
  <c r="P29" i="4" s="1"/>
  <c r="K31" i="3" l="1"/>
  <c r="O30" i="3"/>
  <c r="P30" i="3" s="1"/>
  <c r="O30" i="4"/>
  <c r="P30" i="4" s="1"/>
  <c r="K31" i="4"/>
  <c r="K32" i="5"/>
  <c r="O31" i="5"/>
  <c r="P31" i="5" s="1"/>
  <c r="K32" i="4" l="1"/>
  <c r="O31" i="4"/>
  <c r="P31" i="4" s="1"/>
  <c r="O32" i="5"/>
  <c r="P32" i="5" s="1"/>
  <c r="K33" i="5"/>
  <c r="K32" i="3"/>
  <c r="O31" i="3"/>
  <c r="P31" i="3" s="1"/>
  <c r="K34" i="5" l="1"/>
  <c r="O33" i="5"/>
  <c r="P33" i="5" s="1"/>
  <c r="K33" i="3"/>
  <c r="O32" i="3"/>
  <c r="P32" i="3" s="1"/>
  <c r="O32" i="4"/>
  <c r="P32" i="4" s="1"/>
  <c r="K33" i="4"/>
  <c r="K34" i="3" l="1"/>
  <c r="O33" i="3"/>
  <c r="P33" i="3" s="1"/>
  <c r="K34" i="4"/>
  <c r="O33" i="4"/>
  <c r="P33" i="4" s="1"/>
  <c r="O34" i="5"/>
  <c r="P34" i="5" s="1"/>
  <c r="K35" i="5"/>
  <c r="O34" i="4" l="1"/>
  <c r="P34" i="4" s="1"/>
  <c r="K35" i="4"/>
  <c r="K36" i="5"/>
  <c r="O35" i="5"/>
  <c r="P35" i="5" s="1"/>
  <c r="O34" i="3"/>
  <c r="P34" i="3" s="1"/>
  <c r="K35" i="3"/>
  <c r="O36" i="5" l="1"/>
  <c r="P36" i="5" s="1"/>
  <c r="K37" i="5"/>
  <c r="K36" i="3"/>
  <c r="O35" i="3"/>
  <c r="P35" i="3" s="1"/>
  <c r="K36" i="4"/>
  <c r="O35" i="4"/>
  <c r="P35" i="4" s="1"/>
  <c r="O36" i="3" l="1"/>
  <c r="P36" i="3" s="1"/>
  <c r="K37" i="3"/>
  <c r="K38" i="5"/>
  <c r="O37" i="5"/>
  <c r="P37" i="5" s="1"/>
  <c r="O36" i="4"/>
  <c r="P36" i="4" s="1"/>
  <c r="K37" i="4"/>
  <c r="K39" i="5" l="1"/>
  <c r="O38" i="5"/>
  <c r="P38" i="5" s="1"/>
  <c r="K38" i="4"/>
  <c r="O37" i="4"/>
  <c r="P37" i="4" s="1"/>
  <c r="K38" i="3"/>
  <c r="O37" i="3"/>
  <c r="P37" i="3" s="1"/>
  <c r="O38" i="4" l="1"/>
  <c r="P38" i="4" s="1"/>
  <c r="K39" i="4"/>
  <c r="O38" i="3"/>
  <c r="P38" i="3" s="1"/>
  <c r="K39" i="3"/>
  <c r="K40" i="5"/>
  <c r="O39" i="5"/>
  <c r="P39" i="5" s="1"/>
  <c r="K40" i="3" l="1"/>
  <c r="O39" i="3"/>
  <c r="P39" i="3" s="1"/>
  <c r="K40" i="4"/>
  <c r="O39" i="4"/>
  <c r="P39" i="4" s="1"/>
  <c r="O40" i="5"/>
  <c r="P40" i="5" s="1"/>
  <c r="K41" i="5"/>
  <c r="O40" i="4" l="1"/>
  <c r="P40" i="4" s="1"/>
  <c r="K41" i="4"/>
  <c r="O41" i="5"/>
  <c r="P41" i="5" s="1"/>
  <c r="K42" i="5"/>
  <c r="K41" i="3"/>
  <c r="O40" i="3"/>
  <c r="P40" i="3" s="1"/>
  <c r="O42" i="5" l="1"/>
  <c r="P42" i="5" s="1"/>
  <c r="K43" i="5"/>
  <c r="K42" i="4"/>
  <c r="O41" i="4"/>
  <c r="P41" i="4" s="1"/>
  <c r="K42" i="3"/>
  <c r="O41" i="3"/>
  <c r="P41" i="3" s="1"/>
  <c r="O42" i="4" l="1"/>
  <c r="P42" i="4" s="1"/>
  <c r="K43" i="4"/>
  <c r="K44" i="5"/>
  <c r="O43" i="5"/>
  <c r="P43" i="5" s="1"/>
  <c r="O42" i="3"/>
  <c r="P42" i="3" s="1"/>
  <c r="K43" i="3"/>
  <c r="O44" i="5" l="1"/>
  <c r="P44" i="5" s="1"/>
  <c r="K45" i="5"/>
  <c r="K44" i="3"/>
  <c r="O43" i="3"/>
  <c r="P43" i="3" s="1"/>
  <c r="K44" i="4"/>
  <c r="O43" i="4"/>
  <c r="P43" i="4" s="1"/>
  <c r="O44" i="3" l="1"/>
  <c r="P44" i="3" s="1"/>
  <c r="K45" i="3"/>
  <c r="K46" i="5"/>
  <c r="O45" i="5"/>
  <c r="P45" i="5" s="1"/>
  <c r="O44" i="4"/>
  <c r="P44" i="4" s="1"/>
  <c r="K45" i="4"/>
  <c r="K47" i="5" l="1"/>
  <c r="O46" i="5"/>
  <c r="P46" i="5" s="1"/>
  <c r="K46" i="4"/>
  <c r="O45" i="4"/>
  <c r="P45" i="4" s="1"/>
  <c r="K46" i="3"/>
  <c r="O45" i="3"/>
  <c r="P45" i="3" s="1"/>
  <c r="K47" i="4" l="1"/>
  <c r="O46" i="4"/>
  <c r="P46" i="4" s="1"/>
  <c r="K47" i="3"/>
  <c r="O46" i="3"/>
  <c r="P46" i="3" s="1"/>
  <c r="K48" i="5"/>
  <c r="O47" i="5"/>
  <c r="P47" i="5" s="1"/>
  <c r="K48" i="3" l="1"/>
  <c r="O47" i="3"/>
  <c r="P47" i="3" s="1"/>
  <c r="O48" i="5"/>
  <c r="P48" i="5" s="1"/>
  <c r="K49" i="5"/>
  <c r="O49" i="5" s="1"/>
  <c r="P49" i="5" s="1"/>
  <c r="O4" i="6" s="1"/>
  <c r="P4" i="6" s="1"/>
  <c r="K48" i="4"/>
  <c r="O47" i="4"/>
  <c r="P47" i="4" s="1"/>
  <c r="O48" i="4" l="1"/>
  <c r="P48" i="4" s="1"/>
  <c r="K49" i="4"/>
  <c r="O49" i="4" s="1"/>
  <c r="P49" i="4" s="1"/>
  <c r="O3" i="6" s="1"/>
  <c r="P3" i="6" s="1"/>
  <c r="K49" i="3"/>
  <c r="O49" i="3" s="1"/>
  <c r="P49" i="3" s="1"/>
  <c r="O48" i="3"/>
  <c r="P48" i="3" s="1"/>
  <c r="O2" i="6" l="1"/>
  <c r="P2" i="6" s="1"/>
</calcChain>
</file>

<file path=xl/sharedStrings.xml><?xml version="1.0" encoding="utf-8"?>
<sst xmlns="http://schemas.openxmlformats.org/spreadsheetml/2006/main" count="519" uniqueCount="294">
  <si>
    <t>项目</t>
  </si>
  <si>
    <t>当前口径</t>
  </si>
  <si>
    <t>初始资金</t>
  </si>
  <si>
    <t>简单难度</t>
  </si>
  <si>
    <t>李言闻1000文/节气；每天2次妙手回春</t>
  </si>
  <si>
    <t>普通难度</t>
  </si>
  <si>
    <t>李言闻500文/节气；每天3次妙手回春</t>
  </si>
  <si>
    <t>困难难度</t>
  </si>
  <si>
    <t>李言闻0文/节气；每天4次妙手回春</t>
  </si>
  <si>
    <t>第一年立春</t>
  </si>
  <si>
    <t>剧情跳过，无普通随机NPC诊疗</t>
  </si>
  <si>
    <t>妙手回春</t>
  </si>
  <si>
    <t>每人名望+10、心得+1</t>
  </si>
  <si>
    <t>药材净收入预期</t>
  </si>
  <si>
    <t>按每名随机病人生成时的已解锁疾病/方剂池动态计算；不再固定使用106.90625文/次</t>
  </si>
  <si>
    <t>病家谢仪期望</t>
  </si>
  <si>
    <t>田租</t>
  </si>
  <si>
    <t>大暑+5000文；霜降+15000文</t>
  </si>
  <si>
    <t>李建中俸禄</t>
  </si>
  <si>
    <t>按用户要求不触发</t>
  </si>
  <si>
    <t>004_02 老师</t>
  </si>
  <si>
    <t>银钱0、名望0、心得0</t>
  </si>
  <si>
    <t>005_02 世子</t>
  </si>
  <si>
    <t>银钱+1000、名望+1000、心得0；night_end结算</t>
  </si>
  <si>
    <t>谢飞燕两次治疗</t>
  </si>
  <si>
    <t>023_02 +1000文；024_02 +1000文；合计+2000文</t>
  </si>
  <si>
    <t>024_04 王百堂</t>
  </si>
  <si>
    <t>心得+7，影响后续条目/剧情解锁时间</t>
  </si>
  <si>
    <t>方剂解锁假设</t>
  </si>
  <si>
    <t>药材条目达到心得阈值后及时阅读；药材齐全即解锁方剂及对应疾病</t>
  </si>
  <si>
    <t>同节气内动态更新</t>
  </si>
  <si>
    <t>每次妙手回春+1心得，下一名random NPC立即按新解锁池计算期望药材收益</t>
  </si>
  <si>
    <t>022_02 敬亭</t>
  </si>
  <si>
    <t>银钱+1000；按本次用户要求加入（当前项目数据中的人物名为柳敬亭）</t>
  </si>
  <si>
    <t>剧情ID</t>
  </si>
  <si>
    <t>剧情</t>
  </si>
  <si>
    <t>银钱</t>
  </si>
  <si>
    <t>名望</t>
  </si>
  <si>
    <t>心得</t>
  </si>
  <si>
    <t>GitHub current main</t>
  </si>
  <si>
    <t>说明</t>
  </si>
  <si>
    <t>005_02</t>
  </si>
  <si>
    <t>治愈世子</t>
  </si>
  <si>
    <t>https://github.com/lqc19891229/Doctor/blob/main/Data/Story/005_02.tres</t>
  </si>
  <si>
    <t>night_end；+1000名望从下一节气普通诊费开始产生完整影响</t>
  </si>
  <si>
    <t>014_02</t>
  </si>
  <si>
    <t>沈修文治疗成功</t>
  </si>
  <si>
    <t>https://github.com/lqc19891229/Doctor/blob/main/Data/Story/014_02.tres</t>
  </si>
  <si>
    <t>前置剧情链满足且心脾两虚已解锁后触发</t>
  </si>
  <si>
    <t>017_02</t>
  </si>
  <si>
    <t>杨善泉治疗成功</t>
  </si>
  <si>
    <t>https://github.com/lqc19891229/Doctor/blob/main/Data/Story/017_02.tres</t>
  </si>
  <si>
    <t>前置剧情链满足且肾气不固已解锁后触发</t>
  </si>
  <si>
    <t>022_02</t>
  </si>
  <si>
    <t>敬亭治疗成功</t>
  </si>
  <si>
    <t>用户本次指定（待同步项目数据）</t>
  </si>
  <si>
    <t>用户要求加入+1000文；当前项目数据人物为柳敬亭（liu_jing_ting）</t>
  </si>
  <si>
    <t>023_02</t>
  </si>
  <si>
    <t>谢飞燕肺气虚治疗成功</t>
  </si>
  <si>
    <t>https://github.com/lqc19891229/Doctor/blob/main/Data/Story/023_02.tres</t>
  </si>
  <si>
    <t>谢飞燕第一笔1000文</t>
  </si>
  <si>
    <t>024_02</t>
  </si>
  <si>
    <t>谢飞燕肺阴虚治疗成功</t>
  </si>
  <si>
    <t>https://github.com/lqc19891229/Doctor/blob/main/Data/Story/024_02.tres</t>
  </si>
  <si>
    <t>谢飞燕第二笔1000文</t>
  </si>
  <si>
    <t>024_04</t>
  </si>
  <si>
    <t>王百堂来访</t>
  </si>
  <si>
    <t>https://github.com/lqc19891229/Doctor/blob/main/Data/Story/024_04.tres</t>
  </si>
  <si>
    <t>无银钱，但+7心得会提前后续条目/剧情</t>
  </si>
  <si>
    <t>025_02</t>
  </si>
  <si>
    <t>和尚肾精不足治疗成功</t>
  </si>
  <si>
    <t>https://github.com/lqc19891229/Doctor/blob/main/Data/Story/025_02.tres</t>
  </si>
  <si>
    <t>前两年内部分难度可触发</t>
  </si>
  <si>
    <t>年份</t>
  </si>
  <si>
    <t>节气</t>
  </si>
  <si>
    <t>妙手回春次数</t>
  </si>
  <si>
    <t>李言闻收入</t>
  </si>
  <si>
    <t>诊费预期</t>
  </si>
  <si>
    <t>谢仪预期</t>
  </si>
  <si>
    <t>剧情银钱奖励</t>
  </si>
  <si>
    <t>预期收入</t>
  </si>
  <si>
    <t>累计预期收入</t>
  </si>
  <si>
    <t>预期支出</t>
  </si>
  <si>
    <t>累计预期支出</t>
  </si>
  <si>
    <t>本节气收支差</t>
  </si>
  <si>
    <t>累计收支差</t>
  </si>
  <si>
    <t>含初始资金余额</t>
  </si>
  <si>
    <t>节气末名望</t>
  </si>
  <si>
    <t>节气末心得</t>
  </si>
  <si>
    <t>剧情备注</t>
  </si>
  <si>
    <t>立春</t>
  </si>
  <si>
    <t>雨水</t>
  </si>
  <si>
    <t>惊蛰</t>
  </si>
  <si>
    <t>春分</t>
  </si>
  <si>
    <t>清明</t>
  </si>
  <si>
    <t>谷雨</t>
  </si>
  <si>
    <t>立夏</t>
  </si>
  <si>
    <t>小满</t>
  </si>
  <si>
    <t>芒种</t>
  </si>
  <si>
    <t>022_02 敬亭治疗成功（银钱+1000）</t>
  </si>
  <si>
    <t>夏至</t>
  </si>
  <si>
    <t>小暑</t>
  </si>
  <si>
    <t>大暑</t>
  </si>
  <si>
    <t>立秋</t>
  </si>
  <si>
    <t>处暑</t>
  </si>
  <si>
    <t>白露</t>
  </si>
  <si>
    <t>秋分</t>
  </si>
  <si>
    <t>寒露</t>
  </si>
  <si>
    <t>霜降</t>
  </si>
  <si>
    <t>立冬</t>
  </si>
  <si>
    <t>小雪</t>
  </si>
  <si>
    <t>大雪</t>
  </si>
  <si>
    <t>冬至</t>
  </si>
  <si>
    <t>023_02 谢飞燕肺气虚（银钱+1000）</t>
  </si>
  <si>
    <t>小寒</t>
  </si>
  <si>
    <t>大寒</t>
  </si>
  <si>
    <t>024_02 谢飞燕肺阴虚（银钱+1000）</t>
  </si>
  <si>
    <t>024_04 王百堂来访（心得+7）；005_02 治愈世子（银钱+1000，名望+1000）</t>
  </si>
  <si>
    <t>025_02 和尚肾精不足（银钱+2000）</t>
  </si>
  <si>
    <t>014_02 沈修文治疗成功（银钱+1000）</t>
  </si>
  <si>
    <t>005_02 治愈世子（银钱+1000，名望+1000）</t>
  </si>
  <si>
    <t>024_04 王百堂来访（心得+7）</t>
  </si>
  <si>
    <t>017_02 杨善泉治疗成功（银钱+1000）</t>
  </si>
  <si>
    <t>难度</t>
  </si>
  <si>
    <t>每天妙手回春</t>
  </si>
  <si>
    <t>李言闻/节气</t>
  </si>
  <si>
    <t>谢飞燕两笔触发</t>
  </si>
  <si>
    <t>世子触发</t>
  </si>
  <si>
    <t>前两年剧情银钱合计</t>
  </si>
  <si>
    <t>第一年收入</t>
  </si>
  <si>
    <t>第一年支出</t>
  </si>
  <si>
    <t>第一年收支差</t>
  </si>
  <si>
    <t>第一年末余额</t>
  </si>
  <si>
    <t>两年总收入</t>
  </si>
  <si>
    <t>两年总支出</t>
  </si>
  <si>
    <t>两年收支差</t>
  </si>
  <si>
    <t>两年末余额</t>
  </si>
  <si>
    <t>最低余额</t>
  </si>
  <si>
    <t>最低点</t>
  </si>
  <si>
    <t>简单</t>
  </si>
  <si>
    <t>第1年冬至、第1年大寒</t>
  </si>
  <si>
    <t>第2年惊蛰</t>
  </si>
  <si>
    <t>普通</t>
  </si>
  <si>
    <t>第1年秋分、第1年寒露</t>
  </si>
  <si>
    <t>第1年小雪</t>
  </si>
  <si>
    <t>困难</t>
  </si>
  <si>
    <t>第1年大暑、第1年立秋</t>
  </si>
  <si>
    <t>第1年白露</t>
  </si>
  <si>
    <t>触发节气</t>
  </si>
  <si>
    <t>银钱奖励</t>
  </si>
  <si>
    <t>名望/心得影响</t>
  </si>
  <si>
    <t>022_02 敬亭治疗成功（项目数据：柳敬亭）</t>
  </si>
  <si>
    <t>第1年芒种</t>
  </si>
  <si>
    <t>按本次用户要求补充+1000文</t>
  </si>
  <si>
    <t>023_02 谢飞燕肺气虚</t>
  </si>
  <si>
    <t>第1年冬至</t>
  </si>
  <si>
    <t>同一节气若有多个剧情，奖励合并计入该节气</t>
  </si>
  <si>
    <t>024_02 谢飞燕肺阴虚</t>
  </si>
  <si>
    <t>第1年大寒</t>
  </si>
  <si>
    <t>名望+1000、心得+7</t>
  </si>
  <si>
    <t>025_02 和尚肾精不足</t>
  </si>
  <si>
    <t>第2年大寒</t>
  </si>
  <si>
    <t>第1年立夏</t>
  </si>
  <si>
    <t>第1年秋分</t>
  </si>
  <si>
    <t>第1年寒露</t>
  </si>
  <si>
    <t>第2年芒种</t>
  </si>
  <si>
    <t>014_02 沈修文治疗成功</t>
  </si>
  <si>
    <t>第2年小雪</t>
  </si>
  <si>
    <t>第1年谷雨</t>
  </si>
  <si>
    <t>第1年大暑</t>
  </si>
  <si>
    <t>第1年立秋</t>
  </si>
  <si>
    <t>005_02 治愈世子</t>
  </si>
  <si>
    <t>名望+1000</t>
  </si>
  <si>
    <t>024_04 王百堂来访</t>
  </si>
  <si>
    <t>心得+7</t>
  </si>
  <si>
    <t>第2年立春</t>
  </si>
  <si>
    <t>第2年立秋</t>
  </si>
  <si>
    <t>017_02 杨善泉治疗成功</t>
  </si>
  <si>
    <t>第2年霜降</t>
  </si>
  <si>
    <t>解锁心得阈值</t>
  </si>
  <si>
    <t>方剂</t>
  </si>
  <si>
    <t>标准病证</t>
  </si>
  <si>
    <t>单剂净收益（文）</t>
  </si>
  <si>
    <t>解锁后累计方剂数</t>
  </si>
  <si>
    <t>解锁后随机病人药材净收益均值（文）</t>
  </si>
  <si>
    <t>当前心得</t>
  </si>
  <si>
    <t>随机病人药材净收益期望/次（文）</t>
  </si>
  <si>
    <t>已解锁方剂数</t>
  </si>
  <si>
    <t>口径说明</t>
  </si>
  <si>
    <t>内容</t>
  </si>
  <si>
    <t>桂枝汤</t>
  </si>
  <si>
    <t>风寒表虚证</t>
  </si>
  <si>
    <t>随机病人疾病池</t>
  </si>
  <si>
    <t>每次生成 random NPC 时，从当前已解锁疾病中随机抽取</t>
  </si>
  <si>
    <t>桂枝甘草汤</t>
  </si>
  <si>
    <t>心阳虚</t>
  </si>
  <si>
    <t>方剂解锁</t>
  </si>
  <si>
    <t>按所需药材的最高心得阈值；假设条目解锁后及时阅读药材</t>
  </si>
  <si>
    <t>麻黄汤</t>
  </si>
  <si>
    <t>风寒表实证</t>
  </si>
  <si>
    <t>心得更新</t>
  </si>
  <si>
    <t>每次妙手回春 +1；下一名病人立即使用更新后的解锁池</t>
  </si>
  <si>
    <t>银翘散</t>
  </si>
  <si>
    <t>风热表证</t>
  </si>
  <si>
    <t>妊娠限制</t>
  </si>
  <si>
    <t>妊娠仅女性18–50岁 random NPC 可抽取；当前模板占比 17/51</t>
  </si>
  <si>
    <t>桑杏汤</t>
  </si>
  <si>
    <t>温燥证</t>
  </si>
  <si>
    <t>二陈汤</t>
  </si>
  <si>
    <t>痰湿阻肺</t>
  </si>
  <si>
    <t>杏苏散</t>
  </si>
  <si>
    <t>凉燥证</t>
  </si>
  <si>
    <t>玉屏风散</t>
  </si>
  <si>
    <t>卫气虚</t>
  </si>
  <si>
    <t>乌头汤</t>
  </si>
  <si>
    <t>痛痹</t>
  </si>
  <si>
    <t>大青龙汤</t>
  </si>
  <si>
    <t>表寒里热</t>
  </si>
  <si>
    <t>麻杏石甘汤</t>
  </si>
  <si>
    <t>肺热壅盛</t>
  </si>
  <si>
    <t>白虎桂枝汤</t>
  </si>
  <si>
    <t>热痹</t>
  </si>
  <si>
    <t>白虎汤</t>
  </si>
  <si>
    <t>气分热盛</t>
  </si>
  <si>
    <t>薏苡仁汤</t>
  </si>
  <si>
    <t>着痹</t>
  </si>
  <si>
    <t>防风汤</t>
  </si>
  <si>
    <t>行痹</t>
  </si>
  <si>
    <t>四君子汤</t>
  </si>
  <si>
    <t>脾气虚</t>
  </si>
  <si>
    <t>四物汤</t>
  </si>
  <si>
    <t>肝血虚</t>
  </si>
  <si>
    <t>补肺汤</t>
  </si>
  <si>
    <t>肺气虚</t>
  </si>
  <si>
    <t>沙参麦冬汤</t>
  </si>
  <si>
    <t>肺阴虚</t>
  </si>
  <si>
    <t>清气化痰丸</t>
  </si>
  <si>
    <t>痰热壅肺</t>
  </si>
  <si>
    <t>理中丸</t>
  </si>
  <si>
    <t>脾阳虚</t>
  </si>
  <si>
    <t>小青龙汤</t>
  </si>
  <si>
    <t>表寒里饮</t>
  </si>
  <si>
    <t>平胃散</t>
  </si>
  <si>
    <t>湿盛困脾</t>
  </si>
  <si>
    <t>参苓白术散</t>
  </si>
  <si>
    <t>脾虚湿盛</t>
  </si>
  <si>
    <t>藿香正气散</t>
  </si>
  <si>
    <t>外感风寒，内伤湿滞</t>
  </si>
  <si>
    <t>当归四逆汤</t>
  </si>
  <si>
    <t>寒凝心脉</t>
  </si>
  <si>
    <t>导赤散</t>
  </si>
  <si>
    <t>心火亢盛</t>
  </si>
  <si>
    <t>涤痰汤</t>
  </si>
  <si>
    <t>痰迷心窍</t>
  </si>
  <si>
    <t>养心汤</t>
  </si>
  <si>
    <t>心气虚</t>
  </si>
  <si>
    <t>血府逐瘀汤</t>
  </si>
  <si>
    <t>心脉瘀阻</t>
  </si>
  <si>
    <t>逍遥散</t>
  </si>
  <si>
    <t>肝脾不和</t>
  </si>
  <si>
    <t>天王补心丹</t>
  </si>
  <si>
    <t>心阴虚</t>
  </si>
  <si>
    <t>黄连温胆汤</t>
  </si>
  <si>
    <t>痰火扰心</t>
  </si>
  <si>
    <t>归脾汤</t>
  </si>
  <si>
    <t>心脾两虚</t>
  </si>
  <si>
    <t>龙胆泻肝汤</t>
  </si>
  <si>
    <t>肝火上炎</t>
  </si>
  <si>
    <t>暖肝煎</t>
  </si>
  <si>
    <t>寒滞肝脉</t>
  </si>
  <si>
    <t>柴胡疏肝散</t>
  </si>
  <si>
    <t>肝气郁结</t>
  </si>
  <si>
    <t>膈下逐瘀汤</t>
  </si>
  <si>
    <t>肝血瘀滞</t>
  </si>
  <si>
    <t>一贯煎</t>
  </si>
  <si>
    <t>肝阴虚</t>
  </si>
  <si>
    <t>钩藤散</t>
  </si>
  <si>
    <t>肝阳上亢</t>
  </si>
  <si>
    <t>人参蛤蚧散</t>
  </si>
  <si>
    <t>肾不纳气</t>
  </si>
  <si>
    <t>六味地黄丸</t>
  </si>
  <si>
    <t>肾阴虚</t>
  </si>
  <si>
    <t>真武汤</t>
  </si>
  <si>
    <t>肾虚水泛</t>
  </si>
  <si>
    <t>金匮肾气丸</t>
  </si>
  <si>
    <t>肾阳虚</t>
  </si>
  <si>
    <t>左归丸</t>
  </si>
  <si>
    <t>肾精不足</t>
  </si>
  <si>
    <t>金锁固精丸</t>
  </si>
  <si>
    <t>肾气不固</t>
  </si>
  <si>
    <t>泰山磐石散</t>
  </si>
  <si>
    <t>妊娠</t>
  </si>
  <si>
    <t>黄连阿胶汤</t>
  </si>
  <si>
    <t>心肾不交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</si>
</sst>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#,##0.0;[Red]\(#,##0.0\);\-"/>
    <numFmt numFmtId="178" formatCode="0.0"/>
    <numFmt numFmtId="179" formatCode="0.000"/>
    <numFmt numFmtId="180" formatCode="#,##0.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BIZ UD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04040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0" fillId="0" borderId="3" xfId="1" applyFont="1" applyBorder="1"/>
    <xf numFmtId="0" fontId="0" fillId="0" borderId="5" xfId="1" applyFont="1" applyBorder="1"/>
    <xf numFmtId="0" fontId="0" fillId="0" borderId="4" xfId="1" applyFont="1" applyBorder="1" applyAlignment="1">
      <alignment wrapText="1"/>
    </xf>
    <xf numFmtId="0" fontId="0" fillId="0" borderId="6" xfId="1" applyFont="1" applyBorder="1" applyAlignment="1">
      <alignment wrapText="1"/>
    </xf>
    <xf numFmtId="1" fontId="0" fillId="0" borderId="4" xfId="1" applyNumberFormat="1" applyFont="1" applyBorder="1" applyAlignment="1">
      <alignment wrapText="1"/>
    </xf>
    <xf numFmtId="176" fontId="0" fillId="0" borderId="4" xfId="1" applyNumberFormat="1" applyFont="1" applyBorder="1" applyAlignment="1">
      <alignment wrapText="1"/>
    </xf>
    <xf numFmtId="0" fontId="1" fillId="2" borderId="7" xfId="1" applyFont="1" applyFill="1" applyBorder="1" applyAlignment="1">
      <alignment horizontal="center" vertical="center" wrapText="1"/>
    </xf>
    <xf numFmtId="177" fontId="0" fillId="0" borderId="0" xfId="1" applyNumberFormat="1" applyFont="1"/>
    <xf numFmtId="0" fontId="0" fillId="0" borderId="0" xfId="1" applyFont="1" applyAlignment="1">
      <alignment horizontal="center"/>
    </xf>
    <xf numFmtId="0" fontId="0" fillId="0" borderId="3" xfId="1" applyFont="1" applyBorder="1" applyAlignment="1">
      <alignment horizontal="center"/>
    </xf>
    <xf numFmtId="0" fontId="0" fillId="0" borderId="5" xfId="1" applyFont="1" applyBorder="1" applyAlignment="1">
      <alignment horizontal="center"/>
    </xf>
    <xf numFmtId="0" fontId="0" fillId="0" borderId="8" xfId="1" applyFont="1" applyBorder="1" applyAlignment="1">
      <alignment horizontal="center"/>
    </xf>
    <xf numFmtId="177" fontId="0" fillId="0" borderId="8" xfId="1" applyNumberFormat="1" applyFont="1" applyBorder="1"/>
    <xf numFmtId="0" fontId="2" fillId="3" borderId="3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177" fontId="2" fillId="3" borderId="0" xfId="1" applyNumberFormat="1" applyFont="1" applyFill="1"/>
    <xf numFmtId="177" fontId="0" fillId="4" borderId="0" xfId="1" applyNumberFormat="1" applyFont="1" applyFill="1"/>
    <xf numFmtId="0" fontId="0" fillId="4" borderId="0" xfId="1" applyFont="1" applyFill="1" applyAlignment="1">
      <alignment horizontal="center"/>
    </xf>
    <xf numFmtId="177" fontId="0" fillId="4" borderId="8" xfId="1" applyNumberFormat="1" applyFont="1" applyFill="1" applyBorder="1"/>
    <xf numFmtId="0" fontId="0" fillId="4" borderId="8" xfId="1" applyFont="1" applyFill="1" applyBorder="1" applyAlignment="1">
      <alignment horizontal="center"/>
    </xf>
    <xf numFmtId="177" fontId="2" fillId="4" borderId="0" xfId="1" applyNumberFormat="1" applyFont="1" applyFill="1"/>
    <xf numFmtId="0" fontId="2" fillId="4" borderId="0" xfId="1" applyFont="1" applyFill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6" xfId="1" applyFont="1" applyBorder="1" applyAlignment="1">
      <alignment horizontal="center"/>
    </xf>
    <xf numFmtId="0" fontId="1" fillId="5" borderId="1" xfId="1" applyFont="1" applyFill="1" applyBorder="1" applyAlignment="1">
      <alignment horizontal="center" wrapText="1"/>
    </xf>
    <xf numFmtId="0" fontId="1" fillId="5" borderId="7" xfId="1" applyFont="1" applyFill="1" applyBorder="1" applyAlignment="1">
      <alignment horizontal="center" wrapText="1"/>
    </xf>
    <xf numFmtId="0" fontId="1" fillId="5" borderId="2" xfId="1" applyFont="1" applyFill="1" applyBorder="1" applyAlignment="1">
      <alignment horizontal="center" wrapText="1"/>
    </xf>
    <xf numFmtId="0" fontId="0" fillId="0" borderId="3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wrapText="1"/>
    </xf>
    <xf numFmtId="0" fontId="0" fillId="0" borderId="8" xfId="1" applyFont="1" applyBorder="1" applyAlignment="1">
      <alignment wrapText="1"/>
    </xf>
    <xf numFmtId="1" fontId="0" fillId="0" borderId="0" xfId="1" applyNumberFormat="1" applyFont="1" applyAlignment="1">
      <alignment wrapText="1"/>
    </xf>
    <xf numFmtId="0" fontId="1" fillId="6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178" fontId="0" fillId="0" borderId="0" xfId="1" applyNumberFormat="1" applyFont="1" applyAlignment="1">
      <alignment vertical="center"/>
    </xf>
    <xf numFmtId="179" fontId="0" fillId="0" borderId="0" xfId="1" applyNumberFormat="1" applyFont="1" applyAlignment="1">
      <alignment vertical="center"/>
    </xf>
    <xf numFmtId="178" fontId="0" fillId="0" borderId="0" xfId="1" applyNumberFormat="1" applyFont="1"/>
    <xf numFmtId="178" fontId="2" fillId="3" borderId="0" xfId="1" applyNumberFormat="1" applyFont="1" applyFill="1"/>
    <xf numFmtId="178" fontId="0" fillId="0" borderId="8" xfId="1" applyNumberFormat="1" applyFont="1" applyBorder="1"/>
    <xf numFmtId="1" fontId="0" fillId="0" borderId="8" xfId="1" applyNumberFormat="1" applyFont="1" applyBorder="1" applyAlignment="1">
      <alignment wrapText="1"/>
    </xf>
    <xf numFmtId="180" fontId="0" fillId="0" borderId="0" xfId="1" applyNumberFormat="1" applyFont="1" applyAlignment="1">
      <alignment wrapText="1"/>
    </xf>
    <xf numFmtId="180" fontId="0" fillId="0" borderId="8" xfId="1" applyNumberFormat="1" applyFont="1" applyBorder="1" applyAlignment="1">
      <alignment wrapText="1"/>
    </xf>
    <xf numFmtId="0" fontId="0" fillId="4" borderId="4" xfId="1" applyFont="1" applyFill="1" applyBorder="1" applyAlignment="1">
      <alignment wrapText="1"/>
    </xf>
    <xf numFmtId="0" fontId="2" fillId="3" borderId="4" xfId="1" applyFont="1" applyFill="1" applyBorder="1" applyAlignment="1">
      <alignment wrapText="1"/>
    </xf>
    <xf numFmtId="0" fontId="0" fillId="4" borderId="6" xfId="1" applyFont="1" applyFill="1" applyBorder="1" applyAlignment="1">
      <alignment wrapText="1"/>
    </xf>
    <xf numFmtId="0" fontId="2" fillId="4" borderId="4" xfId="1" applyFont="1" applyFill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3"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3" workbookViewId="0">
      <selection activeCell="B10" sqref="B10"/>
    </sheetView>
  </sheetViews>
  <sheetFormatPr defaultRowHeight="14.25"/>
  <cols>
    <col min="1" max="1" width="25" customWidth="1"/>
    <col min="2" max="2" width="62" customWidth="1"/>
  </cols>
  <sheetData>
    <row r="1" spans="1:2" ht="15">
      <c r="A1" s="1" t="s">
        <v>0</v>
      </c>
      <c r="B1" s="2" t="s">
        <v>1</v>
      </c>
    </row>
    <row r="2" spans="1:2">
      <c r="A2" s="3" t="s">
        <v>2</v>
      </c>
      <c r="B2" s="7">
        <v>20000</v>
      </c>
    </row>
    <row r="3" spans="1:2">
      <c r="A3" s="3" t="s">
        <v>3</v>
      </c>
      <c r="B3" s="5" t="s">
        <v>4</v>
      </c>
    </row>
    <row r="4" spans="1:2">
      <c r="A4" s="3" t="s">
        <v>5</v>
      </c>
      <c r="B4" s="5" t="s">
        <v>6</v>
      </c>
    </row>
    <row r="5" spans="1:2">
      <c r="A5" s="3" t="s">
        <v>7</v>
      </c>
      <c r="B5" s="5" t="s">
        <v>8</v>
      </c>
    </row>
    <row r="6" spans="1:2">
      <c r="A6" s="3" t="s">
        <v>9</v>
      </c>
      <c r="B6" s="5" t="s">
        <v>10</v>
      </c>
    </row>
    <row r="7" spans="1:2">
      <c r="A7" s="3" t="s">
        <v>11</v>
      </c>
      <c r="B7" s="5" t="s">
        <v>12</v>
      </c>
    </row>
    <row r="8" spans="1:2" ht="28.5">
      <c r="A8" s="3" t="s">
        <v>13</v>
      </c>
      <c r="B8" s="8" t="s">
        <v>14</v>
      </c>
    </row>
    <row r="9" spans="1:2">
      <c r="A9" s="3" t="s">
        <v>15</v>
      </c>
      <c r="B9" s="8">
        <v>115.2</v>
      </c>
    </row>
    <row r="10" spans="1:2">
      <c r="A10" s="3" t="s">
        <v>16</v>
      </c>
      <c r="B10" s="5" t="s">
        <v>17</v>
      </c>
    </row>
    <row r="11" spans="1:2">
      <c r="A11" s="3" t="s">
        <v>18</v>
      </c>
      <c r="B11" s="5" t="s">
        <v>19</v>
      </c>
    </row>
    <row r="12" spans="1:2">
      <c r="A12" s="3" t="s">
        <v>20</v>
      </c>
      <c r="B12" s="5" t="s">
        <v>21</v>
      </c>
    </row>
    <row r="13" spans="1:2">
      <c r="A13" s="3" t="s">
        <v>22</v>
      </c>
      <c r="B13" s="5" t="s">
        <v>23</v>
      </c>
    </row>
    <row r="14" spans="1:2">
      <c r="A14" s="3" t="s">
        <v>24</v>
      </c>
      <c r="B14" s="5" t="s">
        <v>25</v>
      </c>
    </row>
    <row r="15" spans="1:2">
      <c r="A15" s="4" t="s">
        <v>26</v>
      </c>
      <c r="B15" s="6" t="s">
        <v>27</v>
      </c>
    </row>
    <row r="16" spans="1:2">
      <c r="A16" t="s">
        <v>28</v>
      </c>
      <c r="B16" s="31" t="s">
        <v>29</v>
      </c>
    </row>
    <row r="17" spans="1:2" ht="28.5">
      <c r="A17" t="s">
        <v>30</v>
      </c>
      <c r="B17" s="31" t="s">
        <v>31</v>
      </c>
    </row>
    <row r="18" spans="1:2">
      <c r="A18" t="s">
        <v>32</v>
      </c>
      <c r="B18" s="31" t="s">
        <v>33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25"/>
  <cols>
    <col min="1" max="1" width="12" customWidth="1"/>
    <col min="2" max="2" width="25" customWidth="1"/>
    <col min="3" max="5" width="10" customWidth="1"/>
    <col min="6" max="6" width="70" customWidth="1"/>
    <col min="7" max="7" width="45" customWidth="1"/>
  </cols>
  <sheetData>
    <row r="1" spans="1:7" ht="15">
      <c r="A1" s="1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2" t="s">
        <v>40</v>
      </c>
    </row>
    <row r="2" spans="1:7" ht="28.5">
      <c r="A2" s="30" t="s">
        <v>41</v>
      </c>
      <c r="B2" s="31" t="s">
        <v>42</v>
      </c>
      <c r="C2" s="34">
        <v>1000</v>
      </c>
      <c r="D2" s="34">
        <v>1000</v>
      </c>
      <c r="E2" s="34">
        <v>0</v>
      </c>
      <c r="F2" s="31" t="s">
        <v>43</v>
      </c>
      <c r="G2" s="5" t="s">
        <v>44</v>
      </c>
    </row>
    <row r="3" spans="1:7">
      <c r="A3" s="30" t="s">
        <v>45</v>
      </c>
      <c r="B3" s="31" t="s">
        <v>46</v>
      </c>
      <c r="C3" s="34">
        <v>1000</v>
      </c>
      <c r="D3" s="34">
        <v>0</v>
      </c>
      <c r="E3" s="34">
        <v>0</v>
      </c>
      <c r="F3" s="31" t="s">
        <v>47</v>
      </c>
      <c r="G3" s="5" t="s">
        <v>48</v>
      </c>
    </row>
    <row r="4" spans="1:7">
      <c r="A4" s="30" t="s">
        <v>49</v>
      </c>
      <c r="B4" s="31" t="s">
        <v>50</v>
      </c>
      <c r="C4" s="34">
        <v>1000</v>
      </c>
      <c r="D4" s="34">
        <v>0</v>
      </c>
      <c r="E4" s="34">
        <v>0</v>
      </c>
      <c r="F4" s="31" t="s">
        <v>51</v>
      </c>
      <c r="G4" s="5" t="s">
        <v>52</v>
      </c>
    </row>
    <row r="5" spans="1:7" ht="28.5">
      <c r="A5" s="30" t="s">
        <v>53</v>
      </c>
      <c r="B5" s="31" t="s">
        <v>54</v>
      </c>
      <c r="C5" s="34">
        <v>1000</v>
      </c>
      <c r="D5" s="34">
        <v>0</v>
      </c>
      <c r="E5" s="34">
        <v>0</v>
      </c>
      <c r="F5" s="31" t="s">
        <v>55</v>
      </c>
      <c r="G5" s="5" t="s">
        <v>56</v>
      </c>
    </row>
    <row r="6" spans="1:7">
      <c r="A6" s="30" t="s">
        <v>57</v>
      </c>
      <c r="B6" s="31" t="s">
        <v>58</v>
      </c>
      <c r="C6" s="34">
        <v>1000</v>
      </c>
      <c r="D6" s="34">
        <v>0</v>
      </c>
      <c r="E6" s="34">
        <v>0</v>
      </c>
      <c r="F6" s="31" t="s">
        <v>59</v>
      </c>
      <c r="G6" s="5" t="s">
        <v>60</v>
      </c>
    </row>
    <row r="7" spans="1:7">
      <c r="A7" s="30" t="s">
        <v>61</v>
      </c>
      <c r="B7" s="31" t="s">
        <v>62</v>
      </c>
      <c r="C7" s="34">
        <v>1000</v>
      </c>
      <c r="D7" s="34">
        <v>0</v>
      </c>
      <c r="E7" s="34">
        <v>0</v>
      </c>
      <c r="F7" s="31" t="s">
        <v>63</v>
      </c>
      <c r="G7" s="5" t="s">
        <v>64</v>
      </c>
    </row>
    <row r="8" spans="1:7">
      <c r="A8" s="32" t="s">
        <v>65</v>
      </c>
      <c r="B8" s="33" t="s">
        <v>66</v>
      </c>
      <c r="C8" s="43">
        <v>0</v>
      </c>
      <c r="D8" s="43">
        <v>0</v>
      </c>
      <c r="E8" s="43">
        <v>7</v>
      </c>
      <c r="F8" s="33" t="s">
        <v>67</v>
      </c>
      <c r="G8" s="6" t="s">
        <v>68</v>
      </c>
    </row>
    <row r="9" spans="1:7">
      <c r="A9" s="31" t="s">
        <v>69</v>
      </c>
      <c r="B9" s="31" t="s">
        <v>70</v>
      </c>
      <c r="C9" s="31">
        <v>2000</v>
      </c>
      <c r="D9" s="31">
        <v>0</v>
      </c>
      <c r="E9" s="31">
        <v>0</v>
      </c>
      <c r="F9" s="31" t="s">
        <v>71</v>
      </c>
      <c r="G9" s="31" t="s">
        <v>72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"/>
  <sheetViews>
    <sheetView tabSelected="1" topLeftCell="D1" workbookViewId="0">
      <pane ySplit="1" topLeftCell="A2" activePane="bottomLeft" state="frozen"/>
      <selection pane="bottomLeft" activeCell="M16" sqref="M16"/>
    </sheetView>
  </sheetViews>
  <sheetFormatPr defaultRowHeight="14.25"/>
  <cols>
    <col min="1" max="2" width="5.25" bestFit="1" customWidth="1"/>
    <col min="3" max="3" width="13" bestFit="1" customWidth="1"/>
    <col min="4" max="4" width="11" bestFit="1" customWidth="1"/>
    <col min="5" max="5" width="9" bestFit="1" customWidth="1"/>
    <col min="6" max="6" width="15.125" bestFit="1" customWidth="1"/>
    <col min="7" max="7" width="9" bestFit="1" customWidth="1"/>
    <col min="8" max="8" width="8.5" bestFit="1" customWidth="1"/>
    <col min="9" max="9" width="13" bestFit="1" customWidth="1"/>
    <col min="10" max="10" width="9" bestFit="1" customWidth="1"/>
    <col min="11" max="11" width="13" bestFit="1" customWidth="1"/>
    <col min="12" max="12" width="9" bestFit="1" customWidth="1"/>
    <col min="13" max="14" width="13" bestFit="1" customWidth="1"/>
    <col min="15" max="15" width="11" bestFit="1" customWidth="1"/>
    <col min="16" max="16" width="15.125" bestFit="1" customWidth="1"/>
    <col min="17" max="18" width="11" bestFit="1" customWidth="1"/>
    <col min="19" max="19" width="40.25" bestFit="1" customWidth="1"/>
  </cols>
  <sheetData>
    <row r="1" spans="1:19" ht="15">
      <c r="A1" s="1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13</v>
      </c>
      <c r="G1" s="9" t="s">
        <v>78</v>
      </c>
      <c r="H1" s="9" t="s">
        <v>16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  <c r="R1" s="9" t="s">
        <v>88</v>
      </c>
      <c r="S1" s="2" t="s">
        <v>89</v>
      </c>
    </row>
    <row r="2" spans="1:19">
      <c r="A2" s="12">
        <v>1</v>
      </c>
      <c r="B2" s="11" t="s">
        <v>90</v>
      </c>
      <c r="C2" s="11">
        <v>0</v>
      </c>
      <c r="D2" s="10">
        <v>0</v>
      </c>
      <c r="E2" s="10">
        <v>0</v>
      </c>
      <c r="F2" s="40">
        <f>IF(C2&gt;=1,VLOOKUP(0+MAX(0,R2-0-C2)+0,药材收益口径!$H$2:$I$222,2,FALSE),0)+IF(C2&gt;=2,VLOOKUP(0+MAX(0,R2-0-C2)+1,药材收益口径!$H$2:$I$222,2,FALSE),0)+IF(C2&gt;=3,VLOOKUP(0+MAX(0,R2-0-C2)+2,药材收益口径!$H$2:$I$222,2,FALSE),0)+IF(C2&gt;=4,VLOOKUP(0+MAX(0,R2-0-C2)+3,药材收益口径!$H$2:$I$222,2,FALSE),0)</f>
        <v>0</v>
      </c>
      <c r="G2" s="10">
        <v>0</v>
      </c>
      <c r="H2" s="10">
        <v>0</v>
      </c>
      <c r="I2" s="10">
        <v>0</v>
      </c>
      <c r="J2" s="10">
        <f t="shared" ref="J2:J49" si="0">SUM(D2:I2)</f>
        <v>0</v>
      </c>
      <c r="K2" s="10">
        <f>J2</f>
        <v>0</v>
      </c>
      <c r="L2" s="10">
        <f>K2</f>
        <v>0</v>
      </c>
      <c r="M2" s="10">
        <f>L2</f>
        <v>0</v>
      </c>
      <c r="N2" s="10">
        <f t="shared" ref="N2:N49" si="1">J2-L2</f>
        <v>0</v>
      </c>
      <c r="O2" s="10">
        <f t="shared" ref="O2:O49" si="2">K2-M2</f>
        <v>0</v>
      </c>
      <c r="P2" s="10">
        <f t="shared" ref="P2:P49" si="3">20000+O2</f>
        <v>20000</v>
      </c>
      <c r="Q2" s="11">
        <v>0</v>
      </c>
      <c r="R2" s="11">
        <v>0</v>
      </c>
      <c r="S2" s="5"/>
    </row>
    <row r="3" spans="1:19">
      <c r="A3" s="12">
        <v>1</v>
      </c>
      <c r="B3" s="11" t="s">
        <v>91</v>
      </c>
      <c r="C3" s="11">
        <v>2</v>
      </c>
      <c r="D3" s="10">
        <v>1000</v>
      </c>
      <c r="E3" s="10">
        <v>40</v>
      </c>
      <c r="F3" s="40">
        <f>IF(C3&gt;=1,VLOOKUP(R2+MAX(0,R3-R2-C3)+0,药材收益口径!$H$2:$I$222,2,FALSE),0)+IF(C3&gt;=2,VLOOKUP(R2+MAX(0,R3-R2-C3)+1,药材收益口径!$H$2:$I$222,2,FALSE),0)+IF(C3&gt;=3,VLOOKUP(R2+MAX(0,R3-R2-C3)+2,药材收益口径!$H$2:$I$222,2,FALSE),0)+IF(C3&gt;=4,VLOOKUP(R2+MAX(0,R3-R2-C3)+3,药材收益口径!$H$2:$I$222,2,FALSE),0)</f>
        <v>39.333333333333336</v>
      </c>
      <c r="G3" s="10">
        <v>230.4</v>
      </c>
      <c r="H3" s="10">
        <v>0</v>
      </c>
      <c r="I3" s="10">
        <v>0</v>
      </c>
      <c r="J3" s="10">
        <f t="shared" si="0"/>
        <v>1309.7333333333333</v>
      </c>
      <c r="K3" s="10">
        <f t="shared" ref="K3:K49" si="4">K2+J3</f>
        <v>1309.7333333333333</v>
      </c>
      <c r="L3" s="10">
        <v>2776.4</v>
      </c>
      <c r="M3" s="10">
        <f t="shared" ref="M3:M49" si="5">M2+L3</f>
        <v>2776.4</v>
      </c>
      <c r="N3" s="10">
        <f t="shared" si="1"/>
        <v>-1466.6666666666667</v>
      </c>
      <c r="O3" s="10">
        <f t="shared" si="2"/>
        <v>-1466.6666666666667</v>
      </c>
      <c r="P3" s="10">
        <f t="shared" si="3"/>
        <v>18533.333333333332</v>
      </c>
      <c r="Q3" s="11">
        <v>20</v>
      </c>
      <c r="R3" s="11">
        <v>2</v>
      </c>
      <c r="S3" s="5"/>
    </row>
    <row r="4" spans="1:19">
      <c r="A4" s="12">
        <v>1</v>
      </c>
      <c r="B4" s="11" t="s">
        <v>92</v>
      </c>
      <c r="C4" s="11">
        <v>2</v>
      </c>
      <c r="D4" s="10">
        <v>1000</v>
      </c>
      <c r="E4" s="10">
        <v>40</v>
      </c>
      <c r="F4" s="40">
        <f>IF(C4&gt;=1,VLOOKUP(R3+MAX(0,R4-R3-C4)+0,药材收益口径!$H$2:$I$222,2,FALSE),0)+IF(C4&gt;=2,VLOOKUP(R3+MAX(0,R4-R3-C4)+1,药材收益口径!$H$2:$I$222,2,FALSE),0)+IF(C4&gt;=3,VLOOKUP(R3+MAX(0,R4-R3-C4)+2,药材收益口径!$H$2:$I$222,2,FALSE),0)+IF(C4&gt;=4,VLOOKUP(R3+MAX(0,R4-R3-C4)+3,药材收益口径!$H$2:$I$222,2,FALSE),0)</f>
        <v>39.333333333333336</v>
      </c>
      <c r="G4" s="10">
        <v>230.4</v>
      </c>
      <c r="H4" s="10">
        <v>0</v>
      </c>
      <c r="I4" s="10">
        <v>0</v>
      </c>
      <c r="J4" s="10">
        <f t="shared" si="0"/>
        <v>1309.7333333333333</v>
      </c>
      <c r="K4" s="10">
        <f t="shared" si="4"/>
        <v>2619.4666666666667</v>
      </c>
      <c r="L4" s="10">
        <v>1550</v>
      </c>
      <c r="M4" s="10">
        <f t="shared" si="5"/>
        <v>4326.3999999999996</v>
      </c>
      <c r="N4" s="10">
        <f t="shared" si="1"/>
        <v>-240.26666666666665</v>
      </c>
      <c r="O4" s="10">
        <f t="shared" si="2"/>
        <v>-1706.9333333333329</v>
      </c>
      <c r="P4" s="10">
        <f t="shared" si="3"/>
        <v>18293.066666666666</v>
      </c>
      <c r="Q4" s="11">
        <v>40</v>
      </c>
      <c r="R4" s="11">
        <v>4</v>
      </c>
      <c r="S4" s="5"/>
    </row>
    <row r="5" spans="1:19">
      <c r="A5" s="12">
        <v>1</v>
      </c>
      <c r="B5" s="11" t="s">
        <v>93</v>
      </c>
      <c r="C5" s="11">
        <v>2</v>
      </c>
      <c r="D5" s="10">
        <v>1000</v>
      </c>
      <c r="E5" s="10">
        <v>40</v>
      </c>
      <c r="F5" s="40">
        <f>IF(C5&gt;=1,VLOOKUP(R4+MAX(0,R5-R4-C5)+0,药材收益口径!$H$2:$I$222,2,FALSE),0)+IF(C5&gt;=2,VLOOKUP(R4+MAX(0,R5-R4-C5)+1,药材收益口径!$H$2:$I$222,2,FALSE),0)+IF(C5&gt;=3,VLOOKUP(R4+MAX(0,R5-R4-C5)+2,药材收益口径!$H$2:$I$222,2,FALSE),0)+IF(C5&gt;=4,VLOOKUP(R4+MAX(0,R5-R4-C5)+3,药材收益口径!$H$2:$I$222,2,FALSE),0)</f>
        <v>39.333333333333336</v>
      </c>
      <c r="G5" s="10">
        <v>230.4</v>
      </c>
      <c r="H5" s="10">
        <v>0</v>
      </c>
      <c r="I5" s="10">
        <v>0</v>
      </c>
      <c r="J5" s="10">
        <f t="shared" si="0"/>
        <v>1309.7333333333333</v>
      </c>
      <c r="K5" s="10">
        <f t="shared" si="4"/>
        <v>3929.2</v>
      </c>
      <c r="L5" s="10">
        <v>3376.4</v>
      </c>
      <c r="M5" s="10">
        <f t="shared" si="5"/>
        <v>7702.7999999999993</v>
      </c>
      <c r="N5" s="10">
        <f t="shared" si="1"/>
        <v>-2066.666666666667</v>
      </c>
      <c r="O5" s="10">
        <f t="shared" si="2"/>
        <v>-3773.5999999999995</v>
      </c>
      <c r="P5" s="10">
        <f t="shared" si="3"/>
        <v>16226.400000000001</v>
      </c>
      <c r="Q5" s="11">
        <v>60</v>
      </c>
      <c r="R5" s="11">
        <v>6</v>
      </c>
      <c r="S5" s="5"/>
    </row>
    <row r="6" spans="1:19">
      <c r="A6" s="12">
        <v>1</v>
      </c>
      <c r="B6" s="11" t="s">
        <v>94</v>
      </c>
      <c r="C6" s="11">
        <v>2</v>
      </c>
      <c r="D6" s="10">
        <v>1000</v>
      </c>
      <c r="E6" s="10">
        <v>40</v>
      </c>
      <c r="F6" s="40">
        <f>IF(C6&gt;=1,VLOOKUP(R5+MAX(0,R6-R5-C6)+0,药材收益口径!$H$2:$I$222,2,FALSE),0)+IF(C6&gt;=2,VLOOKUP(R5+MAX(0,R6-R5-C6)+1,药材收益口径!$H$2:$I$222,2,FALSE),0)+IF(C6&gt;=3,VLOOKUP(R5+MAX(0,R6-R5-C6)+2,药材收益口径!$H$2:$I$222,2,FALSE),0)+IF(C6&gt;=4,VLOOKUP(R5+MAX(0,R6-R5-C6)+3,药材收益口径!$H$2:$I$222,2,FALSE),0)</f>
        <v>39.333333333333336</v>
      </c>
      <c r="G6" s="10">
        <v>230.4</v>
      </c>
      <c r="H6" s="10">
        <v>0</v>
      </c>
      <c r="I6" s="10">
        <v>0</v>
      </c>
      <c r="J6" s="10">
        <f t="shared" si="0"/>
        <v>1309.7333333333333</v>
      </c>
      <c r="K6" s="10">
        <f t="shared" si="4"/>
        <v>5238.9333333333334</v>
      </c>
      <c r="L6" s="10">
        <v>3550</v>
      </c>
      <c r="M6" s="10">
        <f t="shared" si="5"/>
        <v>11252.8</v>
      </c>
      <c r="N6" s="10">
        <f t="shared" si="1"/>
        <v>-2240.2666666666664</v>
      </c>
      <c r="O6" s="10">
        <f t="shared" si="2"/>
        <v>-6013.8666666666659</v>
      </c>
      <c r="P6" s="10">
        <f t="shared" si="3"/>
        <v>13986.133333333335</v>
      </c>
      <c r="Q6" s="11">
        <v>80</v>
      </c>
      <c r="R6" s="11">
        <v>8</v>
      </c>
      <c r="S6" s="5"/>
    </row>
    <row r="7" spans="1:19">
      <c r="A7" s="12">
        <v>1</v>
      </c>
      <c r="B7" s="11" t="s">
        <v>95</v>
      </c>
      <c r="C7" s="11">
        <v>2</v>
      </c>
      <c r="D7" s="10">
        <v>1000</v>
      </c>
      <c r="E7" s="10">
        <v>40</v>
      </c>
      <c r="F7" s="40">
        <f>IF(C7&gt;=1,VLOOKUP(R6+MAX(0,R7-R6-C7)+0,药材收益口径!$H$2:$I$222,2,FALSE),0)+IF(C7&gt;=2,VLOOKUP(R6+MAX(0,R7-R6-C7)+1,药材收益口径!$H$2:$I$222,2,FALSE),0)+IF(C7&gt;=3,VLOOKUP(R6+MAX(0,R7-R6-C7)+2,药材收益口径!$H$2:$I$222,2,FALSE),0)+IF(C7&gt;=4,VLOOKUP(R6+MAX(0,R7-R6-C7)+3,药材收益口径!$H$2:$I$222,2,FALSE),0)</f>
        <v>88.916666666666671</v>
      </c>
      <c r="G7" s="10">
        <v>230.4</v>
      </c>
      <c r="H7" s="10">
        <v>0</v>
      </c>
      <c r="I7" s="10">
        <v>0</v>
      </c>
      <c r="J7" s="10">
        <f t="shared" si="0"/>
        <v>1359.3166666666668</v>
      </c>
      <c r="K7" s="10">
        <f t="shared" si="4"/>
        <v>6598.25</v>
      </c>
      <c r="L7" s="10">
        <v>2776.4</v>
      </c>
      <c r="M7" s="10">
        <f t="shared" si="5"/>
        <v>14029.199999999999</v>
      </c>
      <c r="N7" s="10">
        <f t="shared" si="1"/>
        <v>-1417.0833333333333</v>
      </c>
      <c r="O7" s="10">
        <f t="shared" si="2"/>
        <v>-7430.9499999999989</v>
      </c>
      <c r="P7" s="10">
        <f t="shared" si="3"/>
        <v>12569.050000000001</v>
      </c>
      <c r="Q7" s="11">
        <v>100</v>
      </c>
      <c r="R7" s="11">
        <v>10</v>
      </c>
      <c r="S7" s="5"/>
    </row>
    <row r="8" spans="1:19">
      <c r="A8" s="12">
        <v>1</v>
      </c>
      <c r="B8" s="11" t="s">
        <v>96</v>
      </c>
      <c r="C8" s="11">
        <v>2</v>
      </c>
      <c r="D8" s="10">
        <v>1000</v>
      </c>
      <c r="E8" s="10">
        <v>70</v>
      </c>
      <c r="F8" s="40">
        <f>IF(C8&gt;=1,VLOOKUP(R7+MAX(0,R8-R7-C8)+0,药材收益口径!$H$2:$I$222,2,FALSE),0)+IF(C8&gt;=2,VLOOKUP(R7+MAX(0,R8-R7-C8)+1,药材收益口径!$H$2:$I$222,2,FALSE),0)+IF(C8&gt;=3,VLOOKUP(R7+MAX(0,R8-R7-C8)+2,药材收益口径!$H$2:$I$222,2,FALSE),0)+IF(C8&gt;=4,VLOOKUP(R7+MAX(0,R8-R7-C8)+3,药材收益口径!$H$2:$I$222,2,FALSE),0)</f>
        <v>138.5</v>
      </c>
      <c r="G8" s="10">
        <v>230.4</v>
      </c>
      <c r="H8" s="10">
        <v>0</v>
      </c>
      <c r="I8" s="10">
        <v>0</v>
      </c>
      <c r="J8" s="10">
        <f t="shared" si="0"/>
        <v>1438.9</v>
      </c>
      <c r="K8" s="10">
        <f t="shared" si="4"/>
        <v>8037.15</v>
      </c>
      <c r="L8" s="10">
        <v>2650</v>
      </c>
      <c r="M8" s="10">
        <f t="shared" si="5"/>
        <v>16679.199999999997</v>
      </c>
      <c r="N8" s="10">
        <f t="shared" si="1"/>
        <v>-1211.0999999999999</v>
      </c>
      <c r="O8" s="10">
        <f t="shared" si="2"/>
        <v>-8642.0499999999975</v>
      </c>
      <c r="P8" s="10">
        <f t="shared" si="3"/>
        <v>11357.950000000003</v>
      </c>
      <c r="Q8" s="11">
        <v>120</v>
      </c>
      <c r="R8" s="11">
        <v>12</v>
      </c>
      <c r="S8" s="5"/>
    </row>
    <row r="9" spans="1:19">
      <c r="A9" s="12">
        <v>1</v>
      </c>
      <c r="B9" s="11" t="s">
        <v>97</v>
      </c>
      <c r="C9" s="11">
        <v>2</v>
      </c>
      <c r="D9" s="10">
        <v>1000</v>
      </c>
      <c r="E9" s="10">
        <v>100</v>
      </c>
      <c r="F9" s="40">
        <f>IF(C9&gt;=1,VLOOKUP(R8+MAX(0,R9-R8-C9)+0,药材收益口径!$H$2:$I$222,2,FALSE),0)+IF(C9&gt;=2,VLOOKUP(R8+MAX(0,R9-R8-C9)+1,药材收益口径!$H$2:$I$222,2,FALSE),0)+IF(C9&gt;=3,VLOOKUP(R8+MAX(0,R9-R8-C9)+2,药材收益口径!$H$2:$I$222,2,FALSE),0)+IF(C9&gt;=4,VLOOKUP(R8+MAX(0,R9-R8-C9)+3,药材收益口径!$H$2:$I$222,2,FALSE),0)</f>
        <v>138.5</v>
      </c>
      <c r="G9" s="10">
        <v>230.4</v>
      </c>
      <c r="H9" s="10">
        <v>0</v>
      </c>
      <c r="I9" s="10">
        <v>0</v>
      </c>
      <c r="J9" s="10">
        <f t="shared" si="0"/>
        <v>1468.9</v>
      </c>
      <c r="K9" s="10">
        <f t="shared" si="4"/>
        <v>9506.0499999999993</v>
      </c>
      <c r="L9" s="10">
        <v>3676.4</v>
      </c>
      <c r="M9" s="10">
        <f t="shared" si="5"/>
        <v>20355.599999999999</v>
      </c>
      <c r="N9" s="10">
        <f t="shared" si="1"/>
        <v>-2207.5</v>
      </c>
      <c r="O9" s="10">
        <f t="shared" si="2"/>
        <v>-10849.55</v>
      </c>
      <c r="P9" s="10">
        <f t="shared" si="3"/>
        <v>9150.4500000000007</v>
      </c>
      <c r="Q9" s="11">
        <v>140</v>
      </c>
      <c r="R9" s="11">
        <v>14</v>
      </c>
      <c r="S9" s="5"/>
    </row>
    <row r="10" spans="1:19">
      <c r="A10" s="12">
        <v>1</v>
      </c>
      <c r="B10" s="11" t="s">
        <v>98</v>
      </c>
      <c r="C10" s="11">
        <v>2</v>
      </c>
      <c r="D10" s="10">
        <v>1000</v>
      </c>
      <c r="E10" s="10">
        <v>100</v>
      </c>
      <c r="F10" s="40">
        <f>IF(C10&gt;=1,VLOOKUP(R9+MAX(0,R10-R9-C10)+0,药材收益口径!$H$2:$I$222,2,FALSE),0)+IF(C10&gt;=2,VLOOKUP(R9+MAX(0,R10-R9-C10)+1,药材收益口径!$H$2:$I$222,2,FALSE),0)+IF(C10&gt;=3,VLOOKUP(R9+MAX(0,R10-R9-C10)+2,药材收益口径!$H$2:$I$222,2,FALSE),0)+IF(C10&gt;=4,VLOOKUP(R9+MAX(0,R10-R9-C10)+3,药材收益口径!$H$2:$I$222,2,FALSE),0)</f>
        <v>122.6</v>
      </c>
      <c r="G10" s="10">
        <v>230.4</v>
      </c>
      <c r="H10" s="10">
        <v>0</v>
      </c>
      <c r="I10" s="10">
        <v>1000</v>
      </c>
      <c r="J10" s="10">
        <f t="shared" si="0"/>
        <v>2453</v>
      </c>
      <c r="K10" s="10">
        <f t="shared" si="4"/>
        <v>11959.05</v>
      </c>
      <c r="L10" s="10">
        <v>2450</v>
      </c>
      <c r="M10" s="10">
        <f t="shared" si="5"/>
        <v>22805.599999999999</v>
      </c>
      <c r="N10" s="10">
        <f t="shared" si="1"/>
        <v>3</v>
      </c>
      <c r="O10" s="10">
        <f t="shared" si="2"/>
        <v>-10846.55</v>
      </c>
      <c r="P10" s="10">
        <f t="shared" si="3"/>
        <v>9153.4500000000007</v>
      </c>
      <c r="Q10" s="11">
        <v>160</v>
      </c>
      <c r="R10" s="11">
        <v>16</v>
      </c>
      <c r="S10" s="5" t="s">
        <v>99</v>
      </c>
    </row>
    <row r="11" spans="1:19">
      <c r="A11" s="12">
        <v>1</v>
      </c>
      <c r="B11" s="11" t="s">
        <v>100</v>
      </c>
      <c r="C11" s="11">
        <v>2</v>
      </c>
      <c r="D11" s="10">
        <v>1000</v>
      </c>
      <c r="E11" s="10">
        <v>100</v>
      </c>
      <c r="F11" s="40">
        <f>IF(C11&gt;=1,VLOOKUP(R10+MAX(0,R11-R10-C11)+0,药材收益口径!$H$2:$I$222,2,FALSE),0)+IF(C11&gt;=2,VLOOKUP(R10+MAX(0,R11-R10-C11)+1,药材收益口径!$H$2:$I$222,2,FALSE),0)+IF(C11&gt;=3,VLOOKUP(R10+MAX(0,R11-R10-C11)+2,药材收益口径!$H$2:$I$222,2,FALSE),0)+IF(C11&gt;=4,VLOOKUP(R10+MAX(0,R11-R10-C11)+3,药材收益口径!$H$2:$I$222,2,FALSE),0)</f>
        <v>122.6</v>
      </c>
      <c r="G11" s="10">
        <v>230.4</v>
      </c>
      <c r="H11" s="10">
        <v>0</v>
      </c>
      <c r="I11" s="10">
        <v>0</v>
      </c>
      <c r="J11" s="10">
        <f t="shared" si="0"/>
        <v>1453</v>
      </c>
      <c r="K11" s="10">
        <f t="shared" si="4"/>
        <v>13412.05</v>
      </c>
      <c r="L11" s="10">
        <v>3676.4</v>
      </c>
      <c r="M11" s="10">
        <f t="shared" si="5"/>
        <v>26482</v>
      </c>
      <c r="N11" s="10">
        <f t="shared" si="1"/>
        <v>-2223.4</v>
      </c>
      <c r="O11" s="10">
        <f t="shared" si="2"/>
        <v>-13069.95</v>
      </c>
      <c r="P11" s="10">
        <f t="shared" si="3"/>
        <v>6930.0499999999993</v>
      </c>
      <c r="Q11" s="11">
        <v>180</v>
      </c>
      <c r="R11" s="11">
        <v>18</v>
      </c>
      <c r="S11" s="5"/>
    </row>
    <row r="12" spans="1:19">
      <c r="A12" s="12">
        <v>1</v>
      </c>
      <c r="B12" s="11" t="s">
        <v>101</v>
      </c>
      <c r="C12" s="11">
        <v>2</v>
      </c>
      <c r="D12" s="10">
        <v>1000</v>
      </c>
      <c r="E12" s="10">
        <v>100</v>
      </c>
      <c r="F12" s="40">
        <f>IF(C12&gt;=1,VLOOKUP(R11+MAX(0,R12-R11-C12)+0,药材收益口径!$H$2:$I$222,2,FALSE),0)+IF(C12&gt;=2,VLOOKUP(R11+MAX(0,R12-R11-C12)+1,药材收益口径!$H$2:$I$222,2,FALSE),0)+IF(C12&gt;=3,VLOOKUP(R11+MAX(0,R12-R11-C12)+2,药材收益口径!$H$2:$I$222,2,FALSE),0)+IF(C12&gt;=4,VLOOKUP(R11+MAX(0,R12-R11-C12)+3,药材收益口径!$H$2:$I$222,2,FALSE),0)</f>
        <v>119.38333333333333</v>
      </c>
      <c r="G12" s="10">
        <v>230.4</v>
      </c>
      <c r="H12" s="10">
        <v>0</v>
      </c>
      <c r="I12" s="10">
        <v>0</v>
      </c>
      <c r="J12" s="10">
        <f t="shared" si="0"/>
        <v>1449.7833333333333</v>
      </c>
      <c r="K12" s="10">
        <f t="shared" si="4"/>
        <v>14861.833333333332</v>
      </c>
      <c r="L12" s="10">
        <v>2450</v>
      </c>
      <c r="M12" s="10">
        <f t="shared" si="5"/>
        <v>28932</v>
      </c>
      <c r="N12" s="10">
        <f t="shared" si="1"/>
        <v>-1000.2166666666667</v>
      </c>
      <c r="O12" s="10">
        <f t="shared" si="2"/>
        <v>-14070.166666666668</v>
      </c>
      <c r="P12" s="10">
        <f t="shared" si="3"/>
        <v>5929.8333333333321</v>
      </c>
      <c r="Q12" s="11">
        <v>200</v>
      </c>
      <c r="R12" s="11">
        <v>20</v>
      </c>
      <c r="S12" s="5"/>
    </row>
    <row r="13" spans="1:19">
      <c r="A13" s="12">
        <v>1</v>
      </c>
      <c r="B13" s="11" t="s">
        <v>102</v>
      </c>
      <c r="C13" s="11">
        <v>2</v>
      </c>
      <c r="D13" s="10">
        <v>1000</v>
      </c>
      <c r="E13" s="10">
        <v>100</v>
      </c>
      <c r="F13" s="40">
        <f>IF(C13&gt;=1,VLOOKUP(R12+MAX(0,R13-R12-C13)+0,药材收益口径!$H$2:$I$222,2,FALSE),0)+IF(C13&gt;=2,VLOOKUP(R12+MAX(0,R13-R12-C13)+1,药材收益口径!$H$2:$I$222,2,FALSE),0)+IF(C13&gt;=3,VLOOKUP(R12+MAX(0,R13-R12-C13)+2,药材收益口径!$H$2:$I$222,2,FALSE),0)+IF(C13&gt;=4,VLOOKUP(R12+MAX(0,R13-R12-C13)+3,药材收益口径!$H$2:$I$222,2,FALSE),0)</f>
        <v>119</v>
      </c>
      <c r="G13" s="10">
        <v>230.4</v>
      </c>
      <c r="H13" s="10">
        <v>5000</v>
      </c>
      <c r="I13" s="10">
        <v>0</v>
      </c>
      <c r="J13" s="10">
        <f t="shared" si="0"/>
        <v>6449.4</v>
      </c>
      <c r="K13" s="10">
        <f t="shared" si="4"/>
        <v>21311.23333333333</v>
      </c>
      <c r="L13" s="10">
        <v>3276.4</v>
      </c>
      <c r="M13" s="10">
        <f t="shared" si="5"/>
        <v>32208.400000000001</v>
      </c>
      <c r="N13" s="10">
        <f t="shared" si="1"/>
        <v>3172.9999999999995</v>
      </c>
      <c r="O13" s="10">
        <f t="shared" si="2"/>
        <v>-10897.166666666672</v>
      </c>
      <c r="P13" s="10">
        <f t="shared" si="3"/>
        <v>9102.8333333333285</v>
      </c>
      <c r="Q13" s="11">
        <v>220</v>
      </c>
      <c r="R13" s="11">
        <v>22</v>
      </c>
      <c r="S13" s="5"/>
    </row>
    <row r="14" spans="1:19">
      <c r="A14" s="12">
        <v>1</v>
      </c>
      <c r="B14" s="11" t="s">
        <v>103</v>
      </c>
      <c r="C14" s="11">
        <v>2</v>
      </c>
      <c r="D14" s="10">
        <v>1000</v>
      </c>
      <c r="E14" s="10">
        <v>100</v>
      </c>
      <c r="F14" s="40">
        <f>IF(C14&gt;=1,VLOOKUP(R13+MAX(0,R14-R13-C14)+0,药材收益口径!$H$2:$I$222,2,FALSE),0)+IF(C14&gt;=2,VLOOKUP(R13+MAX(0,R14-R13-C14)+1,药材收益口径!$H$2:$I$222,2,FALSE),0)+IF(C14&gt;=3,VLOOKUP(R13+MAX(0,R14-R13-C14)+2,药材收益口径!$H$2:$I$222,2,FALSE),0)+IF(C14&gt;=4,VLOOKUP(R13+MAX(0,R14-R13-C14)+3,药材收益口径!$H$2:$I$222,2,FALSE),0)</f>
        <v>124.0625</v>
      </c>
      <c r="G14" s="10">
        <v>230.4</v>
      </c>
      <c r="H14" s="10">
        <v>0</v>
      </c>
      <c r="I14" s="10">
        <v>0</v>
      </c>
      <c r="J14" s="10">
        <f t="shared" si="0"/>
        <v>1454.4625000000001</v>
      </c>
      <c r="K14" s="10">
        <f t="shared" si="4"/>
        <v>22765.695833333331</v>
      </c>
      <c r="L14" s="10">
        <v>2650</v>
      </c>
      <c r="M14" s="10">
        <f t="shared" si="5"/>
        <v>34858.400000000001</v>
      </c>
      <c r="N14" s="10">
        <f t="shared" si="1"/>
        <v>-1195.5374999999999</v>
      </c>
      <c r="O14" s="10">
        <f t="shared" si="2"/>
        <v>-12092.70416666667</v>
      </c>
      <c r="P14" s="10">
        <f t="shared" si="3"/>
        <v>7907.2958333333299</v>
      </c>
      <c r="Q14" s="11">
        <v>240</v>
      </c>
      <c r="R14" s="11">
        <v>24</v>
      </c>
      <c r="S14" s="5"/>
    </row>
    <row r="15" spans="1:19">
      <c r="A15" s="12">
        <v>1</v>
      </c>
      <c r="B15" s="11" t="s">
        <v>104</v>
      </c>
      <c r="C15" s="11">
        <v>2</v>
      </c>
      <c r="D15" s="10">
        <v>1000</v>
      </c>
      <c r="E15" s="10">
        <v>100</v>
      </c>
      <c r="F15" s="40">
        <f>IF(C15&gt;=1,VLOOKUP(R14+MAX(0,R15-R14-C15)+0,药材收益口径!$H$2:$I$222,2,FALSE),0)+IF(C15&gt;=2,VLOOKUP(R14+MAX(0,R15-R14-C15)+1,药材收益口径!$H$2:$I$222,2,FALSE),0)+IF(C15&gt;=3,VLOOKUP(R14+MAX(0,R15-R14-C15)+2,药材收益口径!$H$2:$I$222,2,FALSE),0)+IF(C15&gt;=4,VLOOKUP(R14+MAX(0,R15-R14-C15)+3,药材收益口径!$H$2:$I$222,2,FALSE),0)</f>
        <v>198.39583333333334</v>
      </c>
      <c r="G15" s="10">
        <v>230.4</v>
      </c>
      <c r="H15" s="10">
        <v>0</v>
      </c>
      <c r="I15" s="10">
        <v>0</v>
      </c>
      <c r="J15" s="10">
        <f t="shared" si="0"/>
        <v>1528.7958333333333</v>
      </c>
      <c r="K15" s="10">
        <f t="shared" si="4"/>
        <v>24294.491666666665</v>
      </c>
      <c r="L15" s="10">
        <v>4776.3999999999996</v>
      </c>
      <c r="M15" s="10">
        <f t="shared" si="5"/>
        <v>39634.800000000003</v>
      </c>
      <c r="N15" s="10">
        <f t="shared" si="1"/>
        <v>-3247.6041666666661</v>
      </c>
      <c r="O15" s="10">
        <f t="shared" si="2"/>
        <v>-15340.308333333338</v>
      </c>
      <c r="P15" s="10">
        <f t="shared" si="3"/>
        <v>4659.6916666666621</v>
      </c>
      <c r="Q15" s="11">
        <v>260</v>
      </c>
      <c r="R15" s="11">
        <v>26</v>
      </c>
      <c r="S15" s="5"/>
    </row>
    <row r="16" spans="1:19">
      <c r="A16" s="12">
        <v>1</v>
      </c>
      <c r="B16" s="11" t="s">
        <v>105</v>
      </c>
      <c r="C16" s="11">
        <v>2</v>
      </c>
      <c r="D16" s="10">
        <v>1000</v>
      </c>
      <c r="E16" s="10">
        <v>100</v>
      </c>
      <c r="F16" s="40">
        <f>IF(C16&gt;=1,VLOOKUP(R15+MAX(0,R16-R15-C16)+0,药材收益口径!$H$2:$I$222,2,FALSE),0)+IF(C16&gt;=2,VLOOKUP(R15+MAX(0,R16-R15-C16)+1,药材收益口径!$H$2:$I$222,2,FALSE),0)+IF(C16&gt;=3,VLOOKUP(R15+MAX(0,R16-R15-C16)+2,药材收益口径!$H$2:$I$222,2,FALSE),0)+IF(C16&gt;=4,VLOOKUP(R15+MAX(0,R16-R15-C16)+3,药材收益口径!$H$2:$I$222,2,FALSE),0)</f>
        <v>234.27272727272728</v>
      </c>
      <c r="G16" s="10">
        <v>230.4</v>
      </c>
      <c r="H16" s="10">
        <v>0</v>
      </c>
      <c r="I16" s="10">
        <v>0</v>
      </c>
      <c r="J16" s="10">
        <f t="shared" si="0"/>
        <v>1564.6727272727273</v>
      </c>
      <c r="K16" s="10">
        <f t="shared" si="4"/>
        <v>25859.164393939391</v>
      </c>
      <c r="L16" s="10">
        <v>1550</v>
      </c>
      <c r="M16" s="10">
        <f t="shared" si="5"/>
        <v>41184.800000000003</v>
      </c>
      <c r="N16" s="10">
        <f t="shared" si="1"/>
        <v>14.672727272727343</v>
      </c>
      <c r="O16" s="10">
        <f t="shared" si="2"/>
        <v>-15325.635606060612</v>
      </c>
      <c r="P16" s="10">
        <f t="shared" si="3"/>
        <v>4674.3643939393878</v>
      </c>
      <c r="Q16" s="11">
        <v>280</v>
      </c>
      <c r="R16" s="11">
        <v>28</v>
      </c>
      <c r="S16" s="5"/>
    </row>
    <row r="17" spans="1:19">
      <c r="A17" s="12">
        <v>1</v>
      </c>
      <c r="B17" s="11" t="s">
        <v>106</v>
      </c>
      <c r="C17" s="11">
        <v>2</v>
      </c>
      <c r="D17" s="10">
        <v>1000</v>
      </c>
      <c r="E17" s="10">
        <v>100</v>
      </c>
      <c r="F17" s="40">
        <f>IF(C17&gt;=1,VLOOKUP(R16+MAX(0,R17-R16-C17)+0,药材收益口径!$H$2:$I$222,2,FALSE),0)+IF(C17&gt;=2,VLOOKUP(R16+MAX(0,R17-R16-C17)+1,药材收益口径!$H$2:$I$222,2,FALSE),0)+IF(C17&gt;=3,VLOOKUP(R16+MAX(0,R17-R16-C17)+2,药材收益口径!$H$2:$I$222,2,FALSE),0)+IF(C17&gt;=4,VLOOKUP(R16+MAX(0,R17-R16-C17)+3,药材收益口径!$H$2:$I$222,2,FALSE),0)</f>
        <v>215.46153846153845</v>
      </c>
      <c r="G17" s="10">
        <v>230.4</v>
      </c>
      <c r="H17" s="10">
        <v>0</v>
      </c>
      <c r="I17" s="10">
        <v>0</v>
      </c>
      <c r="J17" s="10">
        <f t="shared" si="0"/>
        <v>1545.8615384615387</v>
      </c>
      <c r="K17" s="10">
        <f t="shared" si="4"/>
        <v>27405.025932400931</v>
      </c>
      <c r="L17" s="10">
        <v>3376.4</v>
      </c>
      <c r="M17" s="10">
        <f t="shared" si="5"/>
        <v>44561.200000000004</v>
      </c>
      <c r="N17" s="10">
        <f t="shared" si="1"/>
        <v>-1830.5384615384614</v>
      </c>
      <c r="O17" s="10">
        <f t="shared" si="2"/>
        <v>-17156.174067599073</v>
      </c>
      <c r="P17" s="10">
        <f t="shared" si="3"/>
        <v>2843.8259324009268</v>
      </c>
      <c r="Q17" s="11">
        <v>300</v>
      </c>
      <c r="R17" s="11">
        <v>30</v>
      </c>
      <c r="S17" s="5"/>
    </row>
    <row r="18" spans="1:19">
      <c r="A18" s="12">
        <v>1</v>
      </c>
      <c r="B18" s="11" t="s">
        <v>107</v>
      </c>
      <c r="C18" s="11">
        <v>2</v>
      </c>
      <c r="D18" s="10">
        <v>1000</v>
      </c>
      <c r="E18" s="10">
        <v>250</v>
      </c>
      <c r="F18" s="40">
        <f>IF(C18&gt;=1,VLOOKUP(R17+MAX(0,R18-R17-C18)+0,药材收益口径!$H$2:$I$222,2,FALSE),0)+IF(C18&gt;=2,VLOOKUP(R17+MAX(0,R18-R17-C18)+1,药材收益口径!$H$2:$I$222,2,FALSE),0)+IF(C18&gt;=3,VLOOKUP(R17+MAX(0,R18-R17-C18)+2,药材收益口径!$H$2:$I$222,2,FALSE),0)+IF(C18&gt;=4,VLOOKUP(R17+MAX(0,R18-R17-C18)+3,药材收益口径!$H$2:$I$222,2,FALSE),0)</f>
        <v>215.46153846153845</v>
      </c>
      <c r="G18" s="10">
        <v>230.4</v>
      </c>
      <c r="H18" s="10">
        <v>0</v>
      </c>
      <c r="I18" s="10">
        <v>0</v>
      </c>
      <c r="J18" s="10">
        <f t="shared" si="0"/>
        <v>1695.8615384615387</v>
      </c>
      <c r="K18" s="10">
        <f t="shared" si="4"/>
        <v>29100.887470862472</v>
      </c>
      <c r="L18" s="10">
        <v>1550</v>
      </c>
      <c r="M18" s="10">
        <f t="shared" si="5"/>
        <v>46111.200000000004</v>
      </c>
      <c r="N18" s="10">
        <f t="shared" si="1"/>
        <v>145.86153846153866</v>
      </c>
      <c r="O18" s="10">
        <f t="shared" si="2"/>
        <v>-17010.312529137533</v>
      </c>
      <c r="P18" s="10">
        <f t="shared" si="3"/>
        <v>2989.6874708624673</v>
      </c>
      <c r="Q18" s="11">
        <v>320</v>
      </c>
      <c r="R18" s="11">
        <v>32</v>
      </c>
      <c r="S18" s="5"/>
    </row>
    <row r="19" spans="1:19">
      <c r="A19" s="12">
        <v>1</v>
      </c>
      <c r="B19" s="11" t="s">
        <v>108</v>
      </c>
      <c r="C19" s="11">
        <v>2</v>
      </c>
      <c r="D19" s="10">
        <v>1000</v>
      </c>
      <c r="E19" s="10">
        <v>400</v>
      </c>
      <c r="F19" s="40">
        <f>IF(C19&gt;=1,VLOOKUP(R18+MAX(0,R19-R18-C19)+0,药材收益口径!$H$2:$I$222,2,FALSE),0)+IF(C19&gt;=2,VLOOKUP(R18+MAX(0,R19-R18-C19)+1,药材收益口径!$H$2:$I$222,2,FALSE),0)+IF(C19&gt;=3,VLOOKUP(R18+MAX(0,R19-R18-C19)+2,药材收益口径!$H$2:$I$222,2,FALSE),0)+IF(C19&gt;=4,VLOOKUP(R18+MAX(0,R19-R18-C19)+3,药材收益口径!$H$2:$I$222,2,FALSE),0)</f>
        <v>213.98076923076923</v>
      </c>
      <c r="G19" s="10">
        <v>230.4</v>
      </c>
      <c r="H19" s="10">
        <v>15000</v>
      </c>
      <c r="I19" s="10">
        <v>0</v>
      </c>
      <c r="J19" s="10">
        <f t="shared" si="0"/>
        <v>16844.380769230771</v>
      </c>
      <c r="K19" s="10">
        <f t="shared" si="4"/>
        <v>45945.268240093239</v>
      </c>
      <c r="L19" s="10">
        <v>4276.3999999999996</v>
      </c>
      <c r="M19" s="10">
        <f t="shared" si="5"/>
        <v>50387.600000000006</v>
      </c>
      <c r="N19" s="10">
        <f t="shared" si="1"/>
        <v>12567.980769230771</v>
      </c>
      <c r="O19" s="10">
        <f t="shared" si="2"/>
        <v>-4442.3317599067668</v>
      </c>
      <c r="P19" s="10">
        <f t="shared" si="3"/>
        <v>15557.668240093233</v>
      </c>
      <c r="Q19" s="11">
        <v>340</v>
      </c>
      <c r="R19" s="11">
        <v>34</v>
      </c>
      <c r="S19" s="5"/>
    </row>
    <row r="20" spans="1:19">
      <c r="A20" s="12">
        <v>1</v>
      </c>
      <c r="B20" s="11" t="s">
        <v>109</v>
      </c>
      <c r="C20" s="11">
        <v>2</v>
      </c>
      <c r="D20" s="10">
        <v>1000</v>
      </c>
      <c r="E20" s="10">
        <v>400</v>
      </c>
      <c r="F20" s="40">
        <f>IF(C20&gt;=1,VLOOKUP(R19+MAX(0,R20-R19-C20)+0,药材收益口径!$H$2:$I$222,2,FALSE),0)+IF(C20&gt;=2,VLOOKUP(R19+MAX(0,R20-R19-C20)+1,药材收益口径!$H$2:$I$222,2,FALSE),0)+IF(C20&gt;=3,VLOOKUP(R19+MAX(0,R20-R19-C20)+2,药材收益口径!$H$2:$I$222,2,FALSE),0)+IF(C20&gt;=4,VLOOKUP(R19+MAX(0,R20-R19-C20)+3,药材收益口径!$H$2:$I$222,2,FALSE),0)</f>
        <v>210.35</v>
      </c>
      <c r="G20" s="10">
        <v>230.4</v>
      </c>
      <c r="H20" s="10">
        <v>0</v>
      </c>
      <c r="I20" s="10">
        <v>0</v>
      </c>
      <c r="J20" s="10">
        <f t="shared" si="0"/>
        <v>1840.75</v>
      </c>
      <c r="K20" s="10">
        <f t="shared" si="4"/>
        <v>47786.018240093239</v>
      </c>
      <c r="L20" s="10">
        <v>4750</v>
      </c>
      <c r="M20" s="10">
        <f t="shared" si="5"/>
        <v>55137.600000000006</v>
      </c>
      <c r="N20" s="10">
        <f t="shared" si="1"/>
        <v>-2909.25</v>
      </c>
      <c r="O20" s="10">
        <f t="shared" si="2"/>
        <v>-7351.5817599067668</v>
      </c>
      <c r="P20" s="10">
        <f t="shared" si="3"/>
        <v>12648.418240093233</v>
      </c>
      <c r="Q20" s="11">
        <v>360</v>
      </c>
      <c r="R20" s="11">
        <v>36</v>
      </c>
      <c r="S20" s="5"/>
    </row>
    <row r="21" spans="1:19">
      <c r="A21" s="12">
        <v>1</v>
      </c>
      <c r="B21" s="11" t="s">
        <v>110</v>
      </c>
      <c r="C21" s="11">
        <v>2</v>
      </c>
      <c r="D21" s="10">
        <v>1000</v>
      </c>
      <c r="E21" s="10">
        <v>400</v>
      </c>
      <c r="F21" s="40">
        <f>IF(C21&gt;=1,VLOOKUP(R20+MAX(0,R21-R20-C21)+0,药材收益口径!$H$2:$I$222,2,FALSE),0)+IF(C21&gt;=2,VLOOKUP(R20+MAX(0,R21-R20-C21)+1,药材收益口径!$H$2:$I$222,2,FALSE),0)+IF(C21&gt;=3,VLOOKUP(R20+MAX(0,R21-R20-C21)+2,药材收益口径!$H$2:$I$222,2,FALSE),0)+IF(C21&gt;=4,VLOOKUP(R20+MAX(0,R21-R20-C21)+3,药材收益口径!$H$2:$I$222,2,FALSE),0)</f>
        <v>210.40625</v>
      </c>
      <c r="G21" s="10">
        <v>230.4</v>
      </c>
      <c r="H21" s="10">
        <v>0</v>
      </c>
      <c r="I21" s="10">
        <v>0</v>
      </c>
      <c r="J21" s="10">
        <f t="shared" si="0"/>
        <v>1840.8062500000001</v>
      </c>
      <c r="K21" s="10">
        <f t="shared" si="4"/>
        <v>49626.82449009324</v>
      </c>
      <c r="L21" s="10">
        <v>2776.4</v>
      </c>
      <c r="M21" s="10">
        <f t="shared" si="5"/>
        <v>57914.000000000007</v>
      </c>
      <c r="N21" s="10">
        <f t="shared" si="1"/>
        <v>-935.59375</v>
      </c>
      <c r="O21" s="10">
        <f t="shared" si="2"/>
        <v>-8287.1755099067668</v>
      </c>
      <c r="P21" s="10">
        <f t="shared" si="3"/>
        <v>11712.824490093233</v>
      </c>
      <c r="Q21" s="11">
        <v>380</v>
      </c>
      <c r="R21" s="11">
        <v>38</v>
      </c>
      <c r="S21" s="5"/>
    </row>
    <row r="22" spans="1:19">
      <c r="A22" s="12">
        <v>1</v>
      </c>
      <c r="B22" s="11" t="s">
        <v>111</v>
      </c>
      <c r="C22" s="11">
        <v>2</v>
      </c>
      <c r="D22" s="10">
        <v>1000</v>
      </c>
      <c r="E22" s="10">
        <v>400</v>
      </c>
      <c r="F22" s="40">
        <f>IF(C22&gt;=1,VLOOKUP(R21+MAX(0,R22-R21-C22)+0,药材收益口径!$H$2:$I$222,2,FALSE),0)+IF(C22&gt;=2,VLOOKUP(R21+MAX(0,R22-R21-C22)+1,药材收益口径!$H$2:$I$222,2,FALSE),0)+IF(C22&gt;=3,VLOOKUP(R21+MAX(0,R22-R21-C22)+2,药材收益口径!$H$2:$I$222,2,FALSE),0)+IF(C22&gt;=4,VLOOKUP(R21+MAX(0,R22-R21-C22)+3,药材收益口径!$H$2:$I$222,2,FALSE),0)</f>
        <v>207</v>
      </c>
      <c r="G22" s="10">
        <v>230.4</v>
      </c>
      <c r="H22" s="10">
        <v>0</v>
      </c>
      <c r="I22" s="10">
        <v>0</v>
      </c>
      <c r="J22" s="10">
        <f t="shared" si="0"/>
        <v>1837.4</v>
      </c>
      <c r="K22" s="10">
        <f t="shared" si="4"/>
        <v>51464.224490093242</v>
      </c>
      <c r="L22" s="10">
        <v>1550</v>
      </c>
      <c r="M22" s="10">
        <f t="shared" si="5"/>
        <v>59464.000000000007</v>
      </c>
      <c r="N22" s="10">
        <f t="shared" si="1"/>
        <v>287.40000000000009</v>
      </c>
      <c r="O22" s="10">
        <f t="shared" si="2"/>
        <v>-7999.7755099067654</v>
      </c>
      <c r="P22" s="10">
        <f t="shared" si="3"/>
        <v>12000.224490093235</v>
      </c>
      <c r="Q22" s="11">
        <v>400</v>
      </c>
      <c r="R22" s="11">
        <v>40</v>
      </c>
      <c r="S22" s="5"/>
    </row>
    <row r="23" spans="1:19">
      <c r="A23" s="12">
        <v>1</v>
      </c>
      <c r="B23" s="11" t="s">
        <v>112</v>
      </c>
      <c r="C23" s="11">
        <v>2</v>
      </c>
      <c r="D23" s="10">
        <v>1000</v>
      </c>
      <c r="E23" s="10">
        <v>400</v>
      </c>
      <c r="F23" s="40">
        <f>IF(C23&gt;=1,VLOOKUP(R22+MAX(0,R23-R22-C23)+0,药材收益口径!$H$2:$I$222,2,FALSE),0)+IF(C23&gt;=2,VLOOKUP(R22+MAX(0,R23-R22-C23)+1,药材收益口径!$H$2:$I$222,2,FALSE),0)+IF(C23&gt;=3,VLOOKUP(R22+MAX(0,R23-R22-C23)+2,药材收益口径!$H$2:$I$222,2,FALSE),0)+IF(C23&gt;=4,VLOOKUP(R22+MAX(0,R23-R22-C23)+3,药材收益口径!$H$2:$I$222,2,FALSE),0)</f>
        <v>214.94444444444446</v>
      </c>
      <c r="G23" s="10">
        <v>230.4</v>
      </c>
      <c r="H23" s="10">
        <v>0</v>
      </c>
      <c r="I23" s="19">
        <v>1000</v>
      </c>
      <c r="J23" s="19">
        <f t="shared" si="0"/>
        <v>2845.3444444444444</v>
      </c>
      <c r="K23" s="19">
        <f t="shared" si="4"/>
        <v>54309.568934537689</v>
      </c>
      <c r="L23" s="19">
        <v>2776.4</v>
      </c>
      <c r="M23" s="19">
        <f t="shared" si="5"/>
        <v>62240.400000000009</v>
      </c>
      <c r="N23" s="19">
        <f t="shared" si="1"/>
        <v>68.944444444444343</v>
      </c>
      <c r="O23" s="19">
        <f t="shared" si="2"/>
        <v>-7930.8310654623201</v>
      </c>
      <c r="P23" s="19">
        <f t="shared" si="3"/>
        <v>12069.16893453768</v>
      </c>
      <c r="Q23" s="20">
        <v>420</v>
      </c>
      <c r="R23" s="20">
        <v>42</v>
      </c>
      <c r="S23" s="46" t="s">
        <v>113</v>
      </c>
    </row>
    <row r="24" spans="1:19">
      <c r="A24" s="12">
        <v>1</v>
      </c>
      <c r="B24" s="11" t="s">
        <v>114</v>
      </c>
      <c r="C24" s="11">
        <v>2</v>
      </c>
      <c r="D24" s="10">
        <v>1000</v>
      </c>
      <c r="E24" s="10">
        <v>400</v>
      </c>
      <c r="F24" s="40">
        <f>IF(C24&gt;=1,VLOOKUP(R23+MAX(0,R24-R23-C24)+0,药材收益口径!$H$2:$I$222,2,FALSE),0)+IF(C24&gt;=2,VLOOKUP(R23+MAX(0,R24-R23-C24)+1,药材收益口径!$H$2:$I$222,2,FALSE),0)+IF(C24&gt;=3,VLOOKUP(R23+MAX(0,R24-R23-C24)+2,药材收益口径!$H$2:$I$222,2,FALSE),0)+IF(C24&gt;=4,VLOOKUP(R23+MAX(0,R24-R23-C24)+3,药材收益口径!$H$2:$I$222,2,FALSE),0)</f>
        <v>214.94444444444446</v>
      </c>
      <c r="G24" s="10">
        <v>230.4</v>
      </c>
      <c r="H24" s="10">
        <v>0</v>
      </c>
      <c r="I24" s="10">
        <v>0</v>
      </c>
      <c r="J24" s="10">
        <f t="shared" si="0"/>
        <v>1845.3444444444444</v>
      </c>
      <c r="K24" s="10">
        <f t="shared" si="4"/>
        <v>56154.913378982135</v>
      </c>
      <c r="L24" s="10">
        <v>1550</v>
      </c>
      <c r="M24" s="10">
        <f t="shared" si="5"/>
        <v>63790.400000000009</v>
      </c>
      <c r="N24" s="10">
        <f t="shared" si="1"/>
        <v>295.34444444444443</v>
      </c>
      <c r="O24" s="10">
        <f t="shared" si="2"/>
        <v>-7635.4866210178734</v>
      </c>
      <c r="P24" s="10">
        <f t="shared" si="3"/>
        <v>12364.513378982127</v>
      </c>
      <c r="Q24" s="11">
        <v>440</v>
      </c>
      <c r="R24" s="11">
        <v>44</v>
      </c>
      <c r="S24" s="5"/>
    </row>
    <row r="25" spans="1:19">
      <c r="A25" s="12">
        <v>1</v>
      </c>
      <c r="B25" s="11" t="s">
        <v>115</v>
      </c>
      <c r="C25" s="11">
        <v>2</v>
      </c>
      <c r="D25" s="10">
        <v>1000</v>
      </c>
      <c r="E25" s="10">
        <v>400</v>
      </c>
      <c r="F25" s="40">
        <f>IF(C25&gt;=1,VLOOKUP(R24+MAX(0,R25-R24-C25)+0,药材收益口径!$H$2:$I$222,2,FALSE),0)+IF(C25&gt;=2,VLOOKUP(R24+MAX(0,R25-R24-C25)+1,药材收益口径!$H$2:$I$222,2,FALSE),0)+IF(C25&gt;=3,VLOOKUP(R24+MAX(0,R25-R24-C25)+2,药材收益口径!$H$2:$I$222,2,FALSE),0)+IF(C25&gt;=4,VLOOKUP(R24+MAX(0,R25-R24-C25)+3,药材收益口径!$H$2:$I$222,2,FALSE),0)</f>
        <v>209.94736842105263</v>
      </c>
      <c r="G25" s="10">
        <v>230.4</v>
      </c>
      <c r="H25" s="10">
        <v>0</v>
      </c>
      <c r="I25" s="19">
        <v>1000</v>
      </c>
      <c r="J25" s="19">
        <f t="shared" si="0"/>
        <v>2840.347368421053</v>
      </c>
      <c r="K25" s="19">
        <f t="shared" si="4"/>
        <v>58995.26074740319</v>
      </c>
      <c r="L25" s="19">
        <v>3376.4</v>
      </c>
      <c r="M25" s="19">
        <f t="shared" si="5"/>
        <v>67166.8</v>
      </c>
      <c r="N25" s="19">
        <f t="shared" si="1"/>
        <v>-536.05263157894706</v>
      </c>
      <c r="O25" s="19">
        <f t="shared" si="2"/>
        <v>-8171.5392525968127</v>
      </c>
      <c r="P25" s="19">
        <f t="shared" si="3"/>
        <v>11828.460747403187</v>
      </c>
      <c r="Q25" s="20">
        <v>460</v>
      </c>
      <c r="R25" s="20">
        <v>46</v>
      </c>
      <c r="S25" s="46" t="s">
        <v>116</v>
      </c>
    </row>
    <row r="26" spans="1:19" ht="15">
      <c r="A26" s="16">
        <v>2</v>
      </c>
      <c r="B26" s="17" t="s">
        <v>90</v>
      </c>
      <c r="C26" s="17">
        <v>2</v>
      </c>
      <c r="D26" s="18">
        <v>1000</v>
      </c>
      <c r="E26" s="18">
        <v>400</v>
      </c>
      <c r="F26" s="41">
        <f>IF(C26&gt;=1,VLOOKUP(R25+MAX(0,R26-R25-C26)+0,药材收益口径!$H$2:$I$222,2,FALSE),0)+IF(C26&gt;=2,VLOOKUP(R25+MAX(0,R26-R25-C26)+1,药材收益口径!$H$2:$I$222,2,FALSE),0)+IF(C26&gt;=3,VLOOKUP(R25+MAX(0,R26-R25-C26)+2,药材收益口径!$H$2:$I$222,2,FALSE),0)+IF(C26&gt;=4,VLOOKUP(R25+MAX(0,R26-R25-C26)+3,药材收益口径!$H$2:$I$222,2,FALSE),0)</f>
        <v>209.94736842105263</v>
      </c>
      <c r="G26" s="10">
        <v>230.4</v>
      </c>
      <c r="H26" s="18">
        <v>0</v>
      </c>
      <c r="I26" s="18">
        <v>0</v>
      </c>
      <c r="J26" s="18">
        <f t="shared" si="0"/>
        <v>1840.3473684210528</v>
      </c>
      <c r="K26" s="18">
        <f t="shared" si="4"/>
        <v>60835.608115824245</v>
      </c>
      <c r="L26" s="18">
        <v>2650</v>
      </c>
      <c r="M26" s="18">
        <f t="shared" si="5"/>
        <v>69816.800000000003</v>
      </c>
      <c r="N26" s="18">
        <f t="shared" si="1"/>
        <v>-809.65263157894719</v>
      </c>
      <c r="O26" s="18">
        <f t="shared" si="2"/>
        <v>-8981.1918841757579</v>
      </c>
      <c r="P26" s="18">
        <f t="shared" si="3"/>
        <v>11018.808115824242</v>
      </c>
      <c r="Q26" s="17">
        <v>480</v>
      </c>
      <c r="R26" s="17">
        <v>48</v>
      </c>
      <c r="S26" s="47"/>
    </row>
    <row r="27" spans="1:19">
      <c r="A27" s="12">
        <v>2</v>
      </c>
      <c r="B27" s="11" t="s">
        <v>91</v>
      </c>
      <c r="C27" s="11">
        <v>2</v>
      </c>
      <c r="D27" s="10">
        <v>1000</v>
      </c>
      <c r="E27" s="10">
        <v>400</v>
      </c>
      <c r="F27" s="40">
        <f>IF(C27&gt;=1,VLOOKUP(R26+MAX(0,R27-R26-C27)+0,药材收益口径!$H$2:$I$222,2,FALSE),0)+IF(C27&gt;=2,VLOOKUP(R26+MAX(0,R27-R26-C27)+1,药材收益口径!$H$2:$I$222,2,FALSE),0)+IF(C27&gt;=3,VLOOKUP(R26+MAX(0,R27-R26-C27)+2,药材收益口径!$H$2:$I$222,2,FALSE),0)+IF(C27&gt;=4,VLOOKUP(R26+MAX(0,R27-R26-C27)+3,药材收益口径!$H$2:$I$222,2,FALSE),0)</f>
        <v>243.27261904761906</v>
      </c>
      <c r="G27" s="10">
        <v>230.4</v>
      </c>
      <c r="H27" s="10">
        <v>0</v>
      </c>
      <c r="I27" s="10">
        <v>0</v>
      </c>
      <c r="J27" s="10">
        <f t="shared" si="0"/>
        <v>1873.6726190476193</v>
      </c>
      <c r="K27" s="10">
        <f t="shared" si="4"/>
        <v>62709.280734871863</v>
      </c>
      <c r="L27" s="10">
        <v>2776.4</v>
      </c>
      <c r="M27" s="10">
        <f t="shared" si="5"/>
        <v>72593.2</v>
      </c>
      <c r="N27" s="10">
        <f t="shared" si="1"/>
        <v>-902.72738095238083</v>
      </c>
      <c r="O27" s="10">
        <f t="shared" si="2"/>
        <v>-9883.9192651281337</v>
      </c>
      <c r="P27" s="10">
        <f t="shared" si="3"/>
        <v>10116.080734871866</v>
      </c>
      <c r="Q27" s="11">
        <v>500</v>
      </c>
      <c r="R27" s="11">
        <v>50</v>
      </c>
      <c r="S27" s="5"/>
    </row>
    <row r="28" spans="1:19" ht="28.5">
      <c r="A28" s="12">
        <v>2</v>
      </c>
      <c r="B28" s="11" t="s">
        <v>92</v>
      </c>
      <c r="C28" s="11">
        <v>2</v>
      </c>
      <c r="D28" s="10">
        <v>1000</v>
      </c>
      <c r="E28" s="10">
        <v>400</v>
      </c>
      <c r="F28" s="40">
        <f>IF(C28&gt;=1,VLOOKUP(R27+MAX(0,R28-R27-C28)+0,药材收益口径!$H$2:$I$222,2,FALSE),0)+IF(C28&gt;=2,VLOOKUP(R27+MAX(0,R28-R27-C28)+1,药材收益口径!$H$2:$I$222,2,FALSE),0)+IF(C28&gt;=3,VLOOKUP(R27+MAX(0,R28-R27-C28)+2,药材收益口径!$H$2:$I$222,2,FALSE),0)+IF(C28&gt;=4,VLOOKUP(R27+MAX(0,R28-R27-C28)+3,药材收益口径!$H$2:$I$222,2,FALSE),0)</f>
        <v>247.47916666666669</v>
      </c>
      <c r="G28" s="10">
        <v>230.4</v>
      </c>
      <c r="H28" s="10">
        <v>0</v>
      </c>
      <c r="I28" s="19">
        <v>1000</v>
      </c>
      <c r="J28" s="19">
        <f t="shared" si="0"/>
        <v>2877.8791666666666</v>
      </c>
      <c r="K28" s="19">
        <f t="shared" si="4"/>
        <v>65587.159901538529</v>
      </c>
      <c r="L28" s="19">
        <v>1550</v>
      </c>
      <c r="M28" s="19">
        <f t="shared" si="5"/>
        <v>74143.199999999997</v>
      </c>
      <c r="N28" s="19">
        <f t="shared" si="1"/>
        <v>1327.8791666666666</v>
      </c>
      <c r="O28" s="19">
        <f t="shared" si="2"/>
        <v>-8556.040098461468</v>
      </c>
      <c r="P28" s="19">
        <f t="shared" si="3"/>
        <v>11443.959901538532</v>
      </c>
      <c r="Q28" s="20">
        <v>1520</v>
      </c>
      <c r="R28" s="20">
        <v>59</v>
      </c>
      <c r="S28" s="46" t="s">
        <v>117</v>
      </c>
    </row>
    <row r="29" spans="1:19">
      <c r="A29" s="12">
        <v>2</v>
      </c>
      <c r="B29" s="11" t="s">
        <v>93</v>
      </c>
      <c r="C29" s="11">
        <v>2</v>
      </c>
      <c r="D29" s="10">
        <v>1000</v>
      </c>
      <c r="E29" s="10">
        <v>1000</v>
      </c>
      <c r="F29" s="40">
        <f>IF(C29&gt;=1,VLOOKUP(R28+MAX(0,R29-R28-C29)+0,药材收益口径!$H$2:$I$222,2,FALSE),0)+IF(C29&gt;=2,VLOOKUP(R28+MAX(0,R29-R28-C29)+1,药材收益口径!$H$2:$I$222,2,FALSE),0)+IF(C29&gt;=3,VLOOKUP(R28+MAX(0,R29-R28-C29)+2,药材收益口径!$H$2:$I$222,2,FALSE),0)+IF(C29&gt;=4,VLOOKUP(R28+MAX(0,R29-R28-C29)+3,药材收益口径!$H$2:$I$222,2,FALSE),0)</f>
        <v>240.17877492877494</v>
      </c>
      <c r="G29" s="10">
        <v>230.4</v>
      </c>
      <c r="H29" s="10">
        <v>0</v>
      </c>
      <c r="I29" s="10">
        <v>0</v>
      </c>
      <c r="J29" s="10">
        <f t="shared" si="0"/>
        <v>2470.5787749287751</v>
      </c>
      <c r="K29" s="10">
        <f t="shared" si="4"/>
        <v>68057.738676467299</v>
      </c>
      <c r="L29" s="10">
        <v>3376.4</v>
      </c>
      <c r="M29" s="10">
        <f t="shared" si="5"/>
        <v>77519.599999999991</v>
      </c>
      <c r="N29" s="10">
        <f t="shared" si="1"/>
        <v>-905.82122507122494</v>
      </c>
      <c r="O29" s="10">
        <f t="shared" si="2"/>
        <v>-9461.861323532692</v>
      </c>
      <c r="P29" s="10">
        <f t="shared" si="3"/>
        <v>10538.138676467308</v>
      </c>
      <c r="Q29" s="11">
        <v>1540</v>
      </c>
      <c r="R29" s="11">
        <v>61</v>
      </c>
      <c r="S29" s="5"/>
    </row>
    <row r="30" spans="1:19">
      <c r="A30" s="12">
        <v>2</v>
      </c>
      <c r="B30" s="11" t="s">
        <v>94</v>
      </c>
      <c r="C30" s="11">
        <v>2</v>
      </c>
      <c r="D30" s="10">
        <v>1000</v>
      </c>
      <c r="E30" s="10">
        <v>1000</v>
      </c>
      <c r="F30" s="40">
        <f>IF(C30&gt;=1,VLOOKUP(R29+MAX(0,R30-R29-C30)+0,药材收益口径!$H$2:$I$222,2,FALSE),0)+IF(C30&gt;=2,VLOOKUP(R29+MAX(0,R30-R29-C30)+1,药材收益口径!$H$2:$I$222,2,FALSE),0)+IF(C30&gt;=3,VLOOKUP(R29+MAX(0,R30-R29-C30)+2,药材收益口径!$H$2:$I$222,2,FALSE),0)+IF(C30&gt;=4,VLOOKUP(R29+MAX(0,R30-R29-C30)+3,药材收益口径!$H$2:$I$222,2,FALSE),0)</f>
        <v>235.5482804232804</v>
      </c>
      <c r="G30" s="10">
        <v>230.4</v>
      </c>
      <c r="H30" s="10">
        <v>0</v>
      </c>
      <c r="I30" s="10">
        <v>0</v>
      </c>
      <c r="J30" s="10">
        <f t="shared" si="0"/>
        <v>2465.9482804232807</v>
      </c>
      <c r="K30" s="10">
        <f t="shared" si="4"/>
        <v>70523.686956890582</v>
      </c>
      <c r="L30" s="10">
        <v>3550</v>
      </c>
      <c r="M30" s="10">
        <f t="shared" si="5"/>
        <v>81069.599999999991</v>
      </c>
      <c r="N30" s="10">
        <f t="shared" si="1"/>
        <v>-1084.0517195767193</v>
      </c>
      <c r="O30" s="10">
        <f t="shared" si="2"/>
        <v>-10545.913043109409</v>
      </c>
      <c r="P30" s="10">
        <f t="shared" si="3"/>
        <v>9454.086956890591</v>
      </c>
      <c r="Q30" s="11">
        <v>1560</v>
      </c>
      <c r="R30" s="11">
        <v>63</v>
      </c>
      <c r="S30" s="5"/>
    </row>
    <row r="31" spans="1:19">
      <c r="A31" s="12">
        <v>2</v>
      </c>
      <c r="B31" s="11" t="s">
        <v>95</v>
      </c>
      <c r="C31" s="11">
        <v>2</v>
      </c>
      <c r="D31" s="10">
        <v>1000</v>
      </c>
      <c r="E31" s="10">
        <v>1000</v>
      </c>
      <c r="F31" s="40">
        <f>IF(C31&gt;=1,VLOOKUP(R30+MAX(0,R31-R30-C31)+0,药材收益口径!$H$2:$I$222,2,FALSE),0)+IF(C31&gt;=2,VLOOKUP(R30+MAX(0,R31-R30-C31)+1,药材收益口径!$H$2:$I$222,2,FALSE),0)+IF(C31&gt;=3,VLOOKUP(R30+MAX(0,R31-R30-C31)+2,药材收益口径!$H$2:$I$222,2,FALSE),0)+IF(C31&gt;=4,VLOOKUP(R30+MAX(0,R31-R30-C31)+3,药材收益口径!$H$2:$I$222,2,FALSE),0)</f>
        <v>234.39285714285714</v>
      </c>
      <c r="G31" s="10">
        <v>230.4</v>
      </c>
      <c r="H31" s="10">
        <v>0</v>
      </c>
      <c r="I31" s="10">
        <v>0</v>
      </c>
      <c r="J31" s="10">
        <f t="shared" si="0"/>
        <v>2464.7928571428574</v>
      </c>
      <c r="K31" s="10">
        <f t="shared" si="4"/>
        <v>72988.479814033446</v>
      </c>
      <c r="L31" s="10">
        <v>2776.4</v>
      </c>
      <c r="M31" s="10">
        <f t="shared" si="5"/>
        <v>83845.999999999985</v>
      </c>
      <c r="N31" s="10">
        <f t="shared" si="1"/>
        <v>-311.60714285714266</v>
      </c>
      <c r="O31" s="10">
        <f t="shared" si="2"/>
        <v>-10857.520185966539</v>
      </c>
      <c r="P31" s="10">
        <f t="shared" si="3"/>
        <v>9142.4798140334606</v>
      </c>
      <c r="Q31" s="11">
        <v>1580</v>
      </c>
      <c r="R31" s="11">
        <v>65</v>
      </c>
      <c r="S31" s="5"/>
    </row>
    <row r="32" spans="1:19">
      <c r="A32" s="12">
        <v>2</v>
      </c>
      <c r="B32" s="11" t="s">
        <v>96</v>
      </c>
      <c r="C32" s="11">
        <v>2</v>
      </c>
      <c r="D32" s="10">
        <v>1000</v>
      </c>
      <c r="E32" s="10">
        <v>1000</v>
      </c>
      <c r="F32" s="40">
        <f>IF(C32&gt;=1,VLOOKUP(R31+MAX(0,R32-R31-C32)+0,药材收益口径!$H$2:$I$222,2,FALSE),0)+IF(C32&gt;=2,VLOOKUP(R31+MAX(0,R32-R31-C32)+1,药材收益口径!$H$2:$I$222,2,FALSE),0)+IF(C32&gt;=3,VLOOKUP(R31+MAX(0,R32-R31-C32)+2,药材收益口径!$H$2:$I$222,2,FALSE),0)+IF(C32&gt;=4,VLOOKUP(R31+MAX(0,R32-R31-C32)+3,药材收益口径!$H$2:$I$222,2,FALSE),0)</f>
        <v>234.39285714285714</v>
      </c>
      <c r="G32" s="10">
        <v>230.4</v>
      </c>
      <c r="H32" s="10">
        <v>0</v>
      </c>
      <c r="I32" s="10">
        <v>0</v>
      </c>
      <c r="J32" s="10">
        <f t="shared" si="0"/>
        <v>2464.7928571428574</v>
      </c>
      <c r="K32" s="10">
        <f t="shared" si="4"/>
        <v>75453.27267117631</v>
      </c>
      <c r="L32" s="10">
        <v>2650</v>
      </c>
      <c r="M32" s="10">
        <f t="shared" si="5"/>
        <v>86495.999999999985</v>
      </c>
      <c r="N32" s="10">
        <f t="shared" si="1"/>
        <v>-185.20714285714257</v>
      </c>
      <c r="O32" s="10">
        <f t="shared" si="2"/>
        <v>-11042.727328823676</v>
      </c>
      <c r="P32" s="10">
        <f t="shared" si="3"/>
        <v>8957.2726711763244</v>
      </c>
      <c r="Q32" s="11">
        <v>1600</v>
      </c>
      <c r="R32" s="11">
        <v>67</v>
      </c>
      <c r="S32" s="5"/>
    </row>
    <row r="33" spans="1:19">
      <c r="A33" s="12">
        <v>2</v>
      </c>
      <c r="B33" s="11" t="s">
        <v>97</v>
      </c>
      <c r="C33" s="11">
        <v>2</v>
      </c>
      <c r="D33" s="10">
        <v>1000</v>
      </c>
      <c r="E33" s="10">
        <v>1000</v>
      </c>
      <c r="F33" s="40">
        <f>IF(C33&gt;=1,VLOOKUP(R32+MAX(0,R33-R32-C33)+0,药材收益口径!$H$2:$I$222,2,FALSE),0)+IF(C33&gt;=2,VLOOKUP(R32+MAX(0,R33-R32-C33)+1,药材收益口径!$H$2:$I$222,2,FALSE),0)+IF(C33&gt;=3,VLOOKUP(R32+MAX(0,R33-R32-C33)+2,药材收益口径!$H$2:$I$222,2,FALSE),0)+IF(C33&gt;=4,VLOOKUP(R32+MAX(0,R33-R32-C33)+3,药材收益口径!$H$2:$I$222,2,FALSE),0)</f>
        <v>248.58620689655172</v>
      </c>
      <c r="G33" s="10">
        <v>230.4</v>
      </c>
      <c r="H33" s="10">
        <v>0</v>
      </c>
      <c r="I33" s="10">
        <v>0</v>
      </c>
      <c r="J33" s="10">
        <f t="shared" si="0"/>
        <v>2478.9862068965517</v>
      </c>
      <c r="K33" s="10">
        <f t="shared" si="4"/>
        <v>77932.258878072855</v>
      </c>
      <c r="L33" s="10">
        <v>3676.4</v>
      </c>
      <c r="M33" s="10">
        <f t="shared" si="5"/>
        <v>90172.39999999998</v>
      </c>
      <c r="N33" s="10">
        <f t="shared" si="1"/>
        <v>-1197.4137931034484</v>
      </c>
      <c r="O33" s="10">
        <f t="shared" si="2"/>
        <v>-12240.141121927125</v>
      </c>
      <c r="P33" s="10">
        <f t="shared" si="3"/>
        <v>7759.8588780728751</v>
      </c>
      <c r="Q33" s="11">
        <v>1620</v>
      </c>
      <c r="R33" s="11">
        <v>69</v>
      </c>
      <c r="S33" s="5"/>
    </row>
    <row r="34" spans="1:19">
      <c r="A34" s="12">
        <v>2</v>
      </c>
      <c r="B34" s="11" t="s">
        <v>98</v>
      </c>
      <c r="C34" s="11">
        <v>2</v>
      </c>
      <c r="D34" s="10">
        <v>1000</v>
      </c>
      <c r="E34" s="10">
        <v>1000</v>
      </c>
      <c r="F34" s="40">
        <f>IF(C34&gt;=1,VLOOKUP(R33+MAX(0,R34-R33-C34)+0,药材收益口径!$H$2:$I$222,2,FALSE),0)+IF(C34&gt;=2,VLOOKUP(R33+MAX(0,R34-R33-C34)+1,药材收益口径!$H$2:$I$222,2,FALSE),0)+IF(C34&gt;=3,VLOOKUP(R33+MAX(0,R34-R33-C34)+2,药材收益口径!$H$2:$I$222,2,FALSE),0)+IF(C34&gt;=4,VLOOKUP(R33+MAX(0,R34-R33-C34)+3,药材收益口径!$H$2:$I$222,2,FALSE),0)</f>
        <v>248.58620689655172</v>
      </c>
      <c r="G34" s="10">
        <v>230.4</v>
      </c>
      <c r="H34" s="10">
        <v>0</v>
      </c>
      <c r="I34" s="10">
        <v>0</v>
      </c>
      <c r="J34" s="10">
        <f t="shared" si="0"/>
        <v>2478.9862068965517</v>
      </c>
      <c r="K34" s="10">
        <f t="shared" si="4"/>
        <v>80411.2450849694</v>
      </c>
      <c r="L34" s="10">
        <v>2450</v>
      </c>
      <c r="M34" s="10">
        <f t="shared" si="5"/>
        <v>92622.39999999998</v>
      </c>
      <c r="N34" s="10">
        <f t="shared" si="1"/>
        <v>28.986206896551721</v>
      </c>
      <c r="O34" s="10">
        <f t="shared" si="2"/>
        <v>-12211.15491503058</v>
      </c>
      <c r="P34" s="10">
        <f t="shared" si="3"/>
        <v>7788.84508496942</v>
      </c>
      <c r="Q34" s="11">
        <v>1640</v>
      </c>
      <c r="R34" s="11">
        <v>71</v>
      </c>
      <c r="S34" s="5"/>
    </row>
    <row r="35" spans="1:19">
      <c r="A35" s="12">
        <v>2</v>
      </c>
      <c r="B35" s="11" t="s">
        <v>100</v>
      </c>
      <c r="C35" s="11">
        <v>2</v>
      </c>
      <c r="D35" s="10">
        <v>1000</v>
      </c>
      <c r="E35" s="10">
        <v>1000</v>
      </c>
      <c r="F35" s="40">
        <f>IF(C35&gt;=1,VLOOKUP(R34+MAX(0,R35-R34-C35)+0,药材收益口径!$H$2:$I$222,2,FALSE),0)+IF(C35&gt;=2,VLOOKUP(R34+MAX(0,R35-R34-C35)+1,药材收益口径!$H$2:$I$222,2,FALSE),0)+IF(C35&gt;=3,VLOOKUP(R34+MAX(0,R35-R34-C35)+2,药材收益口径!$H$2:$I$222,2,FALSE),0)+IF(C35&gt;=4,VLOOKUP(R34+MAX(0,R35-R34-C35)+3,药材收益口径!$H$2:$I$222,2,FALSE),0)</f>
        <v>246.43826473859843</v>
      </c>
      <c r="G35" s="10">
        <v>230.4</v>
      </c>
      <c r="H35" s="10">
        <v>0</v>
      </c>
      <c r="I35" s="10">
        <v>0</v>
      </c>
      <c r="J35" s="10">
        <f t="shared" si="0"/>
        <v>2476.8382647385984</v>
      </c>
      <c r="K35" s="10">
        <f t="shared" si="4"/>
        <v>82888.083349708002</v>
      </c>
      <c r="L35" s="10">
        <v>3676.4</v>
      </c>
      <c r="M35" s="10">
        <f t="shared" si="5"/>
        <v>96298.799999999974</v>
      </c>
      <c r="N35" s="10">
        <f t="shared" si="1"/>
        <v>-1199.5617352614017</v>
      </c>
      <c r="O35" s="10">
        <f t="shared" si="2"/>
        <v>-13410.716650291972</v>
      </c>
      <c r="P35" s="10">
        <f t="shared" si="3"/>
        <v>6589.2833497080283</v>
      </c>
      <c r="Q35" s="11">
        <v>1660</v>
      </c>
      <c r="R35" s="11">
        <v>73</v>
      </c>
      <c r="S35" s="5"/>
    </row>
    <row r="36" spans="1:19">
      <c r="A36" s="12">
        <v>2</v>
      </c>
      <c r="B36" s="11" t="s">
        <v>101</v>
      </c>
      <c r="C36" s="11">
        <v>2</v>
      </c>
      <c r="D36" s="10">
        <v>1000</v>
      </c>
      <c r="E36" s="10">
        <v>1000</v>
      </c>
      <c r="F36" s="40">
        <f>IF(C36&gt;=1,VLOOKUP(R35+MAX(0,R36-R35-C36)+0,药材收益口径!$H$2:$I$222,2,FALSE),0)+IF(C36&gt;=2,VLOOKUP(R35+MAX(0,R36-R35-C36)+1,药材收益口径!$H$2:$I$222,2,FALSE),0)+IF(C36&gt;=3,VLOOKUP(R35+MAX(0,R36-R35-C36)+2,药材收益口径!$H$2:$I$222,2,FALSE),0)+IF(C36&gt;=4,VLOOKUP(R35+MAX(0,R36-R35-C36)+3,药材收益口径!$H$2:$I$222,2,FALSE),0)</f>
        <v>244.29032258064515</v>
      </c>
      <c r="G36" s="10">
        <v>230.4</v>
      </c>
      <c r="H36" s="10">
        <v>0</v>
      </c>
      <c r="I36" s="10">
        <v>0</v>
      </c>
      <c r="J36" s="10">
        <f t="shared" si="0"/>
        <v>2474.6903225806454</v>
      </c>
      <c r="K36" s="10">
        <f t="shared" si="4"/>
        <v>85362.773672288648</v>
      </c>
      <c r="L36" s="10">
        <v>2450</v>
      </c>
      <c r="M36" s="10">
        <f t="shared" si="5"/>
        <v>98748.799999999974</v>
      </c>
      <c r="N36" s="10">
        <f t="shared" si="1"/>
        <v>24.690322580645443</v>
      </c>
      <c r="O36" s="10">
        <f t="shared" si="2"/>
        <v>-13386.026327711326</v>
      </c>
      <c r="P36" s="10">
        <f t="shared" si="3"/>
        <v>6613.9736722886737</v>
      </c>
      <c r="Q36" s="11">
        <v>1680</v>
      </c>
      <c r="R36" s="11">
        <v>75</v>
      </c>
      <c r="S36" s="5"/>
    </row>
    <row r="37" spans="1:19">
      <c r="A37" s="12">
        <v>2</v>
      </c>
      <c r="B37" s="11" t="s">
        <v>102</v>
      </c>
      <c r="C37" s="11">
        <v>2</v>
      </c>
      <c r="D37" s="10">
        <v>1000</v>
      </c>
      <c r="E37" s="10">
        <v>1000</v>
      </c>
      <c r="F37" s="40">
        <f>IF(C37&gt;=1,VLOOKUP(R36+MAX(0,R37-R36-C37)+0,药材收益口径!$H$2:$I$222,2,FALSE),0)+IF(C37&gt;=2,VLOOKUP(R36+MAX(0,R37-R36-C37)+1,药材收益口径!$H$2:$I$222,2,FALSE),0)+IF(C37&gt;=3,VLOOKUP(R36+MAX(0,R37-R36-C37)+2,药材收益口径!$H$2:$I$222,2,FALSE),0)+IF(C37&gt;=4,VLOOKUP(R36+MAX(0,R37-R36-C37)+3,药材收益口径!$H$2:$I$222,2,FALSE),0)</f>
        <v>285.89820075757575</v>
      </c>
      <c r="G37" s="10">
        <v>230.4</v>
      </c>
      <c r="H37" s="10">
        <v>5000</v>
      </c>
      <c r="I37" s="10">
        <v>0</v>
      </c>
      <c r="J37" s="10">
        <f t="shared" si="0"/>
        <v>7516.2982007575756</v>
      </c>
      <c r="K37" s="10">
        <f t="shared" si="4"/>
        <v>92879.071873046225</v>
      </c>
      <c r="L37" s="10">
        <v>3276.4</v>
      </c>
      <c r="M37" s="10">
        <f t="shared" si="5"/>
        <v>102025.19999999997</v>
      </c>
      <c r="N37" s="10">
        <f t="shared" si="1"/>
        <v>4239.898200757576</v>
      </c>
      <c r="O37" s="10">
        <f t="shared" si="2"/>
        <v>-9146.128126953743</v>
      </c>
      <c r="P37" s="10">
        <f t="shared" si="3"/>
        <v>10853.871873046257</v>
      </c>
      <c r="Q37" s="11">
        <v>1700</v>
      </c>
      <c r="R37" s="11">
        <v>77</v>
      </c>
      <c r="S37" s="5"/>
    </row>
    <row r="38" spans="1:19">
      <c r="A38" s="12">
        <v>2</v>
      </c>
      <c r="B38" s="11" t="s">
        <v>103</v>
      </c>
      <c r="C38" s="11">
        <v>2</v>
      </c>
      <c r="D38" s="10">
        <v>1000</v>
      </c>
      <c r="E38" s="10">
        <v>1000</v>
      </c>
      <c r="F38" s="40">
        <f>IF(C38&gt;=1,VLOOKUP(R37+MAX(0,R38-R37-C38)+0,药材收益口径!$H$2:$I$222,2,FALSE),0)+IF(C38&gt;=2,VLOOKUP(R37+MAX(0,R38-R37-C38)+1,药材收益口径!$H$2:$I$222,2,FALSE),0)+IF(C38&gt;=3,VLOOKUP(R37+MAX(0,R38-R37-C38)+2,药材收益口径!$H$2:$I$222,2,FALSE),0)+IF(C38&gt;=4,VLOOKUP(R37+MAX(0,R38-R37-C38)+3,药材收益口径!$H$2:$I$222,2,FALSE),0)</f>
        <v>291.09581105169343</v>
      </c>
      <c r="G38" s="10">
        <v>230.4</v>
      </c>
      <c r="H38" s="10">
        <v>0</v>
      </c>
      <c r="I38" s="10">
        <v>0</v>
      </c>
      <c r="J38" s="10">
        <f t="shared" si="0"/>
        <v>2521.4958110516936</v>
      </c>
      <c r="K38" s="10">
        <f t="shared" si="4"/>
        <v>95400.567684097914</v>
      </c>
      <c r="L38" s="10">
        <v>2650</v>
      </c>
      <c r="M38" s="10">
        <f t="shared" si="5"/>
        <v>104675.19999999997</v>
      </c>
      <c r="N38" s="10">
        <f t="shared" si="1"/>
        <v>-128.50418894830636</v>
      </c>
      <c r="O38" s="10">
        <f t="shared" si="2"/>
        <v>-9274.632315902054</v>
      </c>
      <c r="P38" s="10">
        <f t="shared" si="3"/>
        <v>10725.367684097946</v>
      </c>
      <c r="Q38" s="11">
        <v>1720</v>
      </c>
      <c r="R38" s="11">
        <v>79</v>
      </c>
      <c r="S38" s="5"/>
    </row>
    <row r="39" spans="1:19">
      <c r="A39" s="12">
        <v>2</v>
      </c>
      <c r="B39" s="11" t="s">
        <v>104</v>
      </c>
      <c r="C39" s="11">
        <v>2</v>
      </c>
      <c r="D39" s="10">
        <v>1000</v>
      </c>
      <c r="E39" s="10">
        <v>1000</v>
      </c>
      <c r="F39" s="40">
        <f>IF(C39&gt;=1,VLOOKUP(R38+MAX(0,R39-R38-C39)+0,药材收益口径!$H$2:$I$222,2,FALSE),0)+IF(C39&gt;=2,VLOOKUP(R38+MAX(0,R39-R38-C39)+1,药材收益口径!$H$2:$I$222,2,FALSE),0)+IF(C39&gt;=3,VLOOKUP(R38+MAX(0,R39-R38-C39)+2,药材收益口径!$H$2:$I$222,2,FALSE),0)+IF(C39&gt;=4,VLOOKUP(R38+MAX(0,R39-R38-C39)+3,药材收益口径!$H$2:$I$222,2,FALSE),0)</f>
        <v>297.6764705882353</v>
      </c>
      <c r="G39" s="10">
        <v>230.4</v>
      </c>
      <c r="H39" s="10">
        <v>0</v>
      </c>
      <c r="I39" s="10">
        <v>0</v>
      </c>
      <c r="J39" s="10">
        <f t="shared" si="0"/>
        <v>2528.0764705882352</v>
      </c>
      <c r="K39" s="10">
        <f t="shared" si="4"/>
        <v>97928.644154686146</v>
      </c>
      <c r="L39" s="10">
        <v>4776.3999999999996</v>
      </c>
      <c r="M39" s="10">
        <f t="shared" si="5"/>
        <v>109451.59999999996</v>
      </c>
      <c r="N39" s="10">
        <f t="shared" si="1"/>
        <v>-2248.3235294117644</v>
      </c>
      <c r="O39" s="10">
        <f t="shared" si="2"/>
        <v>-11522.955845313816</v>
      </c>
      <c r="P39" s="10">
        <f t="shared" si="3"/>
        <v>8477.0441546861839</v>
      </c>
      <c r="Q39" s="11">
        <v>1740</v>
      </c>
      <c r="R39" s="11">
        <v>81</v>
      </c>
      <c r="S39" s="5"/>
    </row>
    <row r="40" spans="1:19">
      <c r="A40" s="12">
        <v>2</v>
      </c>
      <c r="B40" s="11" t="s">
        <v>105</v>
      </c>
      <c r="C40" s="11">
        <v>2</v>
      </c>
      <c r="D40" s="10">
        <v>1000</v>
      </c>
      <c r="E40" s="10">
        <v>1000</v>
      </c>
      <c r="F40" s="40">
        <f>IF(C40&gt;=1,VLOOKUP(R39+MAX(0,R40-R39-C40)+0,药材收益口径!$H$2:$I$222,2,FALSE),0)+IF(C40&gt;=2,VLOOKUP(R39+MAX(0,R40-R39-C40)+1,药材收益口径!$H$2:$I$222,2,FALSE),0)+IF(C40&gt;=3,VLOOKUP(R39+MAX(0,R40-R39-C40)+2,药材收益口径!$H$2:$I$222,2,FALSE),0)+IF(C40&gt;=4,VLOOKUP(R39+MAX(0,R40-R39-C40)+3,药材收益口径!$H$2:$I$222,2,FALSE),0)</f>
        <v>297.17142857142858</v>
      </c>
      <c r="G40" s="10">
        <v>230.4</v>
      </c>
      <c r="H40" s="10">
        <v>0</v>
      </c>
      <c r="I40" s="10">
        <v>0</v>
      </c>
      <c r="J40" s="10">
        <f t="shared" si="0"/>
        <v>2527.5714285714289</v>
      </c>
      <c r="K40" s="10">
        <f t="shared" si="4"/>
        <v>100456.21558325758</v>
      </c>
      <c r="L40" s="10">
        <v>1550</v>
      </c>
      <c r="M40" s="10">
        <f t="shared" si="5"/>
        <v>111001.59999999996</v>
      </c>
      <c r="N40" s="10">
        <f t="shared" si="1"/>
        <v>977.5714285714289</v>
      </c>
      <c r="O40" s="10">
        <f t="shared" si="2"/>
        <v>-10545.384416742381</v>
      </c>
      <c r="P40" s="10">
        <f t="shared" si="3"/>
        <v>9454.6155832576187</v>
      </c>
      <c r="Q40" s="11">
        <v>1760</v>
      </c>
      <c r="R40" s="11">
        <v>83</v>
      </c>
      <c r="S40" s="5"/>
    </row>
    <row r="41" spans="1:19">
      <c r="A41" s="12">
        <v>2</v>
      </c>
      <c r="B41" s="11" t="s">
        <v>106</v>
      </c>
      <c r="C41" s="11">
        <v>2</v>
      </c>
      <c r="D41" s="10">
        <v>1000</v>
      </c>
      <c r="E41" s="10">
        <v>1000</v>
      </c>
      <c r="F41" s="40">
        <f>IF(C41&gt;=1,VLOOKUP(R40+MAX(0,R41-R40-C41)+0,药材收益口径!$H$2:$I$222,2,FALSE),0)+IF(C41&gt;=2,VLOOKUP(R40+MAX(0,R41-R40-C41)+1,药材收益口径!$H$2:$I$222,2,FALSE),0)+IF(C41&gt;=3,VLOOKUP(R40+MAX(0,R41-R40-C41)+2,药材收益口径!$H$2:$I$222,2,FALSE),0)+IF(C41&gt;=4,VLOOKUP(R40+MAX(0,R41-R40-C41)+3,药材收益口径!$H$2:$I$222,2,FALSE),0)</f>
        <v>297.17142857142858</v>
      </c>
      <c r="G41" s="10">
        <v>230.4</v>
      </c>
      <c r="H41" s="10">
        <v>0</v>
      </c>
      <c r="I41" s="10">
        <v>0</v>
      </c>
      <c r="J41" s="10">
        <f t="shared" si="0"/>
        <v>2527.5714285714289</v>
      </c>
      <c r="K41" s="10">
        <f t="shared" si="4"/>
        <v>102983.78701182902</v>
      </c>
      <c r="L41" s="10">
        <v>3376.4</v>
      </c>
      <c r="M41" s="10">
        <f t="shared" si="5"/>
        <v>114377.99999999996</v>
      </c>
      <c r="N41" s="10">
        <f t="shared" si="1"/>
        <v>-848.82857142857119</v>
      </c>
      <c r="O41" s="10">
        <f t="shared" si="2"/>
        <v>-11394.212988170941</v>
      </c>
      <c r="P41" s="10">
        <f t="shared" si="3"/>
        <v>8605.7870118290593</v>
      </c>
      <c r="Q41" s="11">
        <v>1780</v>
      </c>
      <c r="R41" s="11">
        <v>85</v>
      </c>
      <c r="S41" s="5"/>
    </row>
    <row r="42" spans="1:19">
      <c r="A42" s="12">
        <v>2</v>
      </c>
      <c r="B42" s="11" t="s">
        <v>107</v>
      </c>
      <c r="C42" s="11">
        <v>2</v>
      </c>
      <c r="D42" s="10">
        <v>1000</v>
      </c>
      <c r="E42" s="10">
        <v>1000</v>
      </c>
      <c r="F42" s="40">
        <f>IF(C42&gt;=1,VLOOKUP(R41+MAX(0,R42-R41-C42)+0,药材收益口径!$H$2:$I$222,2,FALSE),0)+IF(C42&gt;=2,VLOOKUP(R41+MAX(0,R42-R41-C42)+1,药材收益口径!$H$2:$I$222,2,FALSE),0)+IF(C42&gt;=3,VLOOKUP(R41+MAX(0,R42-R41-C42)+2,药材收益口径!$H$2:$I$222,2,FALSE),0)+IF(C42&gt;=4,VLOOKUP(R41+MAX(0,R42-R41-C42)+3,药材收益口径!$H$2:$I$222,2,FALSE),0)</f>
        <v>290.57469969969969</v>
      </c>
      <c r="G42" s="10">
        <v>230.4</v>
      </c>
      <c r="H42" s="10">
        <v>0</v>
      </c>
      <c r="I42" s="10">
        <v>0</v>
      </c>
      <c r="J42" s="10">
        <f t="shared" si="0"/>
        <v>2520.9746996996996</v>
      </c>
      <c r="K42" s="10">
        <f t="shared" si="4"/>
        <v>105504.76171152871</v>
      </c>
      <c r="L42" s="10">
        <v>1550</v>
      </c>
      <c r="M42" s="10">
        <f t="shared" si="5"/>
        <v>115927.99999999996</v>
      </c>
      <c r="N42" s="10">
        <f t="shared" si="1"/>
        <v>970.97469969969961</v>
      </c>
      <c r="O42" s="10">
        <f t="shared" si="2"/>
        <v>-10423.238288471242</v>
      </c>
      <c r="P42" s="10">
        <f t="shared" si="3"/>
        <v>9576.7617115287576</v>
      </c>
      <c r="Q42" s="11">
        <v>1800</v>
      </c>
      <c r="R42" s="11">
        <v>87</v>
      </c>
      <c r="S42" s="5"/>
    </row>
    <row r="43" spans="1:19">
      <c r="A43" s="12">
        <v>2</v>
      </c>
      <c r="B43" s="11" t="s">
        <v>108</v>
      </c>
      <c r="C43" s="11">
        <v>2</v>
      </c>
      <c r="D43" s="10">
        <v>1000</v>
      </c>
      <c r="E43" s="10">
        <v>1000</v>
      </c>
      <c r="F43" s="40">
        <f>IF(C43&gt;=1,VLOOKUP(R42+MAX(0,R43-R42-C43)+0,药材收益口径!$H$2:$I$222,2,FALSE),0)+IF(C43&gt;=2,VLOOKUP(R42+MAX(0,R43-R42-C43)+1,药材收益口径!$H$2:$I$222,2,FALSE),0)+IF(C43&gt;=3,VLOOKUP(R42+MAX(0,R43-R42-C43)+2,药材收益口径!$H$2:$I$222,2,FALSE),0)+IF(C43&gt;=4,VLOOKUP(R42+MAX(0,R43-R42-C43)+3,药材收益口径!$H$2:$I$222,2,FALSE),0)</f>
        <v>287.62162162162161</v>
      </c>
      <c r="G43" s="10">
        <v>230.4</v>
      </c>
      <c r="H43" s="10">
        <v>15000</v>
      </c>
      <c r="I43" s="10">
        <v>0</v>
      </c>
      <c r="J43" s="10">
        <f t="shared" si="0"/>
        <v>17518.021621621621</v>
      </c>
      <c r="K43" s="10">
        <f t="shared" si="4"/>
        <v>123022.78333315034</v>
      </c>
      <c r="L43" s="10">
        <v>4276.3999999999996</v>
      </c>
      <c r="M43" s="10">
        <f t="shared" si="5"/>
        <v>120204.39999999995</v>
      </c>
      <c r="N43" s="10">
        <f t="shared" si="1"/>
        <v>13241.621621621622</v>
      </c>
      <c r="O43" s="10">
        <f t="shared" si="2"/>
        <v>2818.3833331503847</v>
      </c>
      <c r="P43" s="10">
        <f t="shared" si="3"/>
        <v>22818.383333150385</v>
      </c>
      <c r="Q43" s="11">
        <v>1820</v>
      </c>
      <c r="R43" s="11">
        <v>89</v>
      </c>
      <c r="S43" s="5"/>
    </row>
    <row r="44" spans="1:19">
      <c r="A44" s="12">
        <v>2</v>
      </c>
      <c r="B44" s="11" t="s">
        <v>109</v>
      </c>
      <c r="C44" s="11">
        <v>2</v>
      </c>
      <c r="D44" s="10">
        <v>1000</v>
      </c>
      <c r="E44" s="10">
        <v>1000</v>
      </c>
      <c r="F44" s="40">
        <f>IF(C44&gt;=1,VLOOKUP(R43+MAX(0,R44-R43-C44)+0,药材收益口径!$H$2:$I$222,2,FALSE),0)+IF(C44&gt;=2,VLOOKUP(R43+MAX(0,R44-R43-C44)+1,药材收益口径!$H$2:$I$222,2,FALSE),0)+IF(C44&gt;=3,VLOOKUP(R43+MAX(0,R44-R43-C44)+2,药材收益口径!$H$2:$I$222,2,FALSE),0)+IF(C44&gt;=4,VLOOKUP(R43+MAX(0,R44-R43-C44)+3,药材收益口径!$H$2:$I$222,2,FALSE),0)</f>
        <v>285.78272604588392</v>
      </c>
      <c r="G44" s="10">
        <v>230.4</v>
      </c>
      <c r="H44" s="10">
        <v>0</v>
      </c>
      <c r="I44" s="10">
        <v>0</v>
      </c>
      <c r="J44" s="10">
        <f t="shared" si="0"/>
        <v>2516.182726045884</v>
      </c>
      <c r="K44" s="10">
        <f t="shared" si="4"/>
        <v>125538.96605919622</v>
      </c>
      <c r="L44" s="10">
        <v>4750</v>
      </c>
      <c r="M44" s="10">
        <f t="shared" si="5"/>
        <v>124954.39999999995</v>
      </c>
      <c r="N44" s="10">
        <f t="shared" si="1"/>
        <v>-2233.817273954116</v>
      </c>
      <c r="O44" s="10">
        <f t="shared" si="2"/>
        <v>584.566059196266</v>
      </c>
      <c r="P44" s="10">
        <f t="shared" si="3"/>
        <v>20584.566059196266</v>
      </c>
      <c r="Q44" s="11">
        <v>1840</v>
      </c>
      <c r="R44" s="11">
        <v>91</v>
      </c>
      <c r="S44" s="5"/>
    </row>
    <row r="45" spans="1:19">
      <c r="A45" s="12">
        <v>2</v>
      </c>
      <c r="B45" s="11" t="s">
        <v>110</v>
      </c>
      <c r="C45" s="11">
        <v>2</v>
      </c>
      <c r="D45" s="10">
        <v>1000</v>
      </c>
      <c r="E45" s="10">
        <v>1000</v>
      </c>
      <c r="F45" s="40">
        <f>IF(C45&gt;=1,VLOOKUP(R44+MAX(0,R45-R44-C45)+0,药材收益口径!$H$2:$I$222,2,FALSE),0)+IF(C45&gt;=2,VLOOKUP(R44+MAX(0,R45-R44-C45)+1,药材收益口径!$H$2:$I$222,2,FALSE),0)+IF(C45&gt;=3,VLOOKUP(R44+MAX(0,R45-R44-C45)+2,药材收益口径!$H$2:$I$222,2,FALSE),0)+IF(C45&gt;=4,VLOOKUP(R44+MAX(0,R45-R44-C45)+3,药材收益口径!$H$2:$I$222,2,FALSE),0)</f>
        <v>286.41891025641024</v>
      </c>
      <c r="G45" s="10">
        <v>230.4</v>
      </c>
      <c r="H45" s="10">
        <v>0</v>
      </c>
      <c r="I45" s="10">
        <v>0</v>
      </c>
      <c r="J45" s="10">
        <f t="shared" si="0"/>
        <v>2516.8189102564102</v>
      </c>
      <c r="K45" s="10">
        <f t="shared" si="4"/>
        <v>128055.78496945262</v>
      </c>
      <c r="L45" s="10">
        <v>2776.4</v>
      </c>
      <c r="M45" s="10">
        <f t="shared" si="5"/>
        <v>127730.79999999994</v>
      </c>
      <c r="N45" s="10">
        <f t="shared" si="1"/>
        <v>-259.58108974358993</v>
      </c>
      <c r="O45" s="10">
        <f t="shared" si="2"/>
        <v>324.98496945267834</v>
      </c>
      <c r="P45" s="10">
        <f t="shared" si="3"/>
        <v>20324.984969452678</v>
      </c>
      <c r="Q45" s="11">
        <v>1860</v>
      </c>
      <c r="R45" s="11">
        <v>93</v>
      </c>
      <c r="S45" s="5"/>
    </row>
    <row r="46" spans="1:19">
      <c r="A46" s="12">
        <v>2</v>
      </c>
      <c r="B46" s="11" t="s">
        <v>111</v>
      </c>
      <c r="C46" s="11">
        <v>2</v>
      </c>
      <c r="D46" s="10">
        <v>1000</v>
      </c>
      <c r="E46" s="10">
        <v>1000</v>
      </c>
      <c r="F46" s="40">
        <f>IF(C46&gt;=1,VLOOKUP(R45+MAX(0,R46-R45-C46)+0,药材收益口径!$H$2:$I$222,2,FALSE),0)+IF(C46&gt;=2,VLOOKUP(R45+MAX(0,R46-R45-C46)+1,药材收益口径!$H$2:$I$222,2,FALSE),0)+IF(C46&gt;=3,VLOOKUP(R45+MAX(0,R46-R45-C46)+2,药材收益口径!$H$2:$I$222,2,FALSE),0)+IF(C46&gt;=4,VLOOKUP(R45+MAX(0,R46-R45-C46)+3,药材收益口径!$H$2:$I$222,2,FALSE),0)</f>
        <v>292.92653890824624</v>
      </c>
      <c r="G46" s="10">
        <v>230.4</v>
      </c>
      <c r="H46" s="10">
        <v>0</v>
      </c>
      <c r="I46" s="10">
        <v>0</v>
      </c>
      <c r="J46" s="10">
        <f t="shared" si="0"/>
        <v>2523.3265389082462</v>
      </c>
      <c r="K46" s="10">
        <f t="shared" si="4"/>
        <v>130579.11150836087</v>
      </c>
      <c r="L46" s="10">
        <v>1550</v>
      </c>
      <c r="M46" s="10">
        <f t="shared" si="5"/>
        <v>129280.79999999994</v>
      </c>
      <c r="N46" s="10">
        <f t="shared" si="1"/>
        <v>973.32653890824622</v>
      </c>
      <c r="O46" s="10">
        <f t="shared" si="2"/>
        <v>1298.31150836093</v>
      </c>
      <c r="P46" s="10">
        <f t="shared" si="3"/>
        <v>21298.31150836093</v>
      </c>
      <c r="Q46" s="11">
        <v>1880</v>
      </c>
      <c r="R46" s="11">
        <v>95</v>
      </c>
      <c r="S46" s="5"/>
    </row>
    <row r="47" spans="1:19">
      <c r="A47" s="12">
        <v>2</v>
      </c>
      <c r="B47" s="11" t="s">
        <v>112</v>
      </c>
      <c r="C47" s="11">
        <v>2</v>
      </c>
      <c r="D47" s="10">
        <v>1000</v>
      </c>
      <c r="E47" s="10">
        <v>1000</v>
      </c>
      <c r="F47" s="40">
        <f>IF(C47&gt;=1,VLOOKUP(R46+MAX(0,R47-R46-C47)+0,药材收益口径!$H$2:$I$222,2,FALSE),0)+IF(C47&gt;=2,VLOOKUP(R46+MAX(0,R47-R46-C47)+1,药材收益口径!$H$2:$I$222,2,FALSE),0)+IF(C47&gt;=3,VLOOKUP(R46+MAX(0,R47-R46-C47)+2,药材收益口径!$H$2:$I$222,2,FALSE),0)+IF(C47&gt;=4,VLOOKUP(R46+MAX(0,R47-R46-C47)+3,药材收益口径!$H$2:$I$222,2,FALSE),0)</f>
        <v>286.47727272727275</v>
      </c>
      <c r="G47" s="10">
        <v>230.4</v>
      </c>
      <c r="H47" s="10">
        <v>0</v>
      </c>
      <c r="I47" s="10">
        <v>0</v>
      </c>
      <c r="J47" s="10">
        <f t="shared" si="0"/>
        <v>2516.8772727272731</v>
      </c>
      <c r="K47" s="10">
        <f t="shared" si="4"/>
        <v>133095.98878108815</v>
      </c>
      <c r="L47" s="10">
        <v>2776.4</v>
      </c>
      <c r="M47" s="10">
        <f t="shared" si="5"/>
        <v>132057.19999999995</v>
      </c>
      <c r="N47" s="10">
        <f t="shared" si="1"/>
        <v>-259.52272727272702</v>
      </c>
      <c r="O47" s="10">
        <f t="shared" si="2"/>
        <v>1038.7887810881948</v>
      </c>
      <c r="P47" s="10">
        <f t="shared" si="3"/>
        <v>21038.788781088195</v>
      </c>
      <c r="Q47" s="11">
        <v>1900</v>
      </c>
      <c r="R47" s="11">
        <v>97</v>
      </c>
      <c r="S47" s="5"/>
    </row>
    <row r="48" spans="1:19">
      <c r="A48" s="12">
        <v>2</v>
      </c>
      <c r="B48" s="11" t="s">
        <v>114</v>
      </c>
      <c r="C48" s="11">
        <v>2</v>
      </c>
      <c r="D48" s="10">
        <v>1000</v>
      </c>
      <c r="E48" s="10">
        <v>1000</v>
      </c>
      <c r="F48" s="40">
        <f>IF(C48&gt;=1,VLOOKUP(R47+MAX(0,R48-R47-C48)+0,药材收益口径!$H$2:$I$222,2,FALSE),0)+IF(C48&gt;=2,VLOOKUP(R47+MAX(0,R48-R47-C48)+1,药材收益口径!$H$2:$I$222,2,FALSE),0)+IF(C48&gt;=3,VLOOKUP(R47+MAX(0,R48-R47-C48)+2,药材收益口径!$H$2:$I$222,2,FALSE),0)+IF(C48&gt;=4,VLOOKUP(R47+MAX(0,R48-R47-C48)+3,药材收益口径!$H$2:$I$222,2,FALSE),0)</f>
        <v>291.18308080808083</v>
      </c>
      <c r="G48" s="10">
        <v>230.4</v>
      </c>
      <c r="H48" s="10">
        <v>0</v>
      </c>
      <c r="I48" s="10">
        <v>0</v>
      </c>
      <c r="J48" s="10">
        <f t="shared" si="0"/>
        <v>2521.5830808080809</v>
      </c>
      <c r="K48" s="10">
        <f t="shared" si="4"/>
        <v>135617.57186189623</v>
      </c>
      <c r="L48" s="10">
        <v>1550</v>
      </c>
      <c r="M48" s="10">
        <f t="shared" si="5"/>
        <v>133607.19999999995</v>
      </c>
      <c r="N48" s="10">
        <f t="shared" si="1"/>
        <v>971.58308080808092</v>
      </c>
      <c r="O48" s="10">
        <f t="shared" si="2"/>
        <v>2010.3718618962739</v>
      </c>
      <c r="P48" s="10">
        <f t="shared" si="3"/>
        <v>22010.371861896274</v>
      </c>
      <c r="Q48" s="11">
        <v>1920</v>
      </c>
      <c r="R48" s="11">
        <v>99</v>
      </c>
      <c r="S48" s="5"/>
    </row>
    <row r="49" spans="1:19">
      <c r="A49" s="13">
        <v>2</v>
      </c>
      <c r="B49" s="14" t="s">
        <v>115</v>
      </c>
      <c r="C49" s="14">
        <v>2</v>
      </c>
      <c r="D49" s="15">
        <v>1000</v>
      </c>
      <c r="E49" s="15">
        <v>1000</v>
      </c>
      <c r="F49" s="42">
        <f>IF(C49&gt;=1,VLOOKUP(R48+MAX(0,R49-R48-C49)+0,药材收益口径!$H$2:$I$222,2,FALSE),0)+IF(C49&gt;=2,VLOOKUP(R48+MAX(0,R49-R48-C49)+1,药材收益口径!$H$2:$I$222,2,FALSE),0)+IF(C49&gt;=3,VLOOKUP(R48+MAX(0,R49-R48-C49)+2,药材收益口径!$H$2:$I$222,2,FALSE),0)+IF(C49&gt;=4,VLOOKUP(R48+MAX(0,R49-R48-C49)+3,药材收益口径!$H$2:$I$222,2,FALSE),0)</f>
        <v>295.88888888888891</v>
      </c>
      <c r="G49" s="10">
        <v>230.4</v>
      </c>
      <c r="H49" s="15">
        <v>0</v>
      </c>
      <c r="I49" s="21">
        <v>2000</v>
      </c>
      <c r="J49" s="21">
        <f t="shared" si="0"/>
        <v>4526.2888888888883</v>
      </c>
      <c r="K49" s="21">
        <f t="shared" si="4"/>
        <v>140143.86075078513</v>
      </c>
      <c r="L49" s="21">
        <v>3376.4</v>
      </c>
      <c r="M49" s="21">
        <f t="shared" si="5"/>
        <v>136983.59999999995</v>
      </c>
      <c r="N49" s="21">
        <f t="shared" si="1"/>
        <v>1149.8888888888882</v>
      </c>
      <c r="O49" s="21">
        <f t="shared" si="2"/>
        <v>3160.260750785179</v>
      </c>
      <c r="P49" s="21">
        <f t="shared" si="3"/>
        <v>23160.260750785179</v>
      </c>
      <c r="Q49" s="22">
        <v>1940</v>
      </c>
      <c r="R49" s="22">
        <v>101</v>
      </c>
      <c r="S49" s="48" t="s">
        <v>118</v>
      </c>
    </row>
  </sheetData>
  <phoneticPr fontId="4"/>
  <conditionalFormatting sqref="P2:P49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"/>
  <sheetViews>
    <sheetView topLeftCell="B1" workbookViewId="0">
      <pane ySplit="1" topLeftCell="A2" activePane="bottomLeft" state="frozen"/>
      <selection activeCell="B1" sqref="B1"/>
      <selection pane="bottomLeft" activeCell="L7" sqref="L7"/>
    </sheetView>
  </sheetViews>
  <sheetFormatPr defaultRowHeight="14.25"/>
  <cols>
    <col min="1" max="2" width="5.25" bestFit="1" customWidth="1"/>
    <col min="3" max="3" width="13" bestFit="1" customWidth="1"/>
    <col min="4" max="4" width="11" bestFit="1" customWidth="1"/>
    <col min="5" max="5" width="9" bestFit="1" customWidth="1"/>
    <col min="6" max="6" width="15.125" bestFit="1" customWidth="1"/>
    <col min="7" max="7" width="9" bestFit="1" customWidth="1"/>
    <col min="8" max="8" width="8.5" bestFit="1" customWidth="1"/>
    <col min="9" max="9" width="13" bestFit="1" customWidth="1"/>
    <col min="10" max="10" width="9" bestFit="1" customWidth="1"/>
    <col min="11" max="11" width="13" bestFit="1" customWidth="1"/>
    <col min="12" max="12" width="9" bestFit="1" customWidth="1"/>
    <col min="13" max="14" width="13" bestFit="1" customWidth="1"/>
    <col min="15" max="15" width="11" bestFit="1" customWidth="1"/>
    <col min="16" max="16" width="15.125" bestFit="1" customWidth="1"/>
    <col min="17" max="18" width="11" bestFit="1" customWidth="1"/>
    <col min="19" max="19" width="40.25" bestFit="1" customWidth="1"/>
  </cols>
  <sheetData>
    <row r="1" spans="1:19" ht="15">
      <c r="A1" s="1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13</v>
      </c>
      <c r="G1" s="9" t="s">
        <v>78</v>
      </c>
      <c r="H1" s="9" t="s">
        <v>16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  <c r="R1" s="9" t="s">
        <v>88</v>
      </c>
      <c r="S1" s="2" t="s">
        <v>89</v>
      </c>
    </row>
    <row r="2" spans="1:19">
      <c r="A2" s="12">
        <v>1</v>
      </c>
      <c r="B2" s="11" t="s">
        <v>90</v>
      </c>
      <c r="C2" s="11">
        <v>0</v>
      </c>
      <c r="D2" s="10">
        <v>0</v>
      </c>
      <c r="E2" s="10">
        <v>0</v>
      </c>
      <c r="F2" s="40">
        <f>IF(C2&gt;=1,VLOOKUP(0+MAX(0,R2-0-C2)+0,药材收益口径!$H$2:$I$222,2,FALSE),0)+IF(C2&gt;=2,VLOOKUP(0+MAX(0,R2-0-C2)+1,药材收益口径!$H$2:$I$222,2,FALSE),0)+IF(C2&gt;=3,VLOOKUP(0+MAX(0,R2-0-C2)+2,药材收益口径!$H$2:$I$222,2,FALSE),0)+IF(C2&gt;=4,VLOOKUP(0+MAX(0,R2-0-C2)+3,药材收益口径!$H$2:$I$222,2,FALSE),0)</f>
        <v>0</v>
      </c>
      <c r="G2" s="10">
        <v>0</v>
      </c>
      <c r="H2" s="10">
        <v>0</v>
      </c>
      <c r="I2" s="10">
        <v>0</v>
      </c>
      <c r="J2" s="10">
        <f t="shared" ref="J2:J49" si="0">SUM(D2:I2)</f>
        <v>0</v>
      </c>
      <c r="K2" s="10">
        <f>J2</f>
        <v>0</v>
      </c>
      <c r="L2" s="10">
        <f>K2</f>
        <v>0</v>
      </c>
      <c r="M2" s="10">
        <f>L2</f>
        <v>0</v>
      </c>
      <c r="N2" s="10">
        <f t="shared" ref="N2:N49" si="1">J2-L2</f>
        <v>0</v>
      </c>
      <c r="O2" s="10">
        <f t="shared" ref="O2:O49" si="2">K2-M2</f>
        <v>0</v>
      </c>
      <c r="P2" s="10">
        <f t="shared" ref="P2:P49" si="3">20000+O2</f>
        <v>20000</v>
      </c>
      <c r="Q2" s="11">
        <v>0</v>
      </c>
      <c r="R2" s="11">
        <v>0</v>
      </c>
      <c r="S2" s="5"/>
    </row>
    <row r="3" spans="1:19">
      <c r="A3" s="12">
        <v>1</v>
      </c>
      <c r="B3" s="11" t="s">
        <v>91</v>
      </c>
      <c r="C3" s="11">
        <v>3</v>
      </c>
      <c r="D3" s="10">
        <v>500</v>
      </c>
      <c r="E3" s="10">
        <v>60</v>
      </c>
      <c r="F3" s="40">
        <f>IF(C3&gt;=1,VLOOKUP(R2+MAX(0,R3-R2-C3)+0,药材收益口径!$H$2:$I$222,2,FALSE),0)+IF(C3&gt;=2,VLOOKUP(R2+MAX(0,R3-R2-C3)+1,药材收益口径!$H$2:$I$222,2,FALSE),0)+IF(C3&gt;=3,VLOOKUP(R2+MAX(0,R3-R2-C3)+2,药材收益口径!$H$2:$I$222,2,FALSE),0)+IF(C3&gt;=4,VLOOKUP(R2+MAX(0,R3-R2-C3)+3,药材收益口径!$H$2:$I$222,2,FALSE),0)</f>
        <v>59</v>
      </c>
      <c r="G3" s="10">
        <v>345.6</v>
      </c>
      <c r="H3" s="10">
        <v>0</v>
      </c>
      <c r="I3" s="10">
        <v>0</v>
      </c>
      <c r="J3" s="10">
        <f t="shared" si="0"/>
        <v>964.6</v>
      </c>
      <c r="K3" s="10">
        <f t="shared" ref="K3:K49" si="4">K2+J3</f>
        <v>964.6</v>
      </c>
      <c r="L3" s="10">
        <v>2776.4</v>
      </c>
      <c r="M3" s="10">
        <f t="shared" ref="M3:M49" si="5">M2+L3</f>
        <v>2776.4</v>
      </c>
      <c r="N3" s="10">
        <f t="shared" si="1"/>
        <v>-1811.8000000000002</v>
      </c>
      <c r="O3" s="10">
        <f t="shared" si="2"/>
        <v>-1811.8000000000002</v>
      </c>
      <c r="P3" s="10">
        <f t="shared" si="3"/>
        <v>18188.2</v>
      </c>
      <c r="Q3" s="11">
        <v>30</v>
      </c>
      <c r="R3" s="11">
        <v>3</v>
      </c>
      <c r="S3" s="5"/>
    </row>
    <row r="4" spans="1:19">
      <c r="A4" s="12">
        <v>1</v>
      </c>
      <c r="B4" s="11" t="s">
        <v>92</v>
      </c>
      <c r="C4" s="11">
        <v>3</v>
      </c>
      <c r="D4" s="10">
        <v>500</v>
      </c>
      <c r="E4" s="10">
        <v>60</v>
      </c>
      <c r="F4" s="40">
        <f>IF(C4&gt;=1,VLOOKUP(R3+MAX(0,R4-R3-C4)+0,药材收益口径!$H$2:$I$222,2,FALSE),0)+IF(C4&gt;=2,VLOOKUP(R3+MAX(0,R4-R3-C4)+1,药材收益口径!$H$2:$I$222,2,FALSE),0)+IF(C4&gt;=3,VLOOKUP(R3+MAX(0,R4-R3-C4)+2,药材收益口径!$H$2:$I$222,2,FALSE),0)+IF(C4&gt;=4,VLOOKUP(R3+MAX(0,R4-R3-C4)+3,药材收益口径!$H$2:$I$222,2,FALSE),0)</f>
        <v>59</v>
      </c>
      <c r="G4" s="10">
        <v>345.6</v>
      </c>
      <c r="H4" s="10">
        <v>0</v>
      </c>
      <c r="I4" s="10">
        <v>0</v>
      </c>
      <c r="J4" s="10">
        <f t="shared" si="0"/>
        <v>964.6</v>
      </c>
      <c r="K4" s="10">
        <f t="shared" si="4"/>
        <v>1929.2</v>
      </c>
      <c r="L4" s="10">
        <v>1550</v>
      </c>
      <c r="M4" s="10">
        <f t="shared" si="5"/>
        <v>4326.3999999999996</v>
      </c>
      <c r="N4" s="10">
        <f t="shared" si="1"/>
        <v>-585.4</v>
      </c>
      <c r="O4" s="10">
        <f t="shared" si="2"/>
        <v>-2397.1999999999998</v>
      </c>
      <c r="P4" s="10">
        <f t="shared" si="3"/>
        <v>17602.8</v>
      </c>
      <c r="Q4" s="11">
        <v>60</v>
      </c>
      <c r="R4" s="11">
        <v>6</v>
      </c>
      <c r="S4" s="5"/>
    </row>
    <row r="5" spans="1:19">
      <c r="A5" s="12">
        <v>1</v>
      </c>
      <c r="B5" s="11" t="s">
        <v>93</v>
      </c>
      <c r="C5" s="11">
        <v>3</v>
      </c>
      <c r="D5" s="10">
        <v>500</v>
      </c>
      <c r="E5" s="10">
        <v>60</v>
      </c>
      <c r="F5" s="40">
        <f>IF(C5&gt;=1,VLOOKUP(R4+MAX(0,R5-R4-C5)+0,药材收益口径!$H$2:$I$222,2,FALSE),0)+IF(C5&gt;=2,VLOOKUP(R4+MAX(0,R5-R4-C5)+1,药材收益口径!$H$2:$I$222,2,FALSE),0)+IF(C5&gt;=3,VLOOKUP(R4+MAX(0,R5-R4-C5)+2,药材收益口径!$H$2:$I$222,2,FALSE),0)+IF(C5&gt;=4,VLOOKUP(R4+MAX(0,R5-R4-C5)+3,药材收益口径!$H$2:$I$222,2,FALSE),0)</f>
        <v>59</v>
      </c>
      <c r="G5" s="10">
        <v>345.6</v>
      </c>
      <c r="H5" s="10">
        <v>0</v>
      </c>
      <c r="I5" s="10">
        <v>0</v>
      </c>
      <c r="J5" s="10">
        <f t="shared" si="0"/>
        <v>964.6</v>
      </c>
      <c r="K5" s="10">
        <f t="shared" si="4"/>
        <v>2893.8</v>
      </c>
      <c r="L5" s="10">
        <v>3376.4</v>
      </c>
      <c r="M5" s="10">
        <f t="shared" si="5"/>
        <v>7702.7999999999993</v>
      </c>
      <c r="N5" s="10">
        <f t="shared" si="1"/>
        <v>-2411.8000000000002</v>
      </c>
      <c r="O5" s="10">
        <f t="shared" si="2"/>
        <v>-4808.9999999999991</v>
      </c>
      <c r="P5" s="10">
        <f t="shared" si="3"/>
        <v>15191</v>
      </c>
      <c r="Q5" s="11">
        <v>90</v>
      </c>
      <c r="R5" s="11">
        <v>9</v>
      </c>
      <c r="S5" s="5"/>
    </row>
    <row r="6" spans="1:19">
      <c r="A6" s="12">
        <v>1</v>
      </c>
      <c r="B6" s="11" t="s">
        <v>94</v>
      </c>
      <c r="C6" s="11">
        <v>3</v>
      </c>
      <c r="D6" s="10">
        <v>500</v>
      </c>
      <c r="E6" s="10">
        <v>90</v>
      </c>
      <c r="F6" s="40">
        <f>IF(C6&gt;=1,VLOOKUP(R5+MAX(0,R6-R5-C6)+0,药材收益口径!$H$2:$I$222,2,FALSE),0)+IF(C6&gt;=2,VLOOKUP(R5+MAX(0,R6-R5-C6)+1,药材收益口径!$H$2:$I$222,2,FALSE),0)+IF(C6&gt;=3,VLOOKUP(R5+MAX(0,R6-R5-C6)+2,药材收益口径!$H$2:$I$222,2,FALSE),0)+IF(C6&gt;=4,VLOOKUP(R5+MAX(0,R6-R5-C6)+3,药材收益口径!$H$2:$I$222,2,FALSE),0)</f>
        <v>207.75</v>
      </c>
      <c r="G6" s="10">
        <v>345.6</v>
      </c>
      <c r="H6" s="10">
        <v>0</v>
      </c>
      <c r="I6" s="10">
        <v>0</v>
      </c>
      <c r="J6" s="10">
        <f t="shared" si="0"/>
        <v>1143.3499999999999</v>
      </c>
      <c r="K6" s="10">
        <f t="shared" si="4"/>
        <v>4037.15</v>
      </c>
      <c r="L6" s="10">
        <v>3550</v>
      </c>
      <c r="M6" s="10">
        <f t="shared" si="5"/>
        <v>11252.8</v>
      </c>
      <c r="N6" s="10">
        <f t="shared" si="1"/>
        <v>-2406.65</v>
      </c>
      <c r="O6" s="10">
        <f t="shared" si="2"/>
        <v>-7215.65</v>
      </c>
      <c r="P6" s="10">
        <f t="shared" si="3"/>
        <v>12784.35</v>
      </c>
      <c r="Q6" s="11">
        <v>120</v>
      </c>
      <c r="R6" s="11">
        <v>12</v>
      </c>
      <c r="S6" s="5"/>
    </row>
    <row r="7" spans="1:19">
      <c r="A7" s="12">
        <v>1</v>
      </c>
      <c r="B7" s="11" t="s">
        <v>95</v>
      </c>
      <c r="C7" s="11">
        <v>3</v>
      </c>
      <c r="D7" s="10">
        <v>500</v>
      </c>
      <c r="E7" s="10">
        <v>150</v>
      </c>
      <c r="F7" s="40">
        <f>IF(C7&gt;=1,VLOOKUP(R6+MAX(0,R7-R6-C7)+0,药材收益口径!$H$2:$I$222,2,FALSE),0)+IF(C7&gt;=2,VLOOKUP(R6+MAX(0,R7-R6-C7)+1,药材收益口径!$H$2:$I$222,2,FALSE),0)+IF(C7&gt;=3,VLOOKUP(R6+MAX(0,R7-R6-C7)+2,药材收益口径!$H$2:$I$222,2,FALSE),0)+IF(C7&gt;=4,VLOOKUP(R6+MAX(0,R7-R6-C7)+3,药材收益口径!$H$2:$I$222,2,FALSE),0)</f>
        <v>199.8</v>
      </c>
      <c r="G7" s="10">
        <v>345.6</v>
      </c>
      <c r="H7" s="10">
        <v>0</v>
      </c>
      <c r="I7" s="10">
        <v>0</v>
      </c>
      <c r="J7" s="10">
        <f t="shared" si="0"/>
        <v>1195.4000000000001</v>
      </c>
      <c r="K7" s="10">
        <f t="shared" si="4"/>
        <v>5232.55</v>
      </c>
      <c r="L7" s="10">
        <v>2776.4</v>
      </c>
      <c r="M7" s="10">
        <f t="shared" si="5"/>
        <v>14029.199999999999</v>
      </c>
      <c r="N7" s="10">
        <f t="shared" si="1"/>
        <v>-1581</v>
      </c>
      <c r="O7" s="10">
        <f t="shared" si="2"/>
        <v>-8796.6499999999978</v>
      </c>
      <c r="P7" s="10">
        <f t="shared" si="3"/>
        <v>11203.350000000002</v>
      </c>
      <c r="Q7" s="11">
        <v>150</v>
      </c>
      <c r="R7" s="11">
        <v>15</v>
      </c>
      <c r="S7" s="5"/>
    </row>
    <row r="8" spans="1:19">
      <c r="A8" s="12">
        <v>1</v>
      </c>
      <c r="B8" s="11" t="s">
        <v>96</v>
      </c>
      <c r="C8" s="11">
        <v>3</v>
      </c>
      <c r="D8" s="10">
        <v>500</v>
      </c>
      <c r="E8" s="10">
        <v>150</v>
      </c>
      <c r="F8" s="40">
        <f>IF(C8&gt;=1,VLOOKUP(R7+MAX(0,R8-R7-C8)+0,药材收益口径!$H$2:$I$222,2,FALSE),0)+IF(C8&gt;=2,VLOOKUP(R7+MAX(0,R8-R7-C8)+1,药材收益口径!$H$2:$I$222,2,FALSE),0)+IF(C8&gt;=3,VLOOKUP(R7+MAX(0,R8-R7-C8)+2,药材收益口径!$H$2:$I$222,2,FALSE),0)+IF(C8&gt;=4,VLOOKUP(R7+MAX(0,R8-R7-C8)+3,药材收益口径!$H$2:$I$222,2,FALSE),0)</f>
        <v>183.89999999999998</v>
      </c>
      <c r="G8" s="10">
        <v>345.6</v>
      </c>
      <c r="H8" s="10">
        <v>0</v>
      </c>
      <c r="I8" s="10">
        <v>1000</v>
      </c>
      <c r="J8" s="10">
        <f t="shared" si="0"/>
        <v>2179.5</v>
      </c>
      <c r="K8" s="10">
        <f t="shared" si="4"/>
        <v>7412.05</v>
      </c>
      <c r="L8" s="10">
        <v>2650</v>
      </c>
      <c r="M8" s="10">
        <f t="shared" si="5"/>
        <v>16679.199999999997</v>
      </c>
      <c r="N8" s="10">
        <f t="shared" si="1"/>
        <v>-470.5</v>
      </c>
      <c r="O8" s="10">
        <f t="shared" si="2"/>
        <v>-9267.1499999999978</v>
      </c>
      <c r="P8" s="10">
        <f t="shared" si="3"/>
        <v>10732.850000000002</v>
      </c>
      <c r="Q8" s="11">
        <v>180</v>
      </c>
      <c r="R8" s="11">
        <v>18</v>
      </c>
      <c r="S8" s="5" t="s">
        <v>99</v>
      </c>
    </row>
    <row r="9" spans="1:19">
      <c r="A9" s="12">
        <v>1</v>
      </c>
      <c r="B9" s="11" t="s">
        <v>97</v>
      </c>
      <c r="C9" s="11">
        <v>3</v>
      </c>
      <c r="D9" s="10">
        <v>500</v>
      </c>
      <c r="E9" s="10">
        <v>150</v>
      </c>
      <c r="F9" s="40">
        <f>IF(C9&gt;=1,VLOOKUP(R8+MAX(0,R9-R8-C9)+0,药材收益口径!$H$2:$I$222,2,FALSE),0)+IF(C9&gt;=2,VLOOKUP(R8+MAX(0,R9-R8-C9)+1,药材收益口径!$H$2:$I$222,2,FALSE),0)+IF(C9&gt;=3,VLOOKUP(R8+MAX(0,R9-R8-C9)+2,药材收益口径!$H$2:$I$222,2,FALSE),0)+IF(C9&gt;=4,VLOOKUP(R8+MAX(0,R9-R8-C9)+3,药材收益口径!$H$2:$I$222,2,FALSE),0)</f>
        <v>178.88333333333333</v>
      </c>
      <c r="G9" s="10">
        <v>345.6</v>
      </c>
      <c r="H9" s="10">
        <v>0</v>
      </c>
      <c r="I9" s="10">
        <v>0</v>
      </c>
      <c r="J9" s="10">
        <f t="shared" si="0"/>
        <v>1174.4833333333333</v>
      </c>
      <c r="K9" s="10">
        <f t="shared" si="4"/>
        <v>8586.5333333333328</v>
      </c>
      <c r="L9" s="10">
        <v>3676.4</v>
      </c>
      <c r="M9" s="10">
        <f t="shared" si="5"/>
        <v>20355.599999999999</v>
      </c>
      <c r="N9" s="10">
        <f t="shared" si="1"/>
        <v>-2501.916666666667</v>
      </c>
      <c r="O9" s="10">
        <f t="shared" si="2"/>
        <v>-11769.066666666666</v>
      </c>
      <c r="P9" s="10">
        <f t="shared" si="3"/>
        <v>8230.9333333333343</v>
      </c>
      <c r="Q9" s="11">
        <v>210</v>
      </c>
      <c r="R9" s="11">
        <v>21</v>
      </c>
      <c r="S9" s="5"/>
    </row>
    <row r="10" spans="1:19">
      <c r="A10" s="12">
        <v>1</v>
      </c>
      <c r="B10" s="11" t="s">
        <v>98</v>
      </c>
      <c r="C10" s="11">
        <v>3</v>
      </c>
      <c r="D10" s="10">
        <v>500</v>
      </c>
      <c r="E10" s="10">
        <v>150</v>
      </c>
      <c r="F10" s="40">
        <f>IF(C10&gt;=1,VLOOKUP(R9+MAX(0,R10-R9-C10)+0,药材收益口径!$H$2:$I$222,2,FALSE),0)+IF(C10&gt;=2,VLOOKUP(R9+MAX(0,R10-R9-C10)+1,药材收益口径!$H$2:$I$222,2,FALSE),0)+IF(C10&gt;=3,VLOOKUP(R9+MAX(0,R10-R9-C10)+2,药材收益口径!$H$2:$I$222,2,FALSE),0)+IF(C10&gt;=4,VLOOKUP(R9+MAX(0,R10-R9-C10)+3,药材收益口径!$H$2:$I$222,2,FALSE),0)</f>
        <v>183.5625</v>
      </c>
      <c r="G10" s="10">
        <v>345.6</v>
      </c>
      <c r="H10" s="10">
        <v>0</v>
      </c>
      <c r="I10" s="10">
        <v>0</v>
      </c>
      <c r="J10" s="10">
        <f t="shared" si="0"/>
        <v>1179.1624999999999</v>
      </c>
      <c r="K10" s="10">
        <f t="shared" si="4"/>
        <v>9765.6958333333332</v>
      </c>
      <c r="L10" s="10">
        <v>2450</v>
      </c>
      <c r="M10" s="10">
        <f t="shared" si="5"/>
        <v>22805.599999999999</v>
      </c>
      <c r="N10" s="10">
        <f t="shared" si="1"/>
        <v>-1270.8375000000001</v>
      </c>
      <c r="O10" s="10">
        <f t="shared" si="2"/>
        <v>-13039.904166666665</v>
      </c>
      <c r="P10" s="10">
        <f t="shared" si="3"/>
        <v>6960.0958333333347</v>
      </c>
      <c r="Q10" s="11">
        <v>240</v>
      </c>
      <c r="R10" s="11">
        <v>24</v>
      </c>
      <c r="S10" s="5"/>
    </row>
    <row r="11" spans="1:19">
      <c r="A11" s="12">
        <v>1</v>
      </c>
      <c r="B11" s="11" t="s">
        <v>100</v>
      </c>
      <c r="C11" s="11">
        <v>3</v>
      </c>
      <c r="D11" s="10">
        <v>500</v>
      </c>
      <c r="E11" s="10">
        <v>150</v>
      </c>
      <c r="F11" s="40">
        <f>IF(C11&gt;=1,VLOOKUP(R10+MAX(0,R11-R10-C11)+0,药材收益口径!$H$2:$I$222,2,FALSE),0)+IF(C11&gt;=2,VLOOKUP(R10+MAX(0,R11-R10-C11)+1,药材收益口径!$H$2:$I$222,2,FALSE),0)+IF(C11&gt;=3,VLOOKUP(R10+MAX(0,R11-R10-C11)+2,药材收益口径!$H$2:$I$222,2,FALSE),0)+IF(C11&gt;=4,VLOOKUP(R10+MAX(0,R11-R10-C11)+3,药材收益口径!$H$2:$I$222,2,FALSE),0)</f>
        <v>315.532196969697</v>
      </c>
      <c r="G11" s="10">
        <v>345.6</v>
      </c>
      <c r="H11" s="10">
        <v>0</v>
      </c>
      <c r="I11" s="10">
        <v>0</v>
      </c>
      <c r="J11" s="10">
        <f t="shared" si="0"/>
        <v>1311.1321969696969</v>
      </c>
      <c r="K11" s="10">
        <f t="shared" si="4"/>
        <v>11076.82803030303</v>
      </c>
      <c r="L11" s="10">
        <v>3676.4</v>
      </c>
      <c r="M11" s="10">
        <f t="shared" si="5"/>
        <v>26482</v>
      </c>
      <c r="N11" s="10">
        <f t="shared" si="1"/>
        <v>-2365.2678030303032</v>
      </c>
      <c r="O11" s="10">
        <f t="shared" si="2"/>
        <v>-15405.17196969697</v>
      </c>
      <c r="P11" s="10">
        <f t="shared" si="3"/>
        <v>4594.8280303030297</v>
      </c>
      <c r="Q11" s="11">
        <v>270</v>
      </c>
      <c r="R11" s="11">
        <v>27</v>
      </c>
      <c r="S11" s="5"/>
    </row>
    <row r="12" spans="1:19">
      <c r="A12" s="12">
        <v>1</v>
      </c>
      <c r="B12" s="11" t="s">
        <v>101</v>
      </c>
      <c r="C12" s="11">
        <v>3</v>
      </c>
      <c r="D12" s="10">
        <v>500</v>
      </c>
      <c r="E12" s="10">
        <v>150</v>
      </c>
      <c r="F12" s="40">
        <f>IF(C12&gt;=1,VLOOKUP(R11+MAX(0,R12-R11-C12)+0,药材收益口径!$H$2:$I$222,2,FALSE),0)+IF(C12&gt;=2,VLOOKUP(R11+MAX(0,R12-R11-C12)+1,药材收益口径!$H$2:$I$222,2,FALSE),0)+IF(C12&gt;=3,VLOOKUP(R11+MAX(0,R12-R11-C12)+2,药材收益口径!$H$2:$I$222,2,FALSE),0)+IF(C12&gt;=4,VLOOKUP(R11+MAX(0,R12-R11-C12)+3,药材收益口径!$H$2:$I$222,2,FALSE),0)</f>
        <v>332.59790209790208</v>
      </c>
      <c r="G12" s="10">
        <v>345.6</v>
      </c>
      <c r="H12" s="10">
        <v>0</v>
      </c>
      <c r="I12" s="10">
        <v>0</v>
      </c>
      <c r="J12" s="10">
        <f t="shared" si="0"/>
        <v>1328.197902097902</v>
      </c>
      <c r="K12" s="10">
        <f t="shared" si="4"/>
        <v>12405.025932400931</v>
      </c>
      <c r="L12" s="10">
        <v>2450</v>
      </c>
      <c r="M12" s="10">
        <f t="shared" si="5"/>
        <v>28932</v>
      </c>
      <c r="N12" s="10">
        <f t="shared" si="1"/>
        <v>-1121.802097902098</v>
      </c>
      <c r="O12" s="10">
        <f t="shared" si="2"/>
        <v>-16526.974067599069</v>
      </c>
      <c r="P12" s="10">
        <f t="shared" si="3"/>
        <v>3473.0259324009312</v>
      </c>
      <c r="Q12" s="11">
        <v>300</v>
      </c>
      <c r="R12" s="11">
        <v>30</v>
      </c>
      <c r="S12" s="5"/>
    </row>
    <row r="13" spans="1:19">
      <c r="A13" s="12">
        <v>1</v>
      </c>
      <c r="B13" s="11" t="s">
        <v>102</v>
      </c>
      <c r="C13" s="11">
        <v>3</v>
      </c>
      <c r="D13" s="10">
        <v>500</v>
      </c>
      <c r="E13" s="10">
        <v>450</v>
      </c>
      <c r="F13" s="40">
        <f>IF(C13&gt;=1,VLOOKUP(R12+MAX(0,R13-R12-C13)+0,药材收益口径!$H$2:$I$222,2,FALSE),0)+IF(C13&gt;=2,VLOOKUP(R12+MAX(0,R13-R12-C13)+1,药材收益口径!$H$2:$I$222,2,FALSE),0)+IF(C13&gt;=3,VLOOKUP(R12+MAX(0,R13-R12-C13)+2,药材收益口径!$H$2:$I$222,2,FALSE),0)+IF(C13&gt;=4,VLOOKUP(R12+MAX(0,R13-R12-C13)+3,药材收益口径!$H$2:$I$222,2,FALSE),0)</f>
        <v>323.19230769230768</v>
      </c>
      <c r="G13" s="10">
        <v>345.6</v>
      </c>
      <c r="H13" s="10">
        <v>5000</v>
      </c>
      <c r="I13" s="10">
        <v>0</v>
      </c>
      <c r="J13" s="10">
        <f t="shared" si="0"/>
        <v>6618.7923076923071</v>
      </c>
      <c r="K13" s="10">
        <f t="shared" si="4"/>
        <v>19023.818240093238</v>
      </c>
      <c r="L13" s="10">
        <v>3276.4</v>
      </c>
      <c r="M13" s="10">
        <f t="shared" si="5"/>
        <v>32208.400000000001</v>
      </c>
      <c r="N13" s="10">
        <f t="shared" si="1"/>
        <v>3342.392307692307</v>
      </c>
      <c r="O13" s="10">
        <f t="shared" si="2"/>
        <v>-13184.581759906763</v>
      </c>
      <c r="P13" s="10">
        <f t="shared" si="3"/>
        <v>6815.4182400932368</v>
      </c>
      <c r="Q13" s="11">
        <v>330</v>
      </c>
      <c r="R13" s="11">
        <v>33</v>
      </c>
      <c r="S13" s="5"/>
    </row>
    <row r="14" spans="1:19">
      <c r="A14" s="12">
        <v>1</v>
      </c>
      <c r="B14" s="11" t="s">
        <v>103</v>
      </c>
      <c r="C14" s="11">
        <v>3</v>
      </c>
      <c r="D14" s="10">
        <v>500</v>
      </c>
      <c r="E14" s="10">
        <v>600</v>
      </c>
      <c r="F14" s="40">
        <f>IF(C14&gt;=1,VLOOKUP(R13+MAX(0,R14-R13-C14)+0,药材收益口径!$H$2:$I$222,2,FALSE),0)+IF(C14&gt;=2,VLOOKUP(R13+MAX(0,R14-R13-C14)+1,药材收益口径!$H$2:$I$222,2,FALSE),0)+IF(C14&gt;=3,VLOOKUP(R13+MAX(0,R14-R13-C14)+2,药材收益口径!$H$2:$I$222,2,FALSE),0)+IF(C14&gt;=4,VLOOKUP(R13+MAX(0,R14-R13-C14)+3,药材收益口径!$H$2:$I$222,2,FALSE),0)</f>
        <v>316.60000000000002</v>
      </c>
      <c r="G14" s="10">
        <v>345.6</v>
      </c>
      <c r="H14" s="10">
        <v>0</v>
      </c>
      <c r="I14" s="10">
        <v>0</v>
      </c>
      <c r="J14" s="10">
        <f t="shared" si="0"/>
        <v>1762.1999999999998</v>
      </c>
      <c r="K14" s="10">
        <f t="shared" si="4"/>
        <v>20786.018240093239</v>
      </c>
      <c r="L14" s="10">
        <v>2650</v>
      </c>
      <c r="M14" s="10">
        <f t="shared" si="5"/>
        <v>34858.400000000001</v>
      </c>
      <c r="N14" s="10">
        <f t="shared" si="1"/>
        <v>-887.80000000000018</v>
      </c>
      <c r="O14" s="10">
        <f t="shared" si="2"/>
        <v>-14072.381759906762</v>
      </c>
      <c r="P14" s="10">
        <f t="shared" si="3"/>
        <v>5927.6182400932375</v>
      </c>
      <c r="Q14" s="11">
        <v>360</v>
      </c>
      <c r="R14" s="11">
        <v>36</v>
      </c>
      <c r="S14" s="5"/>
    </row>
    <row r="15" spans="1:19">
      <c r="A15" s="12">
        <v>1</v>
      </c>
      <c r="B15" s="11" t="s">
        <v>104</v>
      </c>
      <c r="C15" s="11">
        <v>3</v>
      </c>
      <c r="D15" s="10">
        <v>500</v>
      </c>
      <c r="E15" s="10">
        <v>600</v>
      </c>
      <c r="F15" s="40">
        <f>IF(C15&gt;=1,VLOOKUP(R14+MAX(0,R15-R14-C15)+0,药材收益口径!$H$2:$I$222,2,FALSE),0)+IF(C15&gt;=2,VLOOKUP(R14+MAX(0,R15-R14-C15)+1,药材收益口径!$H$2:$I$222,2,FALSE),0)+IF(C15&gt;=3,VLOOKUP(R14+MAX(0,R15-R14-C15)+2,药材收益口径!$H$2:$I$222,2,FALSE),0)+IF(C15&gt;=4,VLOOKUP(R14+MAX(0,R15-R14-C15)+3,药材收益口径!$H$2:$I$222,2,FALSE),0)</f>
        <v>313.90625</v>
      </c>
      <c r="G15" s="10">
        <v>345.6</v>
      </c>
      <c r="H15" s="10">
        <v>0</v>
      </c>
      <c r="I15" s="10">
        <v>0</v>
      </c>
      <c r="J15" s="10">
        <f t="shared" si="0"/>
        <v>1759.5062499999999</v>
      </c>
      <c r="K15" s="10">
        <f t="shared" si="4"/>
        <v>22545.524490093238</v>
      </c>
      <c r="L15" s="10">
        <v>4776.3999999999996</v>
      </c>
      <c r="M15" s="10">
        <f t="shared" si="5"/>
        <v>39634.800000000003</v>
      </c>
      <c r="N15" s="10">
        <f t="shared" si="1"/>
        <v>-3016.8937499999997</v>
      </c>
      <c r="O15" s="10">
        <f t="shared" si="2"/>
        <v>-17089.275509906765</v>
      </c>
      <c r="P15" s="10">
        <f t="shared" si="3"/>
        <v>2910.7244900932346</v>
      </c>
      <c r="Q15" s="11">
        <v>390</v>
      </c>
      <c r="R15" s="11">
        <v>39</v>
      </c>
      <c r="S15" s="5"/>
    </row>
    <row r="16" spans="1:19">
      <c r="A16" s="12">
        <v>1</v>
      </c>
      <c r="B16" s="11" t="s">
        <v>105</v>
      </c>
      <c r="C16" s="11">
        <v>3</v>
      </c>
      <c r="D16" s="10">
        <v>500</v>
      </c>
      <c r="E16" s="10">
        <v>600</v>
      </c>
      <c r="F16" s="40">
        <f>IF(C16&gt;=1,VLOOKUP(R15+MAX(0,R16-R15-C16)+0,药材收益口径!$H$2:$I$222,2,FALSE),0)+IF(C16&gt;=2,VLOOKUP(R15+MAX(0,R16-R15-C16)+1,药材收益口径!$H$2:$I$222,2,FALSE),0)+IF(C16&gt;=3,VLOOKUP(R15+MAX(0,R16-R15-C16)+2,药材收益口径!$H$2:$I$222,2,FALSE),0)+IF(C16&gt;=4,VLOOKUP(R15+MAX(0,R16-R15-C16)+3,药材收益口径!$H$2:$I$222,2,FALSE),0)</f>
        <v>318.44444444444446</v>
      </c>
      <c r="G16" s="10">
        <v>345.6</v>
      </c>
      <c r="H16" s="10">
        <v>0</v>
      </c>
      <c r="I16" s="10">
        <v>0</v>
      </c>
      <c r="J16" s="10">
        <f t="shared" si="0"/>
        <v>1764.0444444444443</v>
      </c>
      <c r="K16" s="10">
        <f t="shared" si="4"/>
        <v>24309.568934537681</v>
      </c>
      <c r="L16" s="10">
        <v>1550</v>
      </c>
      <c r="M16" s="10">
        <f t="shared" si="5"/>
        <v>41184.800000000003</v>
      </c>
      <c r="N16" s="10">
        <f t="shared" si="1"/>
        <v>214.04444444444425</v>
      </c>
      <c r="O16" s="10">
        <f t="shared" si="2"/>
        <v>-16875.231065462322</v>
      </c>
      <c r="P16" s="10">
        <f t="shared" si="3"/>
        <v>3124.7689345376784</v>
      </c>
      <c r="Q16" s="11">
        <v>420</v>
      </c>
      <c r="R16" s="11">
        <v>42</v>
      </c>
      <c r="S16" s="5"/>
    </row>
    <row r="17" spans="1:19">
      <c r="A17" s="12">
        <v>1</v>
      </c>
      <c r="B17" s="11" t="s">
        <v>106</v>
      </c>
      <c r="C17" s="11">
        <v>3</v>
      </c>
      <c r="D17" s="10">
        <v>500</v>
      </c>
      <c r="E17" s="10">
        <v>600</v>
      </c>
      <c r="F17" s="40">
        <f>IF(C17&gt;=1,VLOOKUP(R16+MAX(0,R17-R16-C17)+0,药材收益口径!$H$2:$I$222,2,FALSE),0)+IF(C17&gt;=2,VLOOKUP(R16+MAX(0,R17-R16-C17)+1,药材收益口径!$H$2:$I$222,2,FALSE),0)+IF(C17&gt;=3,VLOOKUP(R16+MAX(0,R17-R16-C17)+2,药材收益口径!$H$2:$I$222,2,FALSE),0)+IF(C17&gt;=4,VLOOKUP(R16+MAX(0,R17-R16-C17)+3,药材收益口径!$H$2:$I$222,2,FALSE),0)</f>
        <v>319.91812865497076</v>
      </c>
      <c r="G17" s="10">
        <v>345.6</v>
      </c>
      <c r="H17" s="10">
        <v>0</v>
      </c>
      <c r="I17" s="19">
        <v>1000</v>
      </c>
      <c r="J17" s="19">
        <f t="shared" si="0"/>
        <v>2765.518128654971</v>
      </c>
      <c r="K17" s="19">
        <f t="shared" si="4"/>
        <v>27075.087063192652</v>
      </c>
      <c r="L17" s="19">
        <v>3376.4</v>
      </c>
      <c r="M17" s="19">
        <f t="shared" si="5"/>
        <v>44561.200000000004</v>
      </c>
      <c r="N17" s="19">
        <f t="shared" si="1"/>
        <v>-610.88187134502914</v>
      </c>
      <c r="O17" s="19">
        <f t="shared" si="2"/>
        <v>-17486.112936807353</v>
      </c>
      <c r="P17" s="19">
        <f t="shared" si="3"/>
        <v>2513.8870631926475</v>
      </c>
      <c r="Q17" s="20">
        <v>450</v>
      </c>
      <c r="R17" s="20">
        <v>45</v>
      </c>
      <c r="S17" s="46" t="s">
        <v>113</v>
      </c>
    </row>
    <row r="18" spans="1:19">
      <c r="A18" s="12">
        <v>1</v>
      </c>
      <c r="B18" s="11" t="s">
        <v>107</v>
      </c>
      <c r="C18" s="11">
        <v>3</v>
      </c>
      <c r="D18" s="10">
        <v>500</v>
      </c>
      <c r="E18" s="10">
        <v>600</v>
      </c>
      <c r="F18" s="40">
        <f>IF(C18&gt;=1,VLOOKUP(R17+MAX(0,R18-R17-C18)+0,药材收益口径!$H$2:$I$222,2,FALSE),0)+IF(C18&gt;=2,VLOOKUP(R17+MAX(0,R18-R17-C18)+1,药材收益口径!$H$2:$I$222,2,FALSE),0)+IF(C18&gt;=3,VLOOKUP(R17+MAX(0,R18-R17-C18)+2,药材收益口径!$H$2:$I$222,2,FALSE),0)+IF(C18&gt;=4,VLOOKUP(R17+MAX(0,R18-R17-C18)+3,药材收益口径!$H$2:$I$222,2,FALSE),0)</f>
        <v>314.92105263157896</v>
      </c>
      <c r="G18" s="10">
        <v>345.6</v>
      </c>
      <c r="H18" s="10">
        <v>0</v>
      </c>
      <c r="I18" s="19">
        <v>1000</v>
      </c>
      <c r="J18" s="19">
        <f t="shared" si="0"/>
        <v>2760.5210526315791</v>
      </c>
      <c r="K18" s="19">
        <f t="shared" si="4"/>
        <v>29835.60811582423</v>
      </c>
      <c r="L18" s="19">
        <v>1550</v>
      </c>
      <c r="M18" s="19">
        <f t="shared" si="5"/>
        <v>46111.200000000004</v>
      </c>
      <c r="N18" s="19">
        <f t="shared" si="1"/>
        <v>1210.5210526315791</v>
      </c>
      <c r="O18" s="19">
        <f t="shared" si="2"/>
        <v>-16275.591884175774</v>
      </c>
      <c r="P18" s="19">
        <f t="shared" si="3"/>
        <v>3724.4081158242261</v>
      </c>
      <c r="Q18" s="20">
        <v>480</v>
      </c>
      <c r="R18" s="20">
        <v>48</v>
      </c>
      <c r="S18" s="46" t="s">
        <v>116</v>
      </c>
    </row>
    <row r="19" spans="1:19">
      <c r="A19" s="12">
        <v>1</v>
      </c>
      <c r="B19" s="11" t="s">
        <v>108</v>
      </c>
      <c r="C19" s="11">
        <v>3</v>
      </c>
      <c r="D19" s="10">
        <v>500</v>
      </c>
      <c r="E19" s="10">
        <v>600</v>
      </c>
      <c r="F19" s="40">
        <f>IF(C19&gt;=1,VLOOKUP(R18+MAX(0,R19-R18-C19)+0,药材收益口径!$H$2:$I$222,2,FALSE),0)+IF(C19&gt;=2,VLOOKUP(R18+MAX(0,R19-R18-C19)+1,药材收益口径!$H$2:$I$222,2,FALSE),0)+IF(C19&gt;=3,VLOOKUP(R18+MAX(0,R19-R18-C19)+2,药材收益口径!$H$2:$I$222,2,FALSE),0)+IF(C19&gt;=4,VLOOKUP(R18+MAX(0,R19-R18-C19)+3,药材收益口径!$H$2:$I$222,2,FALSE),0)</f>
        <v>364.29534632034631</v>
      </c>
      <c r="G19" s="10">
        <v>345.6</v>
      </c>
      <c r="H19" s="10">
        <v>15000</v>
      </c>
      <c r="I19" s="10">
        <v>0</v>
      </c>
      <c r="J19" s="10">
        <f t="shared" si="0"/>
        <v>16809.895346320347</v>
      </c>
      <c r="K19" s="10">
        <f t="shared" si="4"/>
        <v>46645.503462144581</v>
      </c>
      <c r="L19" s="10">
        <v>4276.3999999999996</v>
      </c>
      <c r="M19" s="10">
        <f t="shared" si="5"/>
        <v>50387.600000000006</v>
      </c>
      <c r="N19" s="10">
        <f t="shared" si="1"/>
        <v>12533.495346320347</v>
      </c>
      <c r="O19" s="10">
        <f t="shared" si="2"/>
        <v>-3742.0965378554247</v>
      </c>
      <c r="P19" s="10">
        <f t="shared" si="3"/>
        <v>16257.903462144575</v>
      </c>
      <c r="Q19" s="11">
        <v>510</v>
      </c>
      <c r="R19" s="11">
        <v>51</v>
      </c>
      <c r="S19" s="5"/>
    </row>
    <row r="20" spans="1:19">
      <c r="A20" s="12">
        <v>1</v>
      </c>
      <c r="B20" s="11" t="s">
        <v>109</v>
      </c>
      <c r="C20" s="11">
        <v>3</v>
      </c>
      <c r="D20" s="10">
        <v>500</v>
      </c>
      <c r="E20" s="10">
        <v>600</v>
      </c>
      <c r="F20" s="40">
        <f>IF(C20&gt;=1,VLOOKUP(R19+MAX(0,R20-R19-C20)+0,药材收益口径!$H$2:$I$222,2,FALSE),0)+IF(C20&gt;=2,VLOOKUP(R19+MAX(0,R20-R19-C20)+1,药材收益口径!$H$2:$I$222,2,FALSE),0)+IF(C20&gt;=3,VLOOKUP(R19+MAX(0,R20-R19-C20)+2,药材收益口径!$H$2:$I$222,2,FALSE),0)+IF(C20&gt;=4,VLOOKUP(R19+MAX(0,R20-R19-C20)+3,药材收益口径!$H$2:$I$222,2,FALSE),0)</f>
        <v>354.97924901185775</v>
      </c>
      <c r="G20" s="10">
        <v>345.6</v>
      </c>
      <c r="H20" s="10">
        <v>0</v>
      </c>
      <c r="I20" s="10">
        <v>0</v>
      </c>
      <c r="J20" s="10">
        <f t="shared" si="0"/>
        <v>1800.5792490118579</v>
      </c>
      <c r="K20" s="10">
        <f t="shared" si="4"/>
        <v>48446.082711156436</v>
      </c>
      <c r="L20" s="10">
        <v>4750</v>
      </c>
      <c r="M20" s="10">
        <f t="shared" si="5"/>
        <v>55137.600000000006</v>
      </c>
      <c r="N20" s="10">
        <f t="shared" si="1"/>
        <v>-2949.4207509881421</v>
      </c>
      <c r="O20" s="10">
        <f t="shared" si="2"/>
        <v>-6691.51728884357</v>
      </c>
      <c r="P20" s="10">
        <f t="shared" si="3"/>
        <v>13308.48271115643</v>
      </c>
      <c r="Q20" s="11">
        <v>540</v>
      </c>
      <c r="R20" s="11">
        <v>54</v>
      </c>
      <c r="S20" s="5"/>
    </row>
    <row r="21" spans="1:19" ht="28.5">
      <c r="A21" s="12">
        <v>1</v>
      </c>
      <c r="B21" s="11" t="s">
        <v>110</v>
      </c>
      <c r="C21" s="11">
        <v>3</v>
      </c>
      <c r="D21" s="10">
        <v>500</v>
      </c>
      <c r="E21" s="10">
        <v>600</v>
      </c>
      <c r="F21" s="40">
        <f>IF(C21&gt;=1,VLOOKUP(R20+MAX(0,R21-R20-C21)+0,药材收益口径!$H$2:$I$222,2,FALSE),0)+IF(C21&gt;=2,VLOOKUP(R20+MAX(0,R21-R20-C21)+1,药材收益口径!$H$2:$I$222,2,FALSE),0)+IF(C21&gt;=3,VLOOKUP(R20+MAX(0,R21-R20-C21)+2,药材收益口径!$H$2:$I$222,2,FALSE),0)+IF(C21&gt;=4,VLOOKUP(R20+MAX(0,R21-R20-C21)+3,药材收益口径!$H$2:$I$222,2,FALSE),0)</f>
        <v>352.74470899470896</v>
      </c>
      <c r="G21" s="10">
        <v>345.6</v>
      </c>
      <c r="H21" s="10">
        <v>0</v>
      </c>
      <c r="I21" s="19">
        <v>1000</v>
      </c>
      <c r="J21" s="19">
        <f t="shared" si="0"/>
        <v>2798.344708994709</v>
      </c>
      <c r="K21" s="19">
        <f t="shared" si="4"/>
        <v>51244.427420151143</v>
      </c>
      <c r="L21" s="19">
        <v>2776.4</v>
      </c>
      <c r="M21" s="19">
        <f t="shared" si="5"/>
        <v>57914.000000000007</v>
      </c>
      <c r="N21" s="19">
        <f t="shared" si="1"/>
        <v>21.94470899470889</v>
      </c>
      <c r="O21" s="19">
        <f t="shared" si="2"/>
        <v>-6669.5725798488638</v>
      </c>
      <c r="P21" s="19">
        <f t="shared" si="3"/>
        <v>13330.427420151136</v>
      </c>
      <c r="Q21" s="20">
        <v>1570</v>
      </c>
      <c r="R21" s="20">
        <v>64</v>
      </c>
      <c r="S21" s="46" t="s">
        <v>117</v>
      </c>
    </row>
    <row r="22" spans="1:19">
      <c r="A22" s="12">
        <v>1</v>
      </c>
      <c r="B22" s="11" t="s">
        <v>111</v>
      </c>
      <c r="C22" s="11">
        <v>3</v>
      </c>
      <c r="D22" s="10">
        <v>500</v>
      </c>
      <c r="E22" s="10">
        <v>1500</v>
      </c>
      <c r="F22" s="40">
        <f>IF(C22&gt;=1,VLOOKUP(R21+MAX(0,R22-R21-C22)+0,药材收益口径!$H$2:$I$222,2,FALSE),0)+IF(C22&gt;=2,VLOOKUP(R21+MAX(0,R22-R21-C22)+1,药材收益口径!$H$2:$I$222,2,FALSE),0)+IF(C22&gt;=3,VLOOKUP(R21+MAX(0,R22-R21-C22)+2,药材收益口径!$H$2:$I$222,2,FALSE),0)+IF(C22&gt;=4,VLOOKUP(R21+MAX(0,R22-R21-C22)+3,药材收益口径!$H$2:$I$222,2,FALSE),0)</f>
        <v>351.58928571428572</v>
      </c>
      <c r="G22" s="10">
        <v>345.6</v>
      </c>
      <c r="H22" s="10">
        <v>0</v>
      </c>
      <c r="I22" s="10">
        <v>0</v>
      </c>
      <c r="J22" s="10">
        <f t="shared" si="0"/>
        <v>2697.1892857142857</v>
      </c>
      <c r="K22" s="10">
        <f t="shared" si="4"/>
        <v>53941.616705865432</v>
      </c>
      <c r="L22" s="10">
        <v>1550</v>
      </c>
      <c r="M22" s="10">
        <f t="shared" si="5"/>
        <v>59464.000000000007</v>
      </c>
      <c r="N22" s="10">
        <f t="shared" si="1"/>
        <v>1147.1892857142857</v>
      </c>
      <c r="O22" s="10">
        <f t="shared" si="2"/>
        <v>-5522.3832941345754</v>
      </c>
      <c r="P22" s="10">
        <f t="shared" si="3"/>
        <v>14477.616705865425</v>
      </c>
      <c r="Q22" s="11">
        <v>1600</v>
      </c>
      <c r="R22" s="11">
        <v>67</v>
      </c>
      <c r="S22" s="5"/>
    </row>
    <row r="23" spans="1:19">
      <c r="A23" s="12">
        <v>1</v>
      </c>
      <c r="B23" s="11" t="s">
        <v>112</v>
      </c>
      <c r="C23" s="11">
        <v>3</v>
      </c>
      <c r="D23" s="10">
        <v>500</v>
      </c>
      <c r="E23" s="10">
        <v>1500</v>
      </c>
      <c r="F23" s="40">
        <f>IF(C23&gt;=1,VLOOKUP(R22+MAX(0,R23-R22-C23)+0,药材收益口径!$H$2:$I$222,2,FALSE),0)+IF(C23&gt;=2,VLOOKUP(R22+MAX(0,R23-R22-C23)+1,药材收益口径!$H$2:$I$222,2,FALSE),0)+IF(C23&gt;=3,VLOOKUP(R22+MAX(0,R23-R22-C23)+2,药材收益口径!$H$2:$I$222,2,FALSE),0)+IF(C23&gt;=4,VLOOKUP(R22+MAX(0,R23-R22-C23)+3,药材收益口径!$H$2:$I$222,2,FALSE),0)</f>
        <v>372.87931034482756</v>
      </c>
      <c r="G23" s="10">
        <v>345.6</v>
      </c>
      <c r="H23" s="10">
        <v>0</v>
      </c>
      <c r="I23" s="10">
        <v>0</v>
      </c>
      <c r="J23" s="10">
        <f t="shared" si="0"/>
        <v>2718.4793103448274</v>
      </c>
      <c r="K23" s="10">
        <f t="shared" si="4"/>
        <v>56660.096016210256</v>
      </c>
      <c r="L23" s="10">
        <v>2776.4</v>
      </c>
      <c r="M23" s="10">
        <f t="shared" si="5"/>
        <v>62240.400000000009</v>
      </c>
      <c r="N23" s="10">
        <f t="shared" si="1"/>
        <v>-57.920689655172737</v>
      </c>
      <c r="O23" s="10">
        <f t="shared" si="2"/>
        <v>-5580.3039837897522</v>
      </c>
      <c r="P23" s="10">
        <f t="shared" si="3"/>
        <v>14419.696016210248</v>
      </c>
      <c r="Q23" s="11">
        <v>1630</v>
      </c>
      <c r="R23" s="11">
        <v>70</v>
      </c>
      <c r="S23" s="5"/>
    </row>
    <row r="24" spans="1:19">
      <c r="A24" s="12">
        <v>1</v>
      </c>
      <c r="B24" s="11" t="s">
        <v>114</v>
      </c>
      <c r="C24" s="11">
        <v>3</v>
      </c>
      <c r="D24" s="10">
        <v>500</v>
      </c>
      <c r="E24" s="10">
        <v>1500</v>
      </c>
      <c r="F24" s="40">
        <f>IF(C24&gt;=1,VLOOKUP(R23+MAX(0,R24-R23-C24)+0,药材收益口径!$H$2:$I$222,2,FALSE),0)+IF(C24&gt;=2,VLOOKUP(R23+MAX(0,R24-R23-C24)+1,药材收益口径!$H$2:$I$222,2,FALSE),0)+IF(C24&gt;=3,VLOOKUP(R23+MAX(0,R24-R23-C24)+2,药材收益口径!$H$2:$I$222,2,FALSE),0)+IF(C24&gt;=4,VLOOKUP(R23+MAX(0,R24-R23-C24)+3,药材收益口径!$H$2:$I$222,2,FALSE),0)</f>
        <v>370.73136818687431</v>
      </c>
      <c r="G24" s="10">
        <v>345.6</v>
      </c>
      <c r="H24" s="10">
        <v>0</v>
      </c>
      <c r="I24" s="10">
        <v>0</v>
      </c>
      <c r="J24" s="10">
        <f t="shared" si="0"/>
        <v>2716.3313681868744</v>
      </c>
      <c r="K24" s="10">
        <f t="shared" si="4"/>
        <v>59376.427384397131</v>
      </c>
      <c r="L24" s="10">
        <v>1550</v>
      </c>
      <c r="M24" s="10">
        <f t="shared" si="5"/>
        <v>63790.400000000009</v>
      </c>
      <c r="N24" s="10">
        <f t="shared" si="1"/>
        <v>1166.3313681868744</v>
      </c>
      <c r="O24" s="10">
        <f t="shared" si="2"/>
        <v>-4413.9726156028773</v>
      </c>
      <c r="P24" s="10">
        <f t="shared" si="3"/>
        <v>15586.027384397123</v>
      </c>
      <c r="Q24" s="11">
        <v>1660</v>
      </c>
      <c r="R24" s="11">
        <v>73</v>
      </c>
      <c r="S24" s="5"/>
    </row>
    <row r="25" spans="1:19">
      <c r="A25" s="12">
        <v>1</v>
      </c>
      <c r="B25" s="11" t="s">
        <v>115</v>
      </c>
      <c r="C25" s="11">
        <v>3</v>
      </c>
      <c r="D25" s="10">
        <v>500</v>
      </c>
      <c r="E25" s="10">
        <v>1500</v>
      </c>
      <c r="F25" s="40">
        <f>IF(C25&gt;=1,VLOOKUP(R24+MAX(0,R25-R24-C25)+0,药材收益口径!$H$2:$I$222,2,FALSE),0)+IF(C25&gt;=2,VLOOKUP(R24+MAX(0,R25-R24-C25)+1,药材收益口径!$H$2:$I$222,2,FALSE),0)+IF(C25&gt;=3,VLOOKUP(R24+MAX(0,R25-R24-C25)+2,药材收益口径!$H$2:$I$222,2,FALSE),0)+IF(C25&gt;=4,VLOOKUP(R24+MAX(0,R25-R24-C25)+3,药材收益口径!$H$2:$I$222,2,FALSE),0)</f>
        <v>387.93094758064512</v>
      </c>
      <c r="G25" s="10">
        <v>345.6</v>
      </c>
      <c r="H25" s="10">
        <v>0</v>
      </c>
      <c r="I25" s="10">
        <v>0</v>
      </c>
      <c r="J25" s="10">
        <f t="shared" si="0"/>
        <v>2733.5309475806448</v>
      </c>
      <c r="K25" s="10">
        <f t="shared" si="4"/>
        <v>62109.958331977774</v>
      </c>
      <c r="L25" s="10">
        <v>3376.4</v>
      </c>
      <c r="M25" s="10">
        <f t="shared" si="5"/>
        <v>67166.8</v>
      </c>
      <c r="N25" s="10">
        <f t="shared" si="1"/>
        <v>-642.86905241935528</v>
      </c>
      <c r="O25" s="10">
        <f t="shared" si="2"/>
        <v>-5056.841668022229</v>
      </c>
      <c r="P25" s="10">
        <f t="shared" si="3"/>
        <v>14943.158331977771</v>
      </c>
      <c r="Q25" s="11">
        <v>1690</v>
      </c>
      <c r="R25" s="11">
        <v>76</v>
      </c>
      <c r="S25" s="5"/>
    </row>
    <row r="26" spans="1:19" ht="15">
      <c r="A26" s="16">
        <v>2</v>
      </c>
      <c r="B26" s="17" t="s">
        <v>90</v>
      </c>
      <c r="C26" s="17">
        <v>3</v>
      </c>
      <c r="D26" s="18">
        <v>500</v>
      </c>
      <c r="E26" s="18">
        <v>1500</v>
      </c>
      <c r="F26" s="41">
        <f>IF(C26&gt;=1,VLOOKUP(R25+MAX(0,R26-R25-C26)+0,药材收益口径!$H$2:$I$222,2,FALSE),0)+IF(C26&gt;=2,VLOOKUP(R25+MAX(0,R26-R25-C26)+1,药材收益口径!$H$2:$I$222,2,FALSE),0)+IF(C26&gt;=3,VLOOKUP(R25+MAX(0,R26-R25-C26)+2,药材收益口径!$H$2:$I$222,2,FALSE),0)+IF(C26&gt;=4,VLOOKUP(R25+MAX(0,R26-R25-C26)+3,药材收益口径!$H$2:$I$222,2,FALSE),0)</f>
        <v>433.35338680926918</v>
      </c>
      <c r="G26" s="10">
        <v>345.6</v>
      </c>
      <c r="H26" s="18">
        <v>0</v>
      </c>
      <c r="I26" s="18">
        <v>0</v>
      </c>
      <c r="J26" s="18">
        <f t="shared" si="0"/>
        <v>2778.953386809269</v>
      </c>
      <c r="K26" s="18">
        <f t="shared" si="4"/>
        <v>64888.911718787043</v>
      </c>
      <c r="L26" s="18">
        <v>2650</v>
      </c>
      <c r="M26" s="18">
        <f t="shared" si="5"/>
        <v>69816.800000000003</v>
      </c>
      <c r="N26" s="18">
        <f t="shared" si="1"/>
        <v>128.95338680926898</v>
      </c>
      <c r="O26" s="18">
        <f t="shared" si="2"/>
        <v>-4927.8882812129596</v>
      </c>
      <c r="P26" s="18">
        <f t="shared" si="3"/>
        <v>15072.11171878704</v>
      </c>
      <c r="Q26" s="17">
        <v>1720</v>
      </c>
      <c r="R26" s="17">
        <v>79</v>
      </c>
      <c r="S26" s="47"/>
    </row>
    <row r="27" spans="1:19">
      <c r="A27" s="12">
        <v>2</v>
      </c>
      <c r="B27" s="11" t="s">
        <v>91</v>
      </c>
      <c r="C27" s="11">
        <v>3</v>
      </c>
      <c r="D27" s="10">
        <v>500</v>
      </c>
      <c r="E27" s="10">
        <v>1500</v>
      </c>
      <c r="F27" s="40">
        <f>IF(C27&gt;=1,VLOOKUP(R26+MAX(0,R27-R26-C27)+0,药材收益口径!$H$2:$I$222,2,FALSE),0)+IF(C27&gt;=2,VLOOKUP(R26+MAX(0,R27-R26-C27)+1,药材收益口径!$H$2:$I$222,2,FALSE),0)+IF(C27&gt;=3,VLOOKUP(R26+MAX(0,R27-R26-C27)+2,药材收益口径!$H$2:$I$222,2,FALSE),0)+IF(C27&gt;=4,VLOOKUP(R26+MAX(0,R27-R26-C27)+3,药材收益口径!$H$2:$I$222,2,FALSE),0)</f>
        <v>446.26218487394959</v>
      </c>
      <c r="G27" s="10">
        <v>345.6</v>
      </c>
      <c r="H27" s="10">
        <v>0</v>
      </c>
      <c r="I27" s="10">
        <v>0</v>
      </c>
      <c r="J27" s="10">
        <f t="shared" si="0"/>
        <v>2791.8621848739494</v>
      </c>
      <c r="K27" s="10">
        <f t="shared" si="4"/>
        <v>67680.773903661</v>
      </c>
      <c r="L27" s="10">
        <v>2776.4</v>
      </c>
      <c r="M27" s="10">
        <f t="shared" si="5"/>
        <v>72593.2</v>
      </c>
      <c r="N27" s="10">
        <f t="shared" si="1"/>
        <v>15.462184873949354</v>
      </c>
      <c r="O27" s="10">
        <f t="shared" si="2"/>
        <v>-4912.426096338997</v>
      </c>
      <c r="P27" s="10">
        <f t="shared" si="3"/>
        <v>15087.573903661003</v>
      </c>
      <c r="Q27" s="11">
        <v>1750</v>
      </c>
      <c r="R27" s="11">
        <v>82</v>
      </c>
      <c r="S27" s="5"/>
    </row>
    <row r="28" spans="1:19">
      <c r="A28" s="12">
        <v>2</v>
      </c>
      <c r="B28" s="11" t="s">
        <v>92</v>
      </c>
      <c r="C28" s="11">
        <v>3</v>
      </c>
      <c r="D28" s="10">
        <v>500</v>
      </c>
      <c r="E28" s="10">
        <v>1500</v>
      </c>
      <c r="F28" s="40">
        <f>IF(C28&gt;=1,VLOOKUP(R27+MAX(0,R28-R27-C28)+0,药材收益口径!$H$2:$I$222,2,FALSE),0)+IF(C28&gt;=2,VLOOKUP(R27+MAX(0,R28-R27-C28)+1,药材收益口径!$H$2:$I$222,2,FALSE),0)+IF(C28&gt;=3,VLOOKUP(R27+MAX(0,R28-R27-C28)+2,药材收益口径!$H$2:$I$222,2,FALSE),0)+IF(C28&gt;=4,VLOOKUP(R27+MAX(0,R28-R27-C28)+3,药材收益口径!$H$2:$I$222,2,FALSE),0)</f>
        <v>445.75714285714287</v>
      </c>
      <c r="G28" s="10">
        <v>345.6</v>
      </c>
      <c r="H28" s="10">
        <v>0</v>
      </c>
      <c r="I28" s="10">
        <v>0</v>
      </c>
      <c r="J28" s="10">
        <f t="shared" si="0"/>
        <v>2791.3571428571427</v>
      </c>
      <c r="K28" s="10">
        <f t="shared" si="4"/>
        <v>70472.131046518145</v>
      </c>
      <c r="L28" s="10">
        <v>1550</v>
      </c>
      <c r="M28" s="10">
        <f t="shared" si="5"/>
        <v>74143.199999999997</v>
      </c>
      <c r="N28" s="10">
        <f t="shared" si="1"/>
        <v>1241.3571428571427</v>
      </c>
      <c r="O28" s="10">
        <f t="shared" si="2"/>
        <v>-3671.0689534818521</v>
      </c>
      <c r="P28" s="10">
        <f t="shared" si="3"/>
        <v>16328.931046518148</v>
      </c>
      <c r="Q28" s="11">
        <v>1780</v>
      </c>
      <c r="R28" s="11">
        <v>85</v>
      </c>
      <c r="S28" s="5"/>
    </row>
    <row r="29" spans="1:19">
      <c r="A29" s="12">
        <v>2</v>
      </c>
      <c r="B29" s="11" t="s">
        <v>93</v>
      </c>
      <c r="C29" s="11">
        <v>3</v>
      </c>
      <c r="D29" s="10">
        <v>500</v>
      </c>
      <c r="E29" s="10">
        <v>1500</v>
      </c>
      <c r="F29" s="40">
        <f>IF(C29&gt;=1,VLOOKUP(R28+MAX(0,R29-R28-C29)+0,药材收益口径!$H$2:$I$222,2,FALSE),0)+IF(C29&gt;=2,VLOOKUP(R28+MAX(0,R29-R28-C29)+1,药材收益口径!$H$2:$I$222,2,FALSE),0)+IF(C29&gt;=3,VLOOKUP(R28+MAX(0,R29-R28-C29)+2,药材收益口径!$H$2:$I$222,2,FALSE),0)+IF(C29&gt;=4,VLOOKUP(R28+MAX(0,R29-R28-C29)+3,药材收益口径!$H$2:$I$222,2,FALSE),0)</f>
        <v>434.38551051051047</v>
      </c>
      <c r="G29" s="10">
        <v>345.6</v>
      </c>
      <c r="H29" s="10">
        <v>0</v>
      </c>
      <c r="I29" s="10">
        <v>0</v>
      </c>
      <c r="J29" s="10">
        <f t="shared" si="0"/>
        <v>2779.9855105105103</v>
      </c>
      <c r="K29" s="10">
        <f t="shared" si="4"/>
        <v>73252.116557028654</v>
      </c>
      <c r="L29" s="10">
        <v>3376.4</v>
      </c>
      <c r="M29" s="10">
        <f t="shared" si="5"/>
        <v>77519.599999999991</v>
      </c>
      <c r="N29" s="10">
        <f t="shared" si="1"/>
        <v>-596.41448948948982</v>
      </c>
      <c r="O29" s="10">
        <f t="shared" si="2"/>
        <v>-4267.4834429713374</v>
      </c>
      <c r="P29" s="10">
        <f t="shared" si="3"/>
        <v>15732.516557028663</v>
      </c>
      <c r="Q29" s="11">
        <v>1810</v>
      </c>
      <c r="R29" s="11">
        <v>88</v>
      </c>
      <c r="S29" s="5"/>
    </row>
    <row r="30" spans="1:19">
      <c r="A30" s="12">
        <v>2</v>
      </c>
      <c r="B30" s="11" t="s">
        <v>94</v>
      </c>
      <c r="C30" s="11">
        <v>3</v>
      </c>
      <c r="D30" s="10">
        <v>500</v>
      </c>
      <c r="E30" s="10">
        <v>1500</v>
      </c>
      <c r="F30" s="40">
        <f>IF(C30&gt;=1,VLOOKUP(R29+MAX(0,R30-R29-C30)+0,药材收益口径!$H$2:$I$222,2,FALSE),0)+IF(C30&gt;=2,VLOOKUP(R29+MAX(0,R30-R29-C30)+1,药材收益口径!$H$2:$I$222,2,FALSE),0)+IF(C30&gt;=3,VLOOKUP(R29+MAX(0,R30-R29-C30)+2,药材收益口径!$H$2:$I$222,2,FALSE),0)+IF(C30&gt;=4,VLOOKUP(R29+MAX(0,R30-R29-C30)+3,药材收益口径!$H$2:$I$222,2,FALSE),0)</f>
        <v>429.59353685669475</v>
      </c>
      <c r="G30" s="10">
        <v>345.6</v>
      </c>
      <c r="H30" s="10">
        <v>0</v>
      </c>
      <c r="I30" s="10">
        <v>0</v>
      </c>
      <c r="J30" s="10">
        <f t="shared" si="0"/>
        <v>2775.1935368566947</v>
      </c>
      <c r="K30" s="10">
        <f t="shared" si="4"/>
        <v>76027.310093885346</v>
      </c>
      <c r="L30" s="10">
        <v>3550</v>
      </c>
      <c r="M30" s="10">
        <f t="shared" si="5"/>
        <v>81069.599999999991</v>
      </c>
      <c r="N30" s="10">
        <f t="shared" si="1"/>
        <v>-774.80646314330534</v>
      </c>
      <c r="O30" s="10">
        <f t="shared" si="2"/>
        <v>-5042.2899061146454</v>
      </c>
      <c r="P30" s="10">
        <f t="shared" si="3"/>
        <v>14957.710093885355</v>
      </c>
      <c r="Q30" s="11">
        <v>1840</v>
      </c>
      <c r="R30" s="11">
        <v>91</v>
      </c>
      <c r="S30" s="5"/>
    </row>
    <row r="31" spans="1:19">
      <c r="A31" s="12">
        <v>2</v>
      </c>
      <c r="B31" s="11" t="s">
        <v>95</v>
      </c>
      <c r="C31" s="11">
        <v>3</v>
      </c>
      <c r="D31" s="10">
        <v>500</v>
      </c>
      <c r="E31" s="10">
        <v>1500</v>
      </c>
      <c r="F31" s="40">
        <f>IF(C31&gt;=1,VLOOKUP(R30+MAX(0,R31-R30-C31)+0,药材收益口径!$H$2:$I$222,2,FALSE),0)+IF(C31&gt;=2,VLOOKUP(R30+MAX(0,R31-R30-C31)+1,药材收益口径!$H$2:$I$222,2,FALSE),0)+IF(C31&gt;=3,VLOOKUP(R30+MAX(0,R31-R30-C31)+2,药材收益口径!$H$2:$I$222,2,FALSE),0)+IF(C31&gt;=4,VLOOKUP(R30+MAX(0,R31-R30-C31)+3,药材收益口径!$H$2:$I$222,2,FALSE),0)</f>
        <v>433.33354440275173</v>
      </c>
      <c r="G31" s="10">
        <v>345.6</v>
      </c>
      <c r="H31" s="10">
        <v>0</v>
      </c>
      <c r="I31" s="10">
        <v>0</v>
      </c>
      <c r="J31" s="10">
        <f t="shared" si="0"/>
        <v>2778.9335444027515</v>
      </c>
      <c r="K31" s="10">
        <f t="shared" si="4"/>
        <v>78806.243638288099</v>
      </c>
      <c r="L31" s="10">
        <v>2776.4</v>
      </c>
      <c r="M31" s="10">
        <f t="shared" si="5"/>
        <v>83845.999999999985</v>
      </c>
      <c r="N31" s="10">
        <f t="shared" si="1"/>
        <v>2.5335444027514313</v>
      </c>
      <c r="O31" s="10">
        <f t="shared" si="2"/>
        <v>-5039.7563617118867</v>
      </c>
      <c r="P31" s="10">
        <f t="shared" si="3"/>
        <v>14960.243638288113</v>
      </c>
      <c r="Q31" s="11">
        <v>1870</v>
      </c>
      <c r="R31" s="11">
        <v>94</v>
      </c>
      <c r="S31" s="5"/>
    </row>
    <row r="32" spans="1:19">
      <c r="A32" s="12">
        <v>2</v>
      </c>
      <c r="B32" s="11" t="s">
        <v>96</v>
      </c>
      <c r="C32" s="11">
        <v>3</v>
      </c>
      <c r="D32" s="10">
        <v>500</v>
      </c>
      <c r="E32" s="10">
        <v>1500</v>
      </c>
      <c r="F32" s="40">
        <f>IF(C32&gt;=1,VLOOKUP(R31+MAX(0,R32-R31-C32)+0,药材收益口径!$H$2:$I$222,2,FALSE),0)+IF(C32&gt;=2,VLOOKUP(R31+MAX(0,R32-R31-C32)+1,药材收益口径!$H$2:$I$222,2,FALSE),0)+IF(C32&gt;=3,VLOOKUP(R31+MAX(0,R32-R31-C32)+2,药材收益口径!$H$2:$I$222,2,FALSE),0)+IF(C32&gt;=4,VLOOKUP(R31+MAX(0,R32-R31-C32)+3,药材收益口径!$H$2:$I$222,2,FALSE),0)</f>
        <v>432.48917748917751</v>
      </c>
      <c r="G32" s="10">
        <v>345.6</v>
      </c>
      <c r="H32" s="10">
        <v>0</v>
      </c>
      <c r="I32" s="10">
        <v>0</v>
      </c>
      <c r="J32" s="10">
        <f t="shared" si="0"/>
        <v>2778.0891774891775</v>
      </c>
      <c r="K32" s="10">
        <f t="shared" si="4"/>
        <v>81584.332815777278</v>
      </c>
      <c r="L32" s="10">
        <v>2650</v>
      </c>
      <c r="M32" s="10">
        <f t="shared" si="5"/>
        <v>86495.999999999985</v>
      </c>
      <c r="N32" s="10">
        <f t="shared" si="1"/>
        <v>128.08917748917747</v>
      </c>
      <c r="O32" s="10">
        <f t="shared" si="2"/>
        <v>-4911.6671842227079</v>
      </c>
      <c r="P32" s="10">
        <f t="shared" si="3"/>
        <v>15088.332815777292</v>
      </c>
      <c r="Q32" s="11">
        <v>1900</v>
      </c>
      <c r="R32" s="11">
        <v>97</v>
      </c>
      <c r="S32" s="5"/>
    </row>
    <row r="33" spans="1:19">
      <c r="A33" s="12">
        <v>2</v>
      </c>
      <c r="B33" s="11" t="s">
        <v>97</v>
      </c>
      <c r="C33" s="11">
        <v>3</v>
      </c>
      <c r="D33" s="10">
        <v>500</v>
      </c>
      <c r="E33" s="10">
        <v>1500</v>
      </c>
      <c r="F33" s="40">
        <f>IF(C33&gt;=1,VLOOKUP(R32+MAX(0,R33-R32-C33)+0,药材收益口径!$H$2:$I$222,2,FALSE),0)+IF(C33&gt;=2,VLOOKUP(R32+MAX(0,R33-R32-C33)+1,药材收益口径!$H$2:$I$222,2,FALSE),0)+IF(C33&gt;=3,VLOOKUP(R32+MAX(0,R33-R32-C33)+2,药材收益口径!$H$2:$I$222,2,FALSE),0)+IF(C33&gt;=4,VLOOKUP(R32+MAX(0,R33-R32-C33)+3,药材收益口径!$H$2:$I$222,2,FALSE),0)</f>
        <v>439.12752525252529</v>
      </c>
      <c r="G33" s="10">
        <v>345.6</v>
      </c>
      <c r="H33" s="10">
        <v>0</v>
      </c>
      <c r="I33" s="10">
        <v>0</v>
      </c>
      <c r="J33" s="10">
        <f t="shared" si="0"/>
        <v>2784.7275252525251</v>
      </c>
      <c r="K33" s="10">
        <f t="shared" si="4"/>
        <v>84369.060341029806</v>
      </c>
      <c r="L33" s="10">
        <v>3676.4</v>
      </c>
      <c r="M33" s="10">
        <f t="shared" si="5"/>
        <v>90172.39999999998</v>
      </c>
      <c r="N33" s="10">
        <f t="shared" si="1"/>
        <v>-891.67247474747501</v>
      </c>
      <c r="O33" s="10">
        <f t="shared" si="2"/>
        <v>-5803.3396589701733</v>
      </c>
      <c r="P33" s="10">
        <f t="shared" si="3"/>
        <v>14196.660341029827</v>
      </c>
      <c r="Q33" s="11">
        <v>1930</v>
      </c>
      <c r="R33" s="11">
        <v>100</v>
      </c>
      <c r="S33" s="5"/>
    </row>
    <row r="34" spans="1:19">
      <c r="A34" s="12">
        <v>2</v>
      </c>
      <c r="B34" s="11" t="s">
        <v>98</v>
      </c>
      <c r="C34" s="11">
        <v>3</v>
      </c>
      <c r="D34" s="10">
        <v>500</v>
      </c>
      <c r="E34" s="10">
        <v>1500</v>
      </c>
      <c r="F34" s="40">
        <f>IF(C34&gt;=1,VLOOKUP(R33+MAX(0,R34-R33-C34)+0,药材收益口径!$H$2:$I$222,2,FALSE),0)+IF(C34&gt;=2,VLOOKUP(R33+MAX(0,R34-R33-C34)+1,药材收益口径!$H$2:$I$222,2,FALSE),0)+IF(C34&gt;=3,VLOOKUP(R33+MAX(0,R34-R33-C34)+2,药材收益口径!$H$2:$I$222,2,FALSE),0)+IF(C34&gt;=4,VLOOKUP(R33+MAX(0,R34-R33-C34)+3,药材收益口径!$H$2:$I$222,2,FALSE),0)</f>
        <v>443.83333333333337</v>
      </c>
      <c r="G34" s="10">
        <v>345.6</v>
      </c>
      <c r="H34" s="10">
        <v>0</v>
      </c>
      <c r="I34" s="19">
        <v>2000</v>
      </c>
      <c r="J34" s="19">
        <f t="shared" si="0"/>
        <v>4789.4333333333334</v>
      </c>
      <c r="K34" s="19">
        <f t="shared" si="4"/>
        <v>89158.493674363141</v>
      </c>
      <c r="L34" s="19">
        <v>2450</v>
      </c>
      <c r="M34" s="19">
        <f t="shared" si="5"/>
        <v>92622.39999999998</v>
      </c>
      <c r="N34" s="19">
        <f t="shared" si="1"/>
        <v>2339.4333333333334</v>
      </c>
      <c r="O34" s="19">
        <f t="shared" si="2"/>
        <v>-3463.906325636839</v>
      </c>
      <c r="P34" s="19">
        <f t="shared" si="3"/>
        <v>16536.093674363161</v>
      </c>
      <c r="Q34" s="20">
        <v>1960</v>
      </c>
      <c r="R34" s="20">
        <v>103</v>
      </c>
      <c r="S34" s="46" t="s">
        <v>118</v>
      </c>
    </row>
    <row r="35" spans="1:19">
      <c r="A35" s="12">
        <v>2</v>
      </c>
      <c r="B35" s="11" t="s">
        <v>100</v>
      </c>
      <c r="C35" s="11">
        <v>3</v>
      </c>
      <c r="D35" s="10">
        <v>500</v>
      </c>
      <c r="E35" s="10">
        <v>1500</v>
      </c>
      <c r="F35" s="40">
        <f>IF(C35&gt;=1,VLOOKUP(R34+MAX(0,R35-R34-C35)+0,药材收益口径!$H$2:$I$222,2,FALSE),0)+IF(C35&gt;=2,VLOOKUP(R34+MAX(0,R35-R34-C35)+1,药材收益口径!$H$2:$I$222,2,FALSE),0)+IF(C35&gt;=3,VLOOKUP(R34+MAX(0,R35-R34-C35)+2,药材收益口径!$H$2:$I$222,2,FALSE),0)+IF(C35&gt;=4,VLOOKUP(R34+MAX(0,R35-R34-C35)+3,药材收益口径!$H$2:$I$222,2,FALSE),0)</f>
        <v>449.63145235892694</v>
      </c>
      <c r="G35" s="10">
        <v>345.6</v>
      </c>
      <c r="H35" s="10">
        <v>0</v>
      </c>
      <c r="I35" s="10">
        <v>0</v>
      </c>
      <c r="J35" s="10">
        <f t="shared" si="0"/>
        <v>2795.2314523589271</v>
      </c>
      <c r="K35" s="10">
        <f t="shared" si="4"/>
        <v>91953.725126722071</v>
      </c>
      <c r="L35" s="10">
        <v>3676.4</v>
      </c>
      <c r="M35" s="10">
        <f t="shared" si="5"/>
        <v>96298.799999999974</v>
      </c>
      <c r="N35" s="10">
        <f t="shared" si="1"/>
        <v>-881.16854764107302</v>
      </c>
      <c r="O35" s="10">
        <f t="shared" si="2"/>
        <v>-4345.074873277903</v>
      </c>
      <c r="P35" s="10">
        <f t="shared" si="3"/>
        <v>15654.925126722097</v>
      </c>
      <c r="Q35" s="11">
        <v>1990</v>
      </c>
      <c r="R35" s="11">
        <v>106</v>
      </c>
      <c r="S35" s="5"/>
    </row>
    <row r="36" spans="1:19">
      <c r="A36" s="12">
        <v>2</v>
      </c>
      <c r="B36" s="11" t="s">
        <v>101</v>
      </c>
      <c r="C36" s="11">
        <v>3</v>
      </c>
      <c r="D36" s="10">
        <v>500</v>
      </c>
      <c r="E36" s="10">
        <v>2000</v>
      </c>
      <c r="F36" s="40">
        <f>IF(C36&gt;=1,VLOOKUP(R35+MAX(0,R36-R35-C36)+0,药材收益口径!$H$2:$I$222,2,FALSE),0)+IF(C36&gt;=2,VLOOKUP(R35+MAX(0,R36-R35-C36)+1,药材收益口径!$H$2:$I$222,2,FALSE),0)+IF(C36&gt;=3,VLOOKUP(R35+MAX(0,R36-R35-C36)+2,药材收益口径!$H$2:$I$222,2,FALSE),0)+IF(C36&gt;=4,VLOOKUP(R35+MAX(0,R36-R35-C36)+3,药材收益口径!$H$2:$I$222,2,FALSE),0)</f>
        <v>447.82748483914077</v>
      </c>
      <c r="G36" s="10">
        <v>345.6</v>
      </c>
      <c r="H36" s="10">
        <v>0</v>
      </c>
      <c r="I36" s="10">
        <v>0</v>
      </c>
      <c r="J36" s="10">
        <f t="shared" si="0"/>
        <v>3293.4274848391406</v>
      </c>
      <c r="K36" s="10">
        <f t="shared" si="4"/>
        <v>95247.152611561207</v>
      </c>
      <c r="L36" s="10">
        <v>2450</v>
      </c>
      <c r="M36" s="10">
        <f t="shared" si="5"/>
        <v>98748.799999999974</v>
      </c>
      <c r="N36" s="10">
        <f t="shared" si="1"/>
        <v>843.42748483914056</v>
      </c>
      <c r="O36" s="10">
        <f t="shared" si="2"/>
        <v>-3501.6473884387669</v>
      </c>
      <c r="P36" s="10">
        <f t="shared" si="3"/>
        <v>16498.352611561233</v>
      </c>
      <c r="Q36" s="11">
        <v>2020</v>
      </c>
      <c r="R36" s="11">
        <v>109</v>
      </c>
      <c r="S36" s="5"/>
    </row>
    <row r="37" spans="1:19">
      <c r="A37" s="12">
        <v>2</v>
      </c>
      <c r="B37" s="11" t="s">
        <v>102</v>
      </c>
      <c r="C37" s="11">
        <v>3</v>
      </c>
      <c r="D37" s="10">
        <v>500</v>
      </c>
      <c r="E37" s="10">
        <v>3000</v>
      </c>
      <c r="F37" s="40">
        <f>IF(C37&gt;=1,VLOOKUP(R36+MAX(0,R37-R36-C37)+0,药材收益口径!$H$2:$I$222,2,FALSE),0)+IF(C37&gt;=2,VLOOKUP(R36+MAX(0,R37-R36-C37)+1,药材收益口径!$H$2:$I$222,2,FALSE),0)+IF(C37&gt;=3,VLOOKUP(R36+MAX(0,R37-R36-C37)+2,药材收益口径!$H$2:$I$222,2,FALSE),0)+IF(C37&gt;=4,VLOOKUP(R36+MAX(0,R37-R36-C37)+3,药材收益口径!$H$2:$I$222,2,FALSE),0)</f>
        <v>447.45709219858156</v>
      </c>
      <c r="G37" s="10">
        <v>345.6</v>
      </c>
      <c r="H37" s="10">
        <v>5000</v>
      </c>
      <c r="I37" s="10">
        <v>0</v>
      </c>
      <c r="J37" s="10">
        <f t="shared" si="0"/>
        <v>9293.0570921985818</v>
      </c>
      <c r="K37" s="10">
        <f t="shared" si="4"/>
        <v>104540.20970375979</v>
      </c>
      <c r="L37" s="10">
        <v>3276.4</v>
      </c>
      <c r="M37" s="10">
        <f t="shared" si="5"/>
        <v>102025.19999999997</v>
      </c>
      <c r="N37" s="10">
        <f t="shared" si="1"/>
        <v>6016.6570921985822</v>
      </c>
      <c r="O37" s="10">
        <f t="shared" si="2"/>
        <v>2515.0097037598171</v>
      </c>
      <c r="P37" s="10">
        <f t="shared" si="3"/>
        <v>22515.009703759817</v>
      </c>
      <c r="Q37" s="11">
        <v>2050</v>
      </c>
      <c r="R37" s="11">
        <v>112</v>
      </c>
      <c r="S37" s="5"/>
    </row>
    <row r="38" spans="1:19">
      <c r="A38" s="12">
        <v>2</v>
      </c>
      <c r="B38" s="11" t="s">
        <v>103</v>
      </c>
      <c r="C38" s="11">
        <v>3</v>
      </c>
      <c r="D38" s="10">
        <v>500</v>
      </c>
      <c r="E38" s="10">
        <v>3000</v>
      </c>
      <c r="F38" s="40">
        <f>IF(C38&gt;=1,VLOOKUP(R37+MAX(0,R38-R37-C38)+0,药材收益口径!$H$2:$I$222,2,FALSE),0)+IF(C38&gt;=2,VLOOKUP(R37+MAX(0,R38-R37-C38)+1,药材收益口径!$H$2:$I$222,2,FALSE),0)+IF(C38&gt;=3,VLOOKUP(R37+MAX(0,R38-R37-C38)+2,药材收益口径!$H$2:$I$222,2,FALSE),0)+IF(C38&gt;=4,VLOOKUP(R37+MAX(0,R38-R37-C38)+3,药材收益口径!$H$2:$I$222,2,FALSE),0)</f>
        <v>447.45709219858156</v>
      </c>
      <c r="G38" s="10">
        <v>345.6</v>
      </c>
      <c r="H38" s="10">
        <v>0</v>
      </c>
      <c r="I38" s="10">
        <v>0</v>
      </c>
      <c r="J38" s="10">
        <f t="shared" si="0"/>
        <v>4293.0570921985818</v>
      </c>
      <c r="K38" s="10">
        <f t="shared" si="4"/>
        <v>108833.26679595836</v>
      </c>
      <c r="L38" s="10">
        <v>2650</v>
      </c>
      <c r="M38" s="10">
        <f t="shared" si="5"/>
        <v>104675.19999999997</v>
      </c>
      <c r="N38" s="10">
        <f t="shared" si="1"/>
        <v>1643.0570921985818</v>
      </c>
      <c r="O38" s="10">
        <f t="shared" si="2"/>
        <v>4158.0667959583952</v>
      </c>
      <c r="P38" s="10">
        <f t="shared" si="3"/>
        <v>24158.066795958395</v>
      </c>
      <c r="Q38" s="11">
        <v>2080</v>
      </c>
      <c r="R38" s="11">
        <v>115</v>
      </c>
      <c r="S38" s="5"/>
    </row>
    <row r="39" spans="1:19">
      <c r="A39" s="12">
        <v>2</v>
      </c>
      <c r="B39" s="11" t="s">
        <v>104</v>
      </c>
      <c r="C39" s="11">
        <v>3</v>
      </c>
      <c r="D39" s="10">
        <v>500</v>
      </c>
      <c r="E39" s="10">
        <v>3000</v>
      </c>
      <c r="F39" s="40">
        <f>IF(C39&gt;=1,VLOOKUP(R38+MAX(0,R39-R38-C39)+0,药材收益口径!$H$2:$I$222,2,FALSE),0)+IF(C39&gt;=2,VLOOKUP(R38+MAX(0,R39-R38-C39)+1,药材收益口径!$H$2:$I$222,2,FALSE),0)+IF(C39&gt;=3,VLOOKUP(R38+MAX(0,R39-R38-C39)+2,药材收益口径!$H$2:$I$222,2,FALSE),0)+IF(C39&gt;=4,VLOOKUP(R38+MAX(0,R39-R38-C39)+3,药材收益口径!$H$2:$I$222,2,FALSE),0)</f>
        <v>447.45709219858156</v>
      </c>
      <c r="G39" s="10">
        <v>345.6</v>
      </c>
      <c r="H39" s="10">
        <v>0</v>
      </c>
      <c r="I39" s="10">
        <v>0</v>
      </c>
      <c r="J39" s="10">
        <f t="shared" si="0"/>
        <v>4293.0570921985818</v>
      </c>
      <c r="K39" s="10">
        <f t="shared" si="4"/>
        <v>113126.32388815694</v>
      </c>
      <c r="L39" s="10">
        <v>4776.3999999999996</v>
      </c>
      <c r="M39" s="10">
        <f t="shared" si="5"/>
        <v>109451.59999999996</v>
      </c>
      <c r="N39" s="10">
        <f t="shared" si="1"/>
        <v>-483.34290780141782</v>
      </c>
      <c r="O39" s="10">
        <f t="shared" si="2"/>
        <v>3674.7238881569792</v>
      </c>
      <c r="P39" s="10">
        <f t="shared" si="3"/>
        <v>23674.723888156979</v>
      </c>
      <c r="Q39" s="11">
        <v>2110</v>
      </c>
      <c r="R39" s="11">
        <v>118</v>
      </c>
      <c r="S39" s="5"/>
    </row>
    <row r="40" spans="1:19">
      <c r="A40" s="12">
        <v>2</v>
      </c>
      <c r="B40" s="11" t="s">
        <v>105</v>
      </c>
      <c r="C40" s="11">
        <v>3</v>
      </c>
      <c r="D40" s="10">
        <v>500</v>
      </c>
      <c r="E40" s="10">
        <v>3000</v>
      </c>
      <c r="F40" s="40">
        <f>IF(C40&gt;=1,VLOOKUP(R39+MAX(0,R40-R39-C40)+0,药材收益口径!$H$2:$I$222,2,FALSE),0)+IF(C40&gt;=2,VLOOKUP(R39+MAX(0,R40-R39-C40)+1,药材收益口径!$H$2:$I$222,2,FALSE),0)+IF(C40&gt;=3,VLOOKUP(R39+MAX(0,R40-R39-C40)+2,药材收益口径!$H$2:$I$222,2,FALSE),0)+IF(C40&gt;=4,VLOOKUP(R39+MAX(0,R40-R39-C40)+3,药材收益口径!$H$2:$I$222,2,FALSE),0)</f>
        <v>447.45709219858156</v>
      </c>
      <c r="G40" s="10">
        <v>345.6</v>
      </c>
      <c r="H40" s="10">
        <v>0</v>
      </c>
      <c r="I40" s="10">
        <v>0</v>
      </c>
      <c r="J40" s="10">
        <f t="shared" si="0"/>
        <v>4293.0570921985818</v>
      </c>
      <c r="K40" s="10">
        <f t="shared" si="4"/>
        <v>117419.38098035552</v>
      </c>
      <c r="L40" s="10">
        <v>1550</v>
      </c>
      <c r="M40" s="10">
        <f t="shared" si="5"/>
        <v>111001.59999999996</v>
      </c>
      <c r="N40" s="10">
        <f t="shared" si="1"/>
        <v>2743.0570921985818</v>
      </c>
      <c r="O40" s="10">
        <f t="shared" si="2"/>
        <v>6417.7809803555574</v>
      </c>
      <c r="P40" s="10">
        <f t="shared" si="3"/>
        <v>26417.780980355557</v>
      </c>
      <c r="Q40" s="11">
        <v>2140</v>
      </c>
      <c r="R40" s="11">
        <v>121</v>
      </c>
      <c r="S40" s="5"/>
    </row>
    <row r="41" spans="1:19">
      <c r="A41" s="12">
        <v>2</v>
      </c>
      <c r="B41" s="11" t="s">
        <v>106</v>
      </c>
      <c r="C41" s="11">
        <v>3</v>
      </c>
      <c r="D41" s="10">
        <v>500</v>
      </c>
      <c r="E41" s="10">
        <v>3000</v>
      </c>
      <c r="F41" s="40">
        <f>IF(C41&gt;=1,VLOOKUP(R40+MAX(0,R41-R40-C41)+0,药材收益口径!$H$2:$I$222,2,FALSE),0)+IF(C41&gt;=2,VLOOKUP(R40+MAX(0,R41-R40-C41)+1,药材收益口径!$H$2:$I$222,2,FALSE),0)+IF(C41&gt;=3,VLOOKUP(R40+MAX(0,R41-R40-C41)+2,药材收益口径!$H$2:$I$222,2,FALSE),0)+IF(C41&gt;=4,VLOOKUP(R40+MAX(0,R41-R40-C41)+3,药材收益口径!$H$2:$I$222,2,FALSE),0)</f>
        <v>447.45709219858156</v>
      </c>
      <c r="G41" s="10">
        <v>345.6</v>
      </c>
      <c r="H41" s="10">
        <v>0</v>
      </c>
      <c r="I41" s="10">
        <v>0</v>
      </c>
      <c r="J41" s="10">
        <f t="shared" si="0"/>
        <v>4293.0570921985818</v>
      </c>
      <c r="K41" s="10">
        <f t="shared" si="4"/>
        <v>121712.4380725541</v>
      </c>
      <c r="L41" s="10">
        <v>3376.4</v>
      </c>
      <c r="M41" s="10">
        <f t="shared" si="5"/>
        <v>114377.99999999996</v>
      </c>
      <c r="N41" s="10">
        <f t="shared" si="1"/>
        <v>916.65709219858172</v>
      </c>
      <c r="O41" s="10">
        <f t="shared" si="2"/>
        <v>7334.4380725541414</v>
      </c>
      <c r="P41" s="10">
        <f t="shared" si="3"/>
        <v>27334.438072554141</v>
      </c>
      <c r="Q41" s="11">
        <v>2170</v>
      </c>
      <c r="R41" s="11">
        <v>124</v>
      </c>
      <c r="S41" s="5"/>
    </row>
    <row r="42" spans="1:19">
      <c r="A42" s="12">
        <v>2</v>
      </c>
      <c r="B42" s="11" t="s">
        <v>107</v>
      </c>
      <c r="C42" s="11">
        <v>3</v>
      </c>
      <c r="D42" s="10">
        <v>500</v>
      </c>
      <c r="E42" s="10">
        <v>3000</v>
      </c>
      <c r="F42" s="40">
        <f>IF(C42&gt;=1,VLOOKUP(R41+MAX(0,R42-R41-C42)+0,药材收益口径!$H$2:$I$222,2,FALSE),0)+IF(C42&gt;=2,VLOOKUP(R41+MAX(0,R42-R41-C42)+1,药材收益口径!$H$2:$I$222,2,FALSE),0)+IF(C42&gt;=3,VLOOKUP(R41+MAX(0,R42-R41-C42)+2,药材收益口径!$H$2:$I$222,2,FALSE),0)+IF(C42&gt;=4,VLOOKUP(R41+MAX(0,R42-R41-C42)+3,药材收益口径!$H$2:$I$222,2,FALSE),0)</f>
        <v>447.45709219858156</v>
      </c>
      <c r="G42" s="10">
        <v>345.6</v>
      </c>
      <c r="H42" s="10">
        <v>0</v>
      </c>
      <c r="I42" s="10">
        <v>0</v>
      </c>
      <c r="J42" s="10">
        <f t="shared" si="0"/>
        <v>4293.0570921985818</v>
      </c>
      <c r="K42" s="10">
        <f t="shared" si="4"/>
        <v>126005.49516475268</v>
      </c>
      <c r="L42" s="10">
        <v>1550</v>
      </c>
      <c r="M42" s="10">
        <f t="shared" si="5"/>
        <v>115927.99999999996</v>
      </c>
      <c r="N42" s="10">
        <f t="shared" si="1"/>
        <v>2743.0570921985818</v>
      </c>
      <c r="O42" s="10">
        <f t="shared" si="2"/>
        <v>10077.49516475272</v>
      </c>
      <c r="P42" s="10">
        <f t="shared" si="3"/>
        <v>30077.49516475272</v>
      </c>
      <c r="Q42" s="11">
        <v>2200</v>
      </c>
      <c r="R42" s="11">
        <v>127</v>
      </c>
      <c r="S42" s="5"/>
    </row>
    <row r="43" spans="1:19">
      <c r="A43" s="12">
        <v>2</v>
      </c>
      <c r="B43" s="11" t="s">
        <v>108</v>
      </c>
      <c r="C43" s="11">
        <v>3</v>
      </c>
      <c r="D43" s="10">
        <v>500</v>
      </c>
      <c r="E43" s="10">
        <v>3000</v>
      </c>
      <c r="F43" s="40">
        <f>IF(C43&gt;=1,VLOOKUP(R42+MAX(0,R43-R42-C43)+0,药材收益口径!$H$2:$I$222,2,FALSE),0)+IF(C43&gt;=2,VLOOKUP(R42+MAX(0,R43-R42-C43)+1,药材收益口径!$H$2:$I$222,2,FALSE),0)+IF(C43&gt;=3,VLOOKUP(R42+MAX(0,R43-R42-C43)+2,药材收益口径!$H$2:$I$222,2,FALSE),0)+IF(C43&gt;=4,VLOOKUP(R42+MAX(0,R43-R42-C43)+3,药材收益口径!$H$2:$I$222,2,FALSE),0)</f>
        <v>447.45709219858156</v>
      </c>
      <c r="G43" s="10">
        <v>345.6</v>
      </c>
      <c r="H43" s="10">
        <v>15000</v>
      </c>
      <c r="I43" s="10">
        <v>0</v>
      </c>
      <c r="J43" s="10">
        <f t="shared" si="0"/>
        <v>19293.057092198582</v>
      </c>
      <c r="K43" s="10">
        <f t="shared" si="4"/>
        <v>145298.55225695125</v>
      </c>
      <c r="L43" s="10">
        <v>4276.3999999999996</v>
      </c>
      <c r="M43" s="10">
        <f t="shared" si="5"/>
        <v>120204.39999999995</v>
      </c>
      <c r="N43" s="10">
        <f t="shared" si="1"/>
        <v>15016.657092198582</v>
      </c>
      <c r="O43" s="10">
        <f t="shared" si="2"/>
        <v>25094.152256951304</v>
      </c>
      <c r="P43" s="10">
        <f t="shared" si="3"/>
        <v>45094.152256951304</v>
      </c>
      <c r="Q43" s="11">
        <v>2230</v>
      </c>
      <c r="R43" s="11">
        <v>130</v>
      </c>
      <c r="S43" s="5"/>
    </row>
    <row r="44" spans="1:19">
      <c r="A44" s="12">
        <v>2</v>
      </c>
      <c r="B44" s="11" t="s">
        <v>109</v>
      </c>
      <c r="C44" s="11">
        <v>3</v>
      </c>
      <c r="D44" s="10">
        <v>500</v>
      </c>
      <c r="E44" s="10">
        <v>3000</v>
      </c>
      <c r="F44" s="40">
        <f>IF(C44&gt;=1,VLOOKUP(R43+MAX(0,R44-R43-C44)+0,药材收益口径!$H$2:$I$222,2,FALSE),0)+IF(C44&gt;=2,VLOOKUP(R43+MAX(0,R44-R43-C44)+1,药材收益口径!$H$2:$I$222,2,FALSE),0)+IF(C44&gt;=3,VLOOKUP(R43+MAX(0,R44-R43-C44)+2,药材收益口径!$H$2:$I$222,2,FALSE),0)+IF(C44&gt;=4,VLOOKUP(R43+MAX(0,R44-R43-C44)+3,药材收益口径!$H$2:$I$222,2,FALSE),0)</f>
        <v>447.45709219858156</v>
      </c>
      <c r="G44" s="10">
        <v>345.6</v>
      </c>
      <c r="H44" s="10">
        <v>0</v>
      </c>
      <c r="I44" s="10">
        <v>0</v>
      </c>
      <c r="J44" s="10">
        <f t="shared" si="0"/>
        <v>4293.0570921985818</v>
      </c>
      <c r="K44" s="10">
        <f t="shared" si="4"/>
        <v>149591.60934914983</v>
      </c>
      <c r="L44" s="10">
        <v>4750</v>
      </c>
      <c r="M44" s="10">
        <f t="shared" si="5"/>
        <v>124954.39999999995</v>
      </c>
      <c r="N44" s="10">
        <f t="shared" si="1"/>
        <v>-456.94290780141819</v>
      </c>
      <c r="O44" s="10">
        <f t="shared" si="2"/>
        <v>24637.209349149882</v>
      </c>
      <c r="P44" s="10">
        <f t="shared" si="3"/>
        <v>44637.209349149882</v>
      </c>
      <c r="Q44" s="11">
        <v>2260</v>
      </c>
      <c r="R44" s="11">
        <v>133</v>
      </c>
      <c r="S44" s="5"/>
    </row>
    <row r="45" spans="1:19">
      <c r="A45" s="12">
        <v>2</v>
      </c>
      <c r="B45" s="11" t="s">
        <v>110</v>
      </c>
      <c r="C45" s="11">
        <v>3</v>
      </c>
      <c r="D45" s="10">
        <v>500</v>
      </c>
      <c r="E45" s="10">
        <v>3000</v>
      </c>
      <c r="F45" s="40">
        <f>IF(C45&gt;=1,VLOOKUP(R44+MAX(0,R45-R44-C45)+0,药材收益口径!$H$2:$I$222,2,FALSE),0)+IF(C45&gt;=2,VLOOKUP(R44+MAX(0,R45-R44-C45)+1,药材收益口径!$H$2:$I$222,2,FALSE),0)+IF(C45&gt;=3,VLOOKUP(R44+MAX(0,R45-R44-C45)+2,药材收益口径!$H$2:$I$222,2,FALSE),0)+IF(C45&gt;=4,VLOOKUP(R44+MAX(0,R45-R44-C45)+3,药材收益口径!$H$2:$I$222,2,FALSE),0)</f>
        <v>447.45709219858156</v>
      </c>
      <c r="G45" s="10">
        <v>345.6</v>
      </c>
      <c r="H45" s="10">
        <v>0</v>
      </c>
      <c r="I45" s="19">
        <v>1000</v>
      </c>
      <c r="J45" s="19">
        <f t="shared" si="0"/>
        <v>5293.0570921985818</v>
      </c>
      <c r="K45" s="19">
        <f t="shared" si="4"/>
        <v>154884.66644134841</v>
      </c>
      <c r="L45" s="19">
        <v>2776.4</v>
      </c>
      <c r="M45" s="19">
        <f t="shared" si="5"/>
        <v>127730.79999999994</v>
      </c>
      <c r="N45" s="19">
        <f t="shared" si="1"/>
        <v>2516.6570921985817</v>
      </c>
      <c r="O45" s="19">
        <f t="shared" si="2"/>
        <v>27153.866441348466</v>
      </c>
      <c r="P45" s="19">
        <f t="shared" si="3"/>
        <v>47153.866441348466</v>
      </c>
      <c r="Q45" s="20">
        <v>2290</v>
      </c>
      <c r="R45" s="20">
        <v>136</v>
      </c>
      <c r="S45" s="46" t="s">
        <v>119</v>
      </c>
    </row>
    <row r="46" spans="1:19">
      <c r="A46" s="12">
        <v>2</v>
      </c>
      <c r="B46" s="11" t="s">
        <v>111</v>
      </c>
      <c r="C46" s="11">
        <v>3</v>
      </c>
      <c r="D46" s="10">
        <v>500</v>
      </c>
      <c r="E46" s="10">
        <v>3000</v>
      </c>
      <c r="F46" s="40">
        <f>IF(C46&gt;=1,VLOOKUP(R45+MAX(0,R46-R45-C46)+0,药材收益口径!$H$2:$I$222,2,FALSE),0)+IF(C46&gt;=2,VLOOKUP(R45+MAX(0,R46-R45-C46)+1,药材收益口径!$H$2:$I$222,2,FALSE),0)+IF(C46&gt;=3,VLOOKUP(R45+MAX(0,R46-R45-C46)+2,药材收益口径!$H$2:$I$222,2,FALSE),0)+IF(C46&gt;=4,VLOOKUP(R45+MAX(0,R46-R45-C46)+3,药材收益口径!$H$2:$I$222,2,FALSE),0)</f>
        <v>447.45709219858156</v>
      </c>
      <c r="G46" s="10">
        <v>345.6</v>
      </c>
      <c r="H46" s="10">
        <v>0</v>
      </c>
      <c r="I46" s="10">
        <v>0</v>
      </c>
      <c r="J46" s="10">
        <f t="shared" si="0"/>
        <v>4293.0570921985818</v>
      </c>
      <c r="K46" s="10">
        <f t="shared" si="4"/>
        <v>159177.72353354699</v>
      </c>
      <c r="L46" s="10">
        <v>1550</v>
      </c>
      <c r="M46" s="10">
        <f t="shared" si="5"/>
        <v>129280.79999999994</v>
      </c>
      <c r="N46" s="10">
        <f t="shared" si="1"/>
        <v>2743.0570921985818</v>
      </c>
      <c r="O46" s="10">
        <f t="shared" si="2"/>
        <v>29896.923533547044</v>
      </c>
      <c r="P46" s="10">
        <f t="shared" si="3"/>
        <v>49896.923533547044</v>
      </c>
      <c r="Q46" s="11">
        <v>2320</v>
      </c>
      <c r="R46" s="11">
        <v>139</v>
      </c>
      <c r="S46" s="5"/>
    </row>
    <row r="47" spans="1:19">
      <c r="A47" s="12">
        <v>2</v>
      </c>
      <c r="B47" s="11" t="s">
        <v>112</v>
      </c>
      <c r="C47" s="11">
        <v>3</v>
      </c>
      <c r="D47" s="10">
        <v>500</v>
      </c>
      <c r="E47" s="10">
        <v>3000</v>
      </c>
      <c r="F47" s="40">
        <f>IF(C47&gt;=1,VLOOKUP(R46+MAX(0,R47-R46-C47)+0,药材收益口径!$H$2:$I$222,2,FALSE),0)+IF(C47&gt;=2,VLOOKUP(R46+MAX(0,R47-R46-C47)+1,药材收益口径!$H$2:$I$222,2,FALSE),0)+IF(C47&gt;=3,VLOOKUP(R46+MAX(0,R47-R46-C47)+2,药材收益口径!$H$2:$I$222,2,FALSE),0)+IF(C47&gt;=4,VLOOKUP(R46+MAX(0,R47-R46-C47)+3,药材收益口径!$H$2:$I$222,2,FALSE),0)</f>
        <v>447.45709219858156</v>
      </c>
      <c r="G47" s="10">
        <v>345.6</v>
      </c>
      <c r="H47" s="10">
        <v>0</v>
      </c>
      <c r="I47" s="10">
        <v>0</v>
      </c>
      <c r="J47" s="10">
        <f t="shared" si="0"/>
        <v>4293.0570921985818</v>
      </c>
      <c r="K47" s="10">
        <f t="shared" si="4"/>
        <v>163470.78062574557</v>
      </c>
      <c r="L47" s="10">
        <v>2776.4</v>
      </c>
      <c r="M47" s="10">
        <f t="shared" si="5"/>
        <v>132057.19999999995</v>
      </c>
      <c r="N47" s="10">
        <f t="shared" si="1"/>
        <v>1516.6570921985817</v>
      </c>
      <c r="O47" s="10">
        <f t="shared" si="2"/>
        <v>31413.580625745613</v>
      </c>
      <c r="P47" s="10">
        <f t="shared" si="3"/>
        <v>51413.580625745613</v>
      </c>
      <c r="Q47" s="11">
        <v>2350</v>
      </c>
      <c r="R47" s="11">
        <v>142</v>
      </c>
      <c r="S47" s="5"/>
    </row>
    <row r="48" spans="1:19">
      <c r="A48" s="12">
        <v>2</v>
      </c>
      <c r="B48" s="11" t="s">
        <v>114</v>
      </c>
      <c r="C48" s="11">
        <v>3</v>
      </c>
      <c r="D48" s="10">
        <v>500</v>
      </c>
      <c r="E48" s="10">
        <v>3000</v>
      </c>
      <c r="F48" s="40">
        <f>IF(C48&gt;=1,VLOOKUP(R47+MAX(0,R48-R47-C48)+0,药材收益口径!$H$2:$I$222,2,FALSE),0)+IF(C48&gt;=2,VLOOKUP(R47+MAX(0,R48-R47-C48)+1,药材收益口径!$H$2:$I$222,2,FALSE),0)+IF(C48&gt;=3,VLOOKUP(R47+MAX(0,R48-R47-C48)+2,药材收益口径!$H$2:$I$222,2,FALSE),0)+IF(C48&gt;=4,VLOOKUP(R47+MAX(0,R48-R47-C48)+3,药材收益口径!$H$2:$I$222,2,FALSE),0)</f>
        <v>447.45709219858156</v>
      </c>
      <c r="G48" s="10">
        <v>345.6</v>
      </c>
      <c r="H48" s="10">
        <v>0</v>
      </c>
      <c r="I48" s="10">
        <v>0</v>
      </c>
      <c r="J48" s="10">
        <f t="shared" si="0"/>
        <v>4293.0570921985818</v>
      </c>
      <c r="K48" s="10">
        <f t="shared" si="4"/>
        <v>167763.83771794414</v>
      </c>
      <c r="L48" s="10">
        <v>1550</v>
      </c>
      <c r="M48" s="10">
        <f t="shared" si="5"/>
        <v>133607.19999999995</v>
      </c>
      <c r="N48" s="10">
        <f t="shared" si="1"/>
        <v>2743.0570921985818</v>
      </c>
      <c r="O48" s="10">
        <f t="shared" si="2"/>
        <v>34156.637717944192</v>
      </c>
      <c r="P48" s="10">
        <f t="shared" si="3"/>
        <v>54156.637717944192</v>
      </c>
      <c r="Q48" s="11">
        <v>2380</v>
      </c>
      <c r="R48" s="11">
        <v>145</v>
      </c>
      <c r="S48" s="5"/>
    </row>
    <row r="49" spans="1:19">
      <c r="A49" s="13">
        <v>2</v>
      </c>
      <c r="B49" s="14" t="s">
        <v>115</v>
      </c>
      <c r="C49" s="14">
        <v>3</v>
      </c>
      <c r="D49" s="15">
        <v>500</v>
      </c>
      <c r="E49" s="15">
        <v>3000</v>
      </c>
      <c r="F49" s="42">
        <f>IF(C49&gt;=1,VLOOKUP(R48+MAX(0,R49-R48-C49)+0,药材收益口径!$H$2:$I$222,2,FALSE),0)+IF(C49&gt;=2,VLOOKUP(R48+MAX(0,R49-R48-C49)+1,药材收益口径!$H$2:$I$222,2,FALSE),0)+IF(C49&gt;=3,VLOOKUP(R48+MAX(0,R49-R48-C49)+2,药材收益口径!$H$2:$I$222,2,FALSE),0)+IF(C49&gt;=4,VLOOKUP(R48+MAX(0,R49-R48-C49)+3,药材收益口径!$H$2:$I$222,2,FALSE),0)</f>
        <v>447.45709219858156</v>
      </c>
      <c r="G49" s="10">
        <v>345.6</v>
      </c>
      <c r="H49" s="15">
        <v>0</v>
      </c>
      <c r="I49" s="15">
        <v>0</v>
      </c>
      <c r="J49" s="15">
        <f t="shared" si="0"/>
        <v>4293.0570921985818</v>
      </c>
      <c r="K49" s="15">
        <f t="shared" si="4"/>
        <v>172056.89481014272</v>
      </c>
      <c r="L49" s="15">
        <v>3376.4</v>
      </c>
      <c r="M49" s="15">
        <f t="shared" si="5"/>
        <v>136983.59999999995</v>
      </c>
      <c r="N49" s="15">
        <f t="shared" si="1"/>
        <v>916.65709219858172</v>
      </c>
      <c r="O49" s="15">
        <f t="shared" si="2"/>
        <v>35073.294810142776</v>
      </c>
      <c r="P49" s="15">
        <f t="shared" si="3"/>
        <v>55073.294810142776</v>
      </c>
      <c r="Q49" s="14">
        <v>2410</v>
      </c>
      <c r="R49" s="14">
        <v>148</v>
      </c>
      <c r="S49" s="6"/>
    </row>
  </sheetData>
  <phoneticPr fontId="4"/>
  <conditionalFormatting sqref="P2:P49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9"/>
  <sheetViews>
    <sheetView workbookViewId="0">
      <pane ySplit="1" topLeftCell="A2" activePane="bottomLeft" state="frozen"/>
      <selection activeCell="C1" sqref="C1"/>
      <selection pane="bottomLeft" activeCell="I17" sqref="I17"/>
    </sheetView>
  </sheetViews>
  <sheetFormatPr defaultRowHeight="14.25"/>
  <cols>
    <col min="1" max="2" width="5.25" bestFit="1" customWidth="1"/>
    <col min="3" max="3" width="13" bestFit="1" customWidth="1"/>
    <col min="4" max="4" width="11" bestFit="1" customWidth="1"/>
    <col min="5" max="5" width="9" bestFit="1" customWidth="1"/>
    <col min="6" max="6" width="15.125" bestFit="1" customWidth="1"/>
    <col min="7" max="7" width="9" bestFit="1" customWidth="1"/>
    <col min="8" max="8" width="8.5" bestFit="1" customWidth="1"/>
    <col min="9" max="9" width="13" bestFit="1" customWidth="1"/>
    <col min="10" max="10" width="9" bestFit="1" customWidth="1"/>
    <col min="11" max="11" width="13" bestFit="1" customWidth="1"/>
    <col min="12" max="12" width="9" bestFit="1" customWidth="1"/>
    <col min="13" max="14" width="13" bestFit="1" customWidth="1"/>
    <col min="15" max="15" width="11" bestFit="1" customWidth="1"/>
    <col min="16" max="16" width="15.125" bestFit="1" customWidth="1"/>
    <col min="17" max="18" width="11" bestFit="1" customWidth="1"/>
    <col min="19" max="19" width="42" customWidth="1"/>
  </cols>
  <sheetData>
    <row r="1" spans="1:19" ht="15">
      <c r="A1" s="1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13</v>
      </c>
      <c r="G1" s="9" t="s">
        <v>78</v>
      </c>
      <c r="H1" s="9" t="s">
        <v>16</v>
      </c>
      <c r="I1" s="9" t="s">
        <v>79</v>
      </c>
      <c r="J1" s="9" t="s">
        <v>80</v>
      </c>
      <c r="K1" s="9" t="s">
        <v>81</v>
      </c>
      <c r="L1" s="9" t="s">
        <v>82</v>
      </c>
      <c r="M1" s="9" t="s">
        <v>83</v>
      </c>
      <c r="N1" s="9" t="s">
        <v>84</v>
      </c>
      <c r="O1" s="9" t="s">
        <v>85</v>
      </c>
      <c r="P1" s="9" t="s">
        <v>86</v>
      </c>
      <c r="Q1" s="9" t="s">
        <v>87</v>
      </c>
      <c r="R1" s="9" t="s">
        <v>88</v>
      </c>
      <c r="S1" s="2" t="s">
        <v>89</v>
      </c>
    </row>
    <row r="2" spans="1:19">
      <c r="A2" s="12">
        <v>1</v>
      </c>
      <c r="B2" s="11" t="s">
        <v>90</v>
      </c>
      <c r="C2" s="11">
        <v>0</v>
      </c>
      <c r="D2" s="10">
        <v>0</v>
      </c>
      <c r="E2" s="10">
        <v>0</v>
      </c>
      <c r="F2" s="40">
        <f>IF(C2&gt;=1,VLOOKUP(0+MAX(0,R2-0-C2)+0,药材收益口径!$H$2:$I$222,2,FALSE),0)+IF(C2&gt;=2,VLOOKUP(0+MAX(0,R2-0-C2)+1,药材收益口径!$H$2:$I$222,2,FALSE),0)+IF(C2&gt;=3,VLOOKUP(0+MAX(0,R2-0-C2)+2,药材收益口径!$H$2:$I$222,2,FALSE),0)+IF(C2&gt;=4,VLOOKUP(0+MAX(0,R2-0-C2)+3,药材收益口径!$H$2:$I$222,2,FALSE),0)</f>
        <v>0</v>
      </c>
      <c r="G2" s="10">
        <v>0</v>
      </c>
      <c r="H2" s="10">
        <v>0</v>
      </c>
      <c r="I2" s="10">
        <v>0</v>
      </c>
      <c r="J2" s="10">
        <f t="shared" ref="J2:J49" si="0">SUM(D2:I2)</f>
        <v>0</v>
      </c>
      <c r="K2" s="10">
        <f>J2</f>
        <v>0</v>
      </c>
      <c r="L2" s="10">
        <f>K2</f>
        <v>0</v>
      </c>
      <c r="M2" s="10">
        <f>L2</f>
        <v>0</v>
      </c>
      <c r="N2" s="10">
        <f t="shared" ref="N2:N49" si="1">J2-L2</f>
        <v>0</v>
      </c>
      <c r="O2" s="10">
        <f t="shared" ref="O2:O49" si="2">K2-M2</f>
        <v>0</v>
      </c>
      <c r="P2" s="10">
        <f t="shared" ref="P2:P49" si="3">20000+O2</f>
        <v>20000</v>
      </c>
      <c r="Q2" s="11">
        <v>0</v>
      </c>
      <c r="R2" s="11">
        <v>0</v>
      </c>
      <c r="S2" s="5"/>
    </row>
    <row r="3" spans="1:19">
      <c r="A3" s="12">
        <v>1</v>
      </c>
      <c r="B3" s="11" t="s">
        <v>91</v>
      </c>
      <c r="C3" s="11">
        <v>4</v>
      </c>
      <c r="D3" s="10">
        <v>0</v>
      </c>
      <c r="E3" s="10">
        <v>80</v>
      </c>
      <c r="F3" s="40">
        <f>IF(C3&gt;=1,VLOOKUP(R2+MAX(0,R3-R2-C3)+0,药材收益口径!$H$2:$I$222,2,FALSE),0)+IF(C3&gt;=2,VLOOKUP(R2+MAX(0,R3-R2-C3)+1,药材收益口径!$H$2:$I$222,2,FALSE),0)+IF(C3&gt;=3,VLOOKUP(R2+MAX(0,R3-R2-C3)+2,药材收益口径!$H$2:$I$222,2,FALSE),0)+IF(C3&gt;=4,VLOOKUP(R2+MAX(0,R3-R2-C3)+3,药材收益口径!$H$2:$I$222,2,FALSE),0)</f>
        <v>78.666666666666671</v>
      </c>
      <c r="G3" s="10">
        <v>460.8</v>
      </c>
      <c r="H3" s="10">
        <v>0</v>
      </c>
      <c r="I3" s="10">
        <v>0</v>
      </c>
      <c r="J3" s="10">
        <f t="shared" si="0"/>
        <v>619.4666666666667</v>
      </c>
      <c r="K3" s="10">
        <f t="shared" ref="K3:K49" si="4">K2+J3</f>
        <v>619.4666666666667</v>
      </c>
      <c r="L3" s="10">
        <v>2776.4</v>
      </c>
      <c r="M3" s="10">
        <f t="shared" ref="M3:M49" si="5">M2+L3</f>
        <v>2776.4</v>
      </c>
      <c r="N3" s="10">
        <f t="shared" si="1"/>
        <v>-2156.9333333333334</v>
      </c>
      <c r="O3" s="10">
        <f t="shared" si="2"/>
        <v>-2156.9333333333334</v>
      </c>
      <c r="P3" s="10">
        <f t="shared" si="3"/>
        <v>17843.066666666666</v>
      </c>
      <c r="Q3" s="11">
        <v>40</v>
      </c>
      <c r="R3" s="11">
        <v>4</v>
      </c>
      <c r="S3" s="5"/>
    </row>
    <row r="4" spans="1:19">
      <c r="A4" s="12">
        <v>1</v>
      </c>
      <c r="B4" s="11" t="s">
        <v>92</v>
      </c>
      <c r="C4" s="11">
        <v>4</v>
      </c>
      <c r="D4" s="10">
        <v>0</v>
      </c>
      <c r="E4" s="10">
        <v>80</v>
      </c>
      <c r="F4" s="40">
        <f>IF(C4&gt;=1,VLOOKUP(R3+MAX(0,R4-R3-C4)+0,药材收益口径!$H$2:$I$222,2,FALSE),0)+IF(C4&gt;=2,VLOOKUP(R3+MAX(0,R4-R3-C4)+1,药材收益口径!$H$2:$I$222,2,FALSE),0)+IF(C4&gt;=3,VLOOKUP(R3+MAX(0,R4-R3-C4)+2,药材收益口径!$H$2:$I$222,2,FALSE),0)+IF(C4&gt;=4,VLOOKUP(R3+MAX(0,R4-R3-C4)+3,药材收益口径!$H$2:$I$222,2,FALSE),0)</f>
        <v>78.666666666666671</v>
      </c>
      <c r="G4" s="10">
        <v>460.8</v>
      </c>
      <c r="H4" s="10">
        <v>0</v>
      </c>
      <c r="I4" s="10">
        <v>0</v>
      </c>
      <c r="J4" s="10">
        <f t="shared" si="0"/>
        <v>619.4666666666667</v>
      </c>
      <c r="K4" s="10">
        <f t="shared" si="4"/>
        <v>1238.9333333333334</v>
      </c>
      <c r="L4" s="10">
        <v>1550</v>
      </c>
      <c r="M4" s="10">
        <f t="shared" si="5"/>
        <v>4326.3999999999996</v>
      </c>
      <c r="N4" s="10">
        <f t="shared" si="1"/>
        <v>-930.5333333333333</v>
      </c>
      <c r="O4" s="10">
        <f t="shared" si="2"/>
        <v>-3087.4666666666662</v>
      </c>
      <c r="P4" s="10">
        <f t="shared" si="3"/>
        <v>16912.533333333333</v>
      </c>
      <c r="Q4" s="11">
        <v>80</v>
      </c>
      <c r="R4" s="11">
        <v>8</v>
      </c>
      <c r="S4" s="5"/>
    </row>
    <row r="5" spans="1:19">
      <c r="A5" s="12">
        <v>1</v>
      </c>
      <c r="B5" s="11" t="s">
        <v>93</v>
      </c>
      <c r="C5" s="11">
        <v>4</v>
      </c>
      <c r="D5" s="10">
        <v>0</v>
      </c>
      <c r="E5" s="10">
        <v>110</v>
      </c>
      <c r="F5" s="40">
        <f>IF(C5&gt;=1,VLOOKUP(R4+MAX(0,R5-R4-C5)+0,药材收益口径!$H$2:$I$222,2,FALSE),0)+IF(C5&gt;=2,VLOOKUP(R4+MAX(0,R5-R4-C5)+1,药材收益口径!$H$2:$I$222,2,FALSE),0)+IF(C5&gt;=3,VLOOKUP(R4+MAX(0,R5-R4-C5)+2,药材收益口径!$H$2:$I$222,2,FALSE),0)+IF(C5&gt;=4,VLOOKUP(R4+MAX(0,R5-R4-C5)+3,药材收益口径!$H$2:$I$222,2,FALSE),0)</f>
        <v>227.41666666666669</v>
      </c>
      <c r="G5" s="10">
        <v>460.8</v>
      </c>
      <c r="H5" s="10">
        <v>0</v>
      </c>
      <c r="I5" s="10">
        <v>0</v>
      </c>
      <c r="J5" s="10">
        <f t="shared" si="0"/>
        <v>798.2166666666667</v>
      </c>
      <c r="K5" s="10">
        <f t="shared" si="4"/>
        <v>2037.15</v>
      </c>
      <c r="L5" s="10">
        <v>3376.4</v>
      </c>
      <c r="M5" s="10">
        <f t="shared" si="5"/>
        <v>7702.7999999999993</v>
      </c>
      <c r="N5" s="10">
        <f t="shared" si="1"/>
        <v>-2578.1833333333334</v>
      </c>
      <c r="O5" s="10">
        <f t="shared" si="2"/>
        <v>-5665.65</v>
      </c>
      <c r="P5" s="10">
        <f t="shared" si="3"/>
        <v>14334.35</v>
      </c>
      <c r="Q5" s="11">
        <v>120</v>
      </c>
      <c r="R5" s="11">
        <v>12</v>
      </c>
      <c r="S5" s="5"/>
    </row>
    <row r="6" spans="1:19">
      <c r="A6" s="12">
        <v>1</v>
      </c>
      <c r="B6" s="11" t="s">
        <v>94</v>
      </c>
      <c r="C6" s="11">
        <v>4</v>
      </c>
      <c r="D6" s="10">
        <v>0</v>
      </c>
      <c r="E6" s="10">
        <v>200</v>
      </c>
      <c r="F6" s="40">
        <f>IF(C6&gt;=1,VLOOKUP(R5+MAX(0,R6-R5-C6)+0,药材收益口径!$H$2:$I$222,2,FALSE),0)+IF(C6&gt;=2,VLOOKUP(R5+MAX(0,R6-R5-C6)+1,药材收益口径!$H$2:$I$222,2,FALSE),0)+IF(C6&gt;=3,VLOOKUP(R5+MAX(0,R6-R5-C6)+2,药材收益口径!$H$2:$I$222,2,FALSE),0)+IF(C6&gt;=4,VLOOKUP(R5+MAX(0,R6-R5-C6)+3,药材收益口径!$H$2:$I$222,2,FALSE),0)</f>
        <v>261.10000000000002</v>
      </c>
      <c r="G6" s="10">
        <v>460.8</v>
      </c>
      <c r="H6" s="10">
        <v>0</v>
      </c>
      <c r="I6" s="10">
        <v>0</v>
      </c>
      <c r="J6" s="10">
        <f t="shared" si="0"/>
        <v>921.90000000000009</v>
      </c>
      <c r="K6" s="10">
        <f t="shared" si="4"/>
        <v>2959.05</v>
      </c>
      <c r="L6" s="10">
        <v>3550</v>
      </c>
      <c r="M6" s="10">
        <f t="shared" si="5"/>
        <v>11252.8</v>
      </c>
      <c r="N6" s="10">
        <f t="shared" si="1"/>
        <v>-2628.1</v>
      </c>
      <c r="O6" s="10">
        <f t="shared" si="2"/>
        <v>-8293.75</v>
      </c>
      <c r="P6" s="10">
        <f t="shared" si="3"/>
        <v>11706.25</v>
      </c>
      <c r="Q6" s="11">
        <v>160</v>
      </c>
      <c r="R6" s="11">
        <v>16</v>
      </c>
      <c r="S6" s="5"/>
    </row>
    <row r="7" spans="1:19">
      <c r="A7" s="12">
        <v>1</v>
      </c>
      <c r="B7" s="11" t="s">
        <v>95</v>
      </c>
      <c r="C7" s="11">
        <v>4</v>
      </c>
      <c r="D7" s="10">
        <v>0</v>
      </c>
      <c r="E7" s="10">
        <v>200</v>
      </c>
      <c r="F7" s="40">
        <f>IF(C7&gt;=1,VLOOKUP(R6+MAX(0,R7-R6-C7)+0,药材收益口径!$H$2:$I$222,2,FALSE),0)+IF(C7&gt;=2,VLOOKUP(R6+MAX(0,R7-R6-C7)+1,药材收益口径!$H$2:$I$222,2,FALSE),0)+IF(C7&gt;=3,VLOOKUP(R6+MAX(0,R7-R6-C7)+2,药材收益口径!$H$2:$I$222,2,FALSE),0)+IF(C7&gt;=4,VLOOKUP(R6+MAX(0,R7-R6-C7)+3,药材收益口径!$H$2:$I$222,2,FALSE),0)</f>
        <v>241.98333333333332</v>
      </c>
      <c r="G7" s="10">
        <v>460.8</v>
      </c>
      <c r="H7" s="10">
        <v>0</v>
      </c>
      <c r="I7" s="10">
        <v>1000</v>
      </c>
      <c r="J7" s="10">
        <f t="shared" si="0"/>
        <v>1902.7833333333333</v>
      </c>
      <c r="K7" s="10">
        <f t="shared" si="4"/>
        <v>4861.8333333333339</v>
      </c>
      <c r="L7" s="10">
        <v>2776.4</v>
      </c>
      <c r="M7" s="10">
        <f t="shared" si="5"/>
        <v>14029.199999999999</v>
      </c>
      <c r="N7" s="10">
        <f t="shared" si="1"/>
        <v>-873.61666666666679</v>
      </c>
      <c r="O7" s="10">
        <f t="shared" si="2"/>
        <v>-9167.366666666665</v>
      </c>
      <c r="P7" s="10">
        <f t="shared" si="3"/>
        <v>10832.633333333335</v>
      </c>
      <c r="Q7" s="11">
        <v>200</v>
      </c>
      <c r="R7" s="11">
        <v>20</v>
      </c>
      <c r="S7" s="5" t="s">
        <v>99</v>
      </c>
    </row>
    <row r="8" spans="1:19">
      <c r="A8" s="12">
        <v>1</v>
      </c>
      <c r="B8" s="11" t="s">
        <v>96</v>
      </c>
      <c r="C8" s="11">
        <v>4</v>
      </c>
      <c r="D8" s="10">
        <v>0</v>
      </c>
      <c r="E8" s="10">
        <v>200</v>
      </c>
      <c r="F8" s="40">
        <f>IF(C8&gt;=1,VLOOKUP(R7+MAX(0,R8-R7-C8)+0,药材收益口径!$H$2:$I$222,2,FALSE),0)+IF(C8&gt;=2,VLOOKUP(R7+MAX(0,R8-R7-C8)+1,药材收益口径!$H$2:$I$222,2,FALSE),0)+IF(C8&gt;=3,VLOOKUP(R7+MAX(0,R8-R7-C8)+2,药材收益口径!$H$2:$I$222,2,FALSE),0)+IF(C8&gt;=4,VLOOKUP(R7+MAX(0,R8-R7-C8)+3,药材收益口径!$H$2:$I$222,2,FALSE),0)</f>
        <v>243.0625</v>
      </c>
      <c r="G8" s="10">
        <v>460.8</v>
      </c>
      <c r="H8" s="10">
        <v>0</v>
      </c>
      <c r="I8" s="10">
        <v>0</v>
      </c>
      <c r="J8" s="10">
        <f t="shared" si="0"/>
        <v>903.86249999999995</v>
      </c>
      <c r="K8" s="10">
        <f t="shared" si="4"/>
        <v>5765.6958333333341</v>
      </c>
      <c r="L8" s="10">
        <v>2650</v>
      </c>
      <c r="M8" s="10">
        <f t="shared" si="5"/>
        <v>16679.199999999997</v>
      </c>
      <c r="N8" s="10">
        <f t="shared" si="1"/>
        <v>-1746.1375</v>
      </c>
      <c r="O8" s="10">
        <f t="shared" si="2"/>
        <v>-10913.504166666662</v>
      </c>
      <c r="P8" s="10">
        <f t="shared" si="3"/>
        <v>9086.4958333333379</v>
      </c>
      <c r="Q8" s="11">
        <v>240</v>
      </c>
      <c r="R8" s="11">
        <v>24</v>
      </c>
      <c r="S8" s="5"/>
    </row>
    <row r="9" spans="1:19">
      <c r="A9" s="12">
        <v>1</v>
      </c>
      <c r="B9" s="11" t="s">
        <v>97</v>
      </c>
      <c r="C9" s="11">
        <v>4</v>
      </c>
      <c r="D9" s="10">
        <v>0</v>
      </c>
      <c r="E9" s="10">
        <v>200</v>
      </c>
      <c r="F9" s="40">
        <f>IF(C9&gt;=1,VLOOKUP(R8+MAX(0,R9-R8-C9)+0,药材收益口径!$H$2:$I$222,2,FALSE),0)+IF(C9&gt;=2,VLOOKUP(R8+MAX(0,R9-R8-C9)+1,药材收益口径!$H$2:$I$222,2,FALSE),0)+IF(C9&gt;=3,VLOOKUP(R8+MAX(0,R9-R8-C9)+2,药材收益口径!$H$2:$I$222,2,FALSE),0)+IF(C9&gt;=4,VLOOKUP(R8+MAX(0,R9-R8-C9)+3,药材收益口径!$H$2:$I$222,2,FALSE),0)</f>
        <v>432.66856060606062</v>
      </c>
      <c r="G9" s="10">
        <v>460.8</v>
      </c>
      <c r="H9" s="10">
        <v>0</v>
      </c>
      <c r="I9" s="10">
        <v>0</v>
      </c>
      <c r="J9" s="10">
        <f t="shared" si="0"/>
        <v>1093.4685606060607</v>
      </c>
      <c r="K9" s="10">
        <f t="shared" si="4"/>
        <v>6859.1643939393944</v>
      </c>
      <c r="L9" s="10">
        <v>3676.4</v>
      </c>
      <c r="M9" s="10">
        <f t="shared" si="5"/>
        <v>20355.599999999999</v>
      </c>
      <c r="N9" s="10">
        <f t="shared" si="1"/>
        <v>-2582.9314393939394</v>
      </c>
      <c r="O9" s="10">
        <f t="shared" si="2"/>
        <v>-13496.435606060604</v>
      </c>
      <c r="P9" s="10">
        <f t="shared" si="3"/>
        <v>6503.5643939393958</v>
      </c>
      <c r="Q9" s="11">
        <v>280</v>
      </c>
      <c r="R9" s="11">
        <v>28</v>
      </c>
      <c r="S9" s="5"/>
    </row>
    <row r="10" spans="1:19">
      <c r="A10" s="12">
        <v>1</v>
      </c>
      <c r="B10" s="11" t="s">
        <v>98</v>
      </c>
      <c r="C10" s="11">
        <v>4</v>
      </c>
      <c r="D10" s="10">
        <v>0</v>
      </c>
      <c r="E10" s="10">
        <v>350</v>
      </c>
      <c r="F10" s="40">
        <f>IF(C10&gt;=1,VLOOKUP(R9+MAX(0,R10-R9-C10)+0,药材收益口径!$H$2:$I$222,2,FALSE),0)+IF(C10&gt;=2,VLOOKUP(R9+MAX(0,R10-R9-C10)+1,药材收益口径!$H$2:$I$222,2,FALSE),0)+IF(C10&gt;=3,VLOOKUP(R9+MAX(0,R10-R9-C10)+2,药材收益口径!$H$2:$I$222,2,FALSE),0)+IF(C10&gt;=4,VLOOKUP(R9+MAX(0,R10-R9-C10)+3,药材收益口径!$H$2:$I$222,2,FALSE),0)</f>
        <v>430.92307692307691</v>
      </c>
      <c r="G10" s="10">
        <v>460.8</v>
      </c>
      <c r="H10" s="10">
        <v>0</v>
      </c>
      <c r="I10" s="10">
        <v>0</v>
      </c>
      <c r="J10" s="10">
        <f t="shared" si="0"/>
        <v>1241.7230769230769</v>
      </c>
      <c r="K10" s="10">
        <f t="shared" si="4"/>
        <v>8100.8874708624717</v>
      </c>
      <c r="L10" s="10">
        <v>2450</v>
      </c>
      <c r="M10" s="10">
        <f t="shared" si="5"/>
        <v>22805.599999999999</v>
      </c>
      <c r="N10" s="10">
        <f t="shared" si="1"/>
        <v>-1208.2769230769231</v>
      </c>
      <c r="O10" s="10">
        <f t="shared" si="2"/>
        <v>-14704.712529137527</v>
      </c>
      <c r="P10" s="10">
        <f t="shared" si="3"/>
        <v>5295.2874708624731</v>
      </c>
      <c r="Q10" s="11">
        <v>320</v>
      </c>
      <c r="R10" s="11">
        <v>32</v>
      </c>
      <c r="S10" s="5"/>
    </row>
    <row r="11" spans="1:19">
      <c r="A11" s="12">
        <v>1</v>
      </c>
      <c r="B11" s="11" t="s">
        <v>100</v>
      </c>
      <c r="C11" s="11">
        <v>4</v>
      </c>
      <c r="D11" s="10">
        <v>0</v>
      </c>
      <c r="E11" s="10">
        <v>800</v>
      </c>
      <c r="F11" s="40">
        <f>IF(C11&gt;=1,VLOOKUP(R10+MAX(0,R11-R10-C11)+0,药材收益口径!$H$2:$I$222,2,FALSE),0)+IF(C11&gt;=2,VLOOKUP(R10+MAX(0,R11-R10-C11)+1,药材收益口径!$H$2:$I$222,2,FALSE),0)+IF(C11&gt;=3,VLOOKUP(R10+MAX(0,R11-R10-C11)+2,药材收益口径!$H$2:$I$222,2,FALSE),0)+IF(C11&gt;=4,VLOOKUP(R10+MAX(0,R11-R10-C11)+3,药材收益口径!$H$2:$I$222,2,FALSE),0)</f>
        <v>424.33076923076919</v>
      </c>
      <c r="G11" s="10">
        <v>460.8</v>
      </c>
      <c r="H11" s="10">
        <v>0</v>
      </c>
      <c r="I11" s="10">
        <v>0</v>
      </c>
      <c r="J11" s="10">
        <f t="shared" si="0"/>
        <v>1685.1307692307691</v>
      </c>
      <c r="K11" s="10">
        <f t="shared" si="4"/>
        <v>9786.0182400932408</v>
      </c>
      <c r="L11" s="10">
        <v>3676.4</v>
      </c>
      <c r="M11" s="10">
        <f t="shared" si="5"/>
        <v>26482</v>
      </c>
      <c r="N11" s="10">
        <f t="shared" si="1"/>
        <v>-1991.2692307692309</v>
      </c>
      <c r="O11" s="10">
        <f t="shared" si="2"/>
        <v>-16695.981759906761</v>
      </c>
      <c r="P11" s="10">
        <f t="shared" si="3"/>
        <v>3304.018240093239</v>
      </c>
      <c r="Q11" s="11">
        <v>360</v>
      </c>
      <c r="R11" s="11">
        <v>36</v>
      </c>
      <c r="S11" s="5"/>
    </row>
    <row r="12" spans="1:19">
      <c r="A12" s="12">
        <v>1</v>
      </c>
      <c r="B12" s="11" t="s">
        <v>101</v>
      </c>
      <c r="C12" s="11">
        <v>4</v>
      </c>
      <c r="D12" s="10">
        <v>0</v>
      </c>
      <c r="E12" s="10">
        <v>800</v>
      </c>
      <c r="F12" s="40">
        <f>IF(C12&gt;=1,VLOOKUP(R11+MAX(0,R12-R11-C12)+0,药材收益口径!$H$2:$I$222,2,FALSE),0)+IF(C12&gt;=2,VLOOKUP(R11+MAX(0,R12-R11-C12)+1,药材收益口径!$H$2:$I$222,2,FALSE),0)+IF(C12&gt;=3,VLOOKUP(R11+MAX(0,R12-R11-C12)+2,药材收益口径!$H$2:$I$222,2,FALSE),0)+IF(C12&gt;=4,VLOOKUP(R11+MAX(0,R12-R11-C12)+3,药材收益口径!$H$2:$I$222,2,FALSE),0)</f>
        <v>417.40625</v>
      </c>
      <c r="G12" s="10">
        <v>460.8</v>
      </c>
      <c r="H12" s="10">
        <v>0</v>
      </c>
      <c r="I12" s="10">
        <v>0</v>
      </c>
      <c r="J12" s="10">
        <f t="shared" si="0"/>
        <v>1678.20625</v>
      </c>
      <c r="K12" s="10">
        <f t="shared" si="4"/>
        <v>11464.22449009324</v>
      </c>
      <c r="L12" s="10">
        <v>2450</v>
      </c>
      <c r="M12" s="10">
        <f t="shared" si="5"/>
        <v>28932</v>
      </c>
      <c r="N12" s="10">
        <f t="shared" si="1"/>
        <v>-771.79375000000005</v>
      </c>
      <c r="O12" s="10">
        <f t="shared" si="2"/>
        <v>-17467.775509906758</v>
      </c>
      <c r="P12" s="10">
        <f t="shared" si="3"/>
        <v>2532.2244900932419</v>
      </c>
      <c r="Q12" s="11">
        <v>400</v>
      </c>
      <c r="R12" s="11">
        <v>40</v>
      </c>
      <c r="S12" s="5"/>
    </row>
    <row r="13" spans="1:19">
      <c r="A13" s="12">
        <v>1</v>
      </c>
      <c r="B13" s="11" t="s">
        <v>102</v>
      </c>
      <c r="C13" s="11">
        <v>4</v>
      </c>
      <c r="D13" s="10">
        <v>0</v>
      </c>
      <c r="E13" s="10">
        <v>800</v>
      </c>
      <c r="F13" s="40">
        <f>IF(C13&gt;=1,VLOOKUP(R12+MAX(0,R13-R12-C13)+0,药材收益口径!$H$2:$I$222,2,FALSE),0)+IF(C13&gt;=2,VLOOKUP(R12+MAX(0,R13-R12-C13)+1,药材收益口径!$H$2:$I$222,2,FALSE),0)+IF(C13&gt;=3,VLOOKUP(R12+MAX(0,R13-R12-C13)+2,药材收益口径!$H$2:$I$222,2,FALSE),0)+IF(C13&gt;=4,VLOOKUP(R12+MAX(0,R13-R12-C13)+3,药材收益口径!$H$2:$I$222,2,FALSE),0)</f>
        <v>429.88888888888891</v>
      </c>
      <c r="G13" s="10">
        <v>460.8</v>
      </c>
      <c r="H13" s="10">
        <v>5000</v>
      </c>
      <c r="I13" s="19">
        <v>1000</v>
      </c>
      <c r="J13" s="19">
        <f t="shared" si="0"/>
        <v>7690.6888888888889</v>
      </c>
      <c r="K13" s="19">
        <f t="shared" si="4"/>
        <v>19154.913378982128</v>
      </c>
      <c r="L13" s="19">
        <v>3276.4</v>
      </c>
      <c r="M13" s="19">
        <f t="shared" si="5"/>
        <v>32208.400000000001</v>
      </c>
      <c r="N13" s="19">
        <f t="shared" si="1"/>
        <v>4414.2888888888883</v>
      </c>
      <c r="O13" s="19">
        <f t="shared" si="2"/>
        <v>-13053.486621017873</v>
      </c>
      <c r="P13" s="19">
        <f t="shared" si="3"/>
        <v>6946.5133789821266</v>
      </c>
      <c r="Q13" s="20">
        <v>440</v>
      </c>
      <c r="R13" s="20">
        <v>44</v>
      </c>
      <c r="S13" s="46" t="s">
        <v>113</v>
      </c>
    </row>
    <row r="14" spans="1:19">
      <c r="A14" s="12">
        <v>1</v>
      </c>
      <c r="B14" s="11" t="s">
        <v>103</v>
      </c>
      <c r="C14" s="11">
        <v>4</v>
      </c>
      <c r="D14" s="10">
        <v>0</v>
      </c>
      <c r="E14" s="10">
        <v>800</v>
      </c>
      <c r="F14" s="40">
        <f>IF(C14&gt;=1,VLOOKUP(R13+MAX(0,R14-R13-C14)+0,药材收益口径!$H$2:$I$222,2,FALSE),0)+IF(C14&gt;=2,VLOOKUP(R13+MAX(0,R14-R13-C14)+1,药材收益口径!$H$2:$I$222,2,FALSE),0)+IF(C14&gt;=3,VLOOKUP(R13+MAX(0,R14-R13-C14)+2,药材收益口径!$H$2:$I$222,2,FALSE),0)+IF(C14&gt;=4,VLOOKUP(R13+MAX(0,R14-R13-C14)+3,药材收益口径!$H$2:$I$222,2,FALSE),0)</f>
        <v>419.89473684210526</v>
      </c>
      <c r="G14" s="10">
        <v>460.8</v>
      </c>
      <c r="H14" s="10">
        <v>0</v>
      </c>
      <c r="I14" s="19">
        <v>1000</v>
      </c>
      <c r="J14" s="19">
        <f t="shared" si="0"/>
        <v>2680.6947368421052</v>
      </c>
      <c r="K14" s="19">
        <f t="shared" si="4"/>
        <v>21835.608115824234</v>
      </c>
      <c r="L14" s="19">
        <v>2650</v>
      </c>
      <c r="M14" s="19">
        <f t="shared" si="5"/>
        <v>34858.400000000001</v>
      </c>
      <c r="N14" s="19">
        <f t="shared" si="1"/>
        <v>30.694736842105158</v>
      </c>
      <c r="O14" s="19">
        <f t="shared" si="2"/>
        <v>-13022.791884175767</v>
      </c>
      <c r="P14" s="19">
        <f t="shared" si="3"/>
        <v>6977.2081158242327</v>
      </c>
      <c r="Q14" s="20">
        <v>480</v>
      </c>
      <c r="R14" s="20">
        <v>48</v>
      </c>
      <c r="S14" s="46" t="s">
        <v>116</v>
      </c>
    </row>
    <row r="15" spans="1:19">
      <c r="A15" s="12">
        <v>1</v>
      </c>
      <c r="B15" s="11" t="s">
        <v>104</v>
      </c>
      <c r="C15" s="11">
        <v>4</v>
      </c>
      <c r="D15" s="10">
        <v>0</v>
      </c>
      <c r="E15" s="10">
        <v>800</v>
      </c>
      <c r="F15" s="40">
        <f>IF(C15&gt;=1,VLOOKUP(R14+MAX(0,R15-R14-C15)+0,药材收益口径!$H$2:$I$222,2,FALSE),0)+IF(C15&gt;=2,VLOOKUP(R14+MAX(0,R15-R14-C15)+1,药材收益口径!$H$2:$I$222,2,FALSE),0)+IF(C15&gt;=3,VLOOKUP(R14+MAX(0,R15-R14-C15)+2,药材收益口径!$H$2:$I$222,2,FALSE),0)+IF(C15&gt;=4,VLOOKUP(R14+MAX(0,R15-R14-C15)+3,药材收益口径!$H$2:$I$222,2,FALSE),0)</f>
        <v>485.31807359307356</v>
      </c>
      <c r="G15" s="10">
        <v>460.8</v>
      </c>
      <c r="H15" s="10">
        <v>0</v>
      </c>
      <c r="I15" s="10">
        <v>0</v>
      </c>
      <c r="J15" s="10">
        <f t="shared" si="0"/>
        <v>1746.1180735930736</v>
      </c>
      <c r="K15" s="10">
        <f t="shared" si="4"/>
        <v>23581.726189417306</v>
      </c>
      <c r="L15" s="10">
        <v>4776.3999999999996</v>
      </c>
      <c r="M15" s="10">
        <f t="shared" si="5"/>
        <v>39634.800000000003</v>
      </c>
      <c r="N15" s="10">
        <f t="shared" si="1"/>
        <v>-3030.2819264069258</v>
      </c>
      <c r="O15" s="10">
        <f t="shared" si="2"/>
        <v>-16053.073810582697</v>
      </c>
      <c r="P15" s="10">
        <f t="shared" si="3"/>
        <v>3946.9261894173032</v>
      </c>
      <c r="Q15" s="11">
        <v>520</v>
      </c>
      <c r="R15" s="11">
        <v>52</v>
      </c>
      <c r="S15" s="5"/>
    </row>
    <row r="16" spans="1:19">
      <c r="A16" s="12">
        <v>1</v>
      </c>
      <c r="B16" s="11" t="s">
        <v>105</v>
      </c>
      <c r="C16" s="11">
        <v>4</v>
      </c>
      <c r="D16" s="10">
        <v>0</v>
      </c>
      <c r="E16" s="10">
        <v>800</v>
      </c>
      <c r="F16" s="40">
        <f>IF(C16&gt;=1,VLOOKUP(R15+MAX(0,R16-R15-C16)+0,药材收益口径!$H$2:$I$222,2,FALSE),0)+IF(C16&gt;=2,VLOOKUP(R15+MAX(0,R16-R15-C16)+1,药材收益口径!$H$2:$I$222,2,FALSE),0)+IF(C16&gt;=3,VLOOKUP(R15+MAX(0,R16-R15-C16)+2,药材收益口径!$H$2:$I$222,2,FALSE),0)+IF(C16&gt;=4,VLOOKUP(R15+MAX(0,R16-R15-C16)+3,药材收益口径!$H$2:$I$222,2,FALSE),0)</f>
        <v>473.91394927536231</v>
      </c>
      <c r="G16" s="10">
        <v>460.8</v>
      </c>
      <c r="H16" s="10">
        <v>0</v>
      </c>
      <c r="I16" s="19">
        <v>1000</v>
      </c>
      <c r="J16" s="19">
        <f t="shared" si="0"/>
        <v>2734.7139492753622</v>
      </c>
      <c r="K16" s="19">
        <f t="shared" si="4"/>
        <v>26316.440138692669</v>
      </c>
      <c r="L16" s="19">
        <v>1550</v>
      </c>
      <c r="M16" s="19">
        <f t="shared" si="5"/>
        <v>41184.800000000003</v>
      </c>
      <c r="N16" s="19">
        <f t="shared" si="1"/>
        <v>1184.7139492753622</v>
      </c>
      <c r="O16" s="19">
        <f t="shared" si="2"/>
        <v>-14868.359861307334</v>
      </c>
      <c r="P16" s="19">
        <f t="shared" si="3"/>
        <v>5131.6401386926664</v>
      </c>
      <c r="Q16" s="20">
        <v>1560</v>
      </c>
      <c r="R16" s="20">
        <v>56</v>
      </c>
      <c r="S16" s="46" t="s">
        <v>120</v>
      </c>
    </row>
    <row r="17" spans="1:19">
      <c r="A17" s="12">
        <v>1</v>
      </c>
      <c r="B17" s="11" t="s">
        <v>106</v>
      </c>
      <c r="C17" s="11">
        <v>4</v>
      </c>
      <c r="D17" s="10">
        <v>0</v>
      </c>
      <c r="E17" s="10">
        <v>2000</v>
      </c>
      <c r="F17" s="40">
        <f>IF(C17&gt;=1,VLOOKUP(R16+MAX(0,R17-R16-C17)+0,药材收益口径!$H$2:$I$222,2,FALSE),0)+IF(C17&gt;=2,VLOOKUP(R16+MAX(0,R17-R16-C17)+1,药材收益口径!$H$2:$I$222,2,FALSE),0)+IF(C17&gt;=3,VLOOKUP(R16+MAX(0,R17-R16-C17)+2,药材收益口径!$H$2:$I$222,2,FALSE),0)+IF(C17&gt;=4,VLOOKUP(R16+MAX(0,R17-R16-C17)+3,药材收益口径!$H$2:$I$222,2,FALSE),0)</f>
        <v>468.78571428571428</v>
      </c>
      <c r="G17" s="10">
        <v>460.8</v>
      </c>
      <c r="H17" s="10">
        <v>0</v>
      </c>
      <c r="I17" s="19">
        <v>0</v>
      </c>
      <c r="J17" s="19">
        <f t="shared" si="0"/>
        <v>2929.5857142857144</v>
      </c>
      <c r="K17" s="19">
        <f t="shared" si="4"/>
        <v>29246.025852978382</v>
      </c>
      <c r="L17" s="19">
        <v>3376.4</v>
      </c>
      <c r="M17" s="19">
        <f t="shared" si="5"/>
        <v>44561.200000000004</v>
      </c>
      <c r="N17" s="19">
        <f t="shared" si="1"/>
        <v>-446.81428571428569</v>
      </c>
      <c r="O17" s="19">
        <f t="shared" si="2"/>
        <v>-15315.174147021622</v>
      </c>
      <c r="P17" s="19">
        <f t="shared" si="3"/>
        <v>4684.825852978378</v>
      </c>
      <c r="Q17" s="20">
        <v>1600</v>
      </c>
      <c r="R17" s="20">
        <v>67</v>
      </c>
      <c r="S17" s="46" t="s">
        <v>121</v>
      </c>
    </row>
    <row r="18" spans="1:19">
      <c r="A18" s="12">
        <v>1</v>
      </c>
      <c r="B18" s="11" t="s">
        <v>107</v>
      </c>
      <c r="C18" s="11">
        <v>4</v>
      </c>
      <c r="D18" s="10">
        <v>0</v>
      </c>
      <c r="E18" s="10">
        <v>2000</v>
      </c>
      <c r="F18" s="40">
        <f>IF(C18&gt;=1,VLOOKUP(R17+MAX(0,R18-R17-C18)+0,药材收益口径!$H$2:$I$222,2,FALSE),0)+IF(C18&gt;=2,VLOOKUP(R17+MAX(0,R18-R17-C18)+1,药材收益口径!$H$2:$I$222,2,FALSE),0)+IF(C18&gt;=3,VLOOKUP(R17+MAX(0,R18-R17-C18)+2,药材收益口径!$H$2:$I$222,2,FALSE),0)+IF(C18&gt;=4,VLOOKUP(R17+MAX(0,R18-R17-C18)+3,药材收益口径!$H$2:$I$222,2,FALSE),0)</f>
        <v>497.17241379310343</v>
      </c>
      <c r="G18" s="10">
        <v>460.8</v>
      </c>
      <c r="H18" s="10">
        <v>0</v>
      </c>
      <c r="I18" s="10">
        <v>0</v>
      </c>
      <c r="J18" s="10">
        <f t="shared" si="0"/>
        <v>2957.9724137931034</v>
      </c>
      <c r="K18" s="10">
        <f t="shared" si="4"/>
        <v>32203.998266771487</v>
      </c>
      <c r="L18" s="10">
        <v>1550</v>
      </c>
      <c r="M18" s="10">
        <f t="shared" si="5"/>
        <v>46111.200000000004</v>
      </c>
      <c r="N18" s="10">
        <f t="shared" si="1"/>
        <v>1407.9724137931034</v>
      </c>
      <c r="O18" s="10">
        <f t="shared" si="2"/>
        <v>-13907.201733228518</v>
      </c>
      <c r="P18" s="10">
        <f t="shared" si="3"/>
        <v>6092.7982667714823</v>
      </c>
      <c r="Q18" s="11">
        <v>1640</v>
      </c>
      <c r="R18" s="11">
        <v>71</v>
      </c>
      <c r="S18" s="5"/>
    </row>
    <row r="19" spans="1:19">
      <c r="A19" s="12">
        <v>1</v>
      </c>
      <c r="B19" s="11" t="s">
        <v>108</v>
      </c>
      <c r="C19" s="11">
        <v>4</v>
      </c>
      <c r="D19" s="10">
        <v>0</v>
      </c>
      <c r="E19" s="10">
        <v>2000</v>
      </c>
      <c r="F19" s="40">
        <f>IF(C19&gt;=1,VLOOKUP(R18+MAX(0,R19-R18-C19)+0,药材收益口径!$H$2:$I$222,2,FALSE),0)+IF(C19&gt;=2,VLOOKUP(R18+MAX(0,R19-R18-C19)+1,药材收益口径!$H$2:$I$222,2,FALSE),0)+IF(C19&gt;=3,VLOOKUP(R18+MAX(0,R19-R18-C19)+2,药材收益口径!$H$2:$I$222,2,FALSE),0)+IF(C19&gt;=4,VLOOKUP(R18+MAX(0,R19-R18-C19)+3,药材收益口径!$H$2:$I$222,2,FALSE),0)</f>
        <v>490.72858731924356</v>
      </c>
      <c r="G19" s="10">
        <v>460.8</v>
      </c>
      <c r="H19" s="10">
        <v>15000</v>
      </c>
      <c r="I19" s="10">
        <v>0</v>
      </c>
      <c r="J19" s="10">
        <f t="shared" si="0"/>
        <v>17951.528587319244</v>
      </c>
      <c r="K19" s="10">
        <f t="shared" si="4"/>
        <v>50155.526854090727</v>
      </c>
      <c r="L19" s="10">
        <v>4276.3999999999996</v>
      </c>
      <c r="M19" s="10">
        <f t="shared" si="5"/>
        <v>50387.600000000006</v>
      </c>
      <c r="N19" s="10">
        <f t="shared" si="1"/>
        <v>13675.128587319245</v>
      </c>
      <c r="O19" s="10">
        <f t="shared" si="2"/>
        <v>-232.07314590927854</v>
      </c>
      <c r="P19" s="10">
        <f t="shared" si="3"/>
        <v>19767.926854090721</v>
      </c>
      <c r="Q19" s="11">
        <v>1680</v>
      </c>
      <c r="R19" s="11">
        <v>75</v>
      </c>
      <c r="S19" s="5"/>
    </row>
    <row r="20" spans="1:19">
      <c r="A20" s="12">
        <v>1</v>
      </c>
      <c r="B20" s="11" t="s">
        <v>109</v>
      </c>
      <c r="C20" s="11">
        <v>4</v>
      </c>
      <c r="D20" s="10">
        <v>0</v>
      </c>
      <c r="E20" s="10">
        <v>2000</v>
      </c>
      <c r="F20" s="40">
        <f>IF(C20&gt;=1,VLOOKUP(R19+MAX(0,R20-R19-C20)+0,药材收益口径!$H$2:$I$222,2,FALSE),0)+IF(C20&gt;=2,VLOOKUP(R19+MAX(0,R20-R19-C20)+1,药材收益口径!$H$2:$I$222,2,FALSE),0)+IF(C20&gt;=3,VLOOKUP(R19+MAX(0,R20-R19-C20)+2,药材收益口径!$H$2:$I$222,2,FALSE),0)+IF(C20&gt;=4,VLOOKUP(R19+MAX(0,R20-R19-C20)+3,药材收益口径!$H$2:$I$222,2,FALSE),0)</f>
        <v>576.99401180926918</v>
      </c>
      <c r="G20" s="10">
        <v>460.8</v>
      </c>
      <c r="H20" s="10">
        <v>0</v>
      </c>
      <c r="I20" s="10">
        <v>0</v>
      </c>
      <c r="J20" s="10">
        <f t="shared" si="0"/>
        <v>3037.7940118092693</v>
      </c>
      <c r="K20" s="10">
        <f t="shared" si="4"/>
        <v>53193.320865899994</v>
      </c>
      <c r="L20" s="10">
        <v>4750</v>
      </c>
      <c r="M20" s="10">
        <f t="shared" si="5"/>
        <v>55137.600000000006</v>
      </c>
      <c r="N20" s="10">
        <f t="shared" si="1"/>
        <v>-1712.2059881907307</v>
      </c>
      <c r="O20" s="10">
        <f t="shared" si="2"/>
        <v>-1944.279134100012</v>
      </c>
      <c r="P20" s="10">
        <f t="shared" si="3"/>
        <v>18055.720865899988</v>
      </c>
      <c r="Q20" s="11">
        <v>1720</v>
      </c>
      <c r="R20" s="11">
        <v>79</v>
      </c>
      <c r="S20" s="5"/>
    </row>
    <row r="21" spans="1:19">
      <c r="A21" s="12">
        <v>1</v>
      </c>
      <c r="B21" s="11" t="s">
        <v>110</v>
      </c>
      <c r="C21" s="11">
        <v>4</v>
      </c>
      <c r="D21" s="10">
        <v>0</v>
      </c>
      <c r="E21" s="10">
        <v>2000</v>
      </c>
      <c r="F21" s="40">
        <f>IF(C21&gt;=1,VLOOKUP(R20+MAX(0,R21-R20-C21)+0,药材收益口径!$H$2:$I$222,2,FALSE),0)+IF(C21&gt;=2,VLOOKUP(R20+MAX(0,R21-R20-C21)+1,药材收益口径!$H$2:$I$222,2,FALSE),0)+IF(C21&gt;=3,VLOOKUP(R20+MAX(0,R21-R20-C21)+2,药材收益口径!$H$2:$I$222,2,FALSE),0)+IF(C21&gt;=4,VLOOKUP(R20+MAX(0,R21-R20-C21)+3,药材收益口径!$H$2:$I$222,2,FALSE),0)</f>
        <v>594.84789915966394</v>
      </c>
      <c r="G21" s="10">
        <v>460.8</v>
      </c>
      <c r="H21" s="10">
        <v>0</v>
      </c>
      <c r="I21" s="10">
        <v>0</v>
      </c>
      <c r="J21" s="10">
        <f t="shared" si="0"/>
        <v>3055.6478991596641</v>
      </c>
      <c r="K21" s="10">
        <f t="shared" si="4"/>
        <v>56248.968765059661</v>
      </c>
      <c r="L21" s="10">
        <v>2776.4</v>
      </c>
      <c r="M21" s="10">
        <f t="shared" si="5"/>
        <v>57914.000000000007</v>
      </c>
      <c r="N21" s="10">
        <f t="shared" si="1"/>
        <v>279.24789915966403</v>
      </c>
      <c r="O21" s="10">
        <f t="shared" si="2"/>
        <v>-1665.0312349403466</v>
      </c>
      <c r="P21" s="10">
        <f t="shared" si="3"/>
        <v>18334.968765059653</v>
      </c>
      <c r="Q21" s="11">
        <v>1760</v>
      </c>
      <c r="R21" s="11">
        <v>83</v>
      </c>
      <c r="S21" s="5"/>
    </row>
    <row r="22" spans="1:19">
      <c r="A22" s="12">
        <v>1</v>
      </c>
      <c r="B22" s="11" t="s">
        <v>111</v>
      </c>
      <c r="C22" s="11">
        <v>4</v>
      </c>
      <c r="D22" s="10">
        <v>0</v>
      </c>
      <c r="E22" s="10">
        <v>2000</v>
      </c>
      <c r="F22" s="40">
        <f>IF(C22&gt;=1,VLOOKUP(R21+MAX(0,R22-R21-C22)+0,药材收益口径!$H$2:$I$222,2,FALSE),0)+IF(C22&gt;=2,VLOOKUP(R21+MAX(0,R22-R21-C22)+1,药材收益口径!$H$2:$I$222,2,FALSE),0)+IF(C22&gt;=3,VLOOKUP(R21+MAX(0,R22-R21-C22)+2,药材收益口径!$H$2:$I$222,2,FALSE),0)+IF(C22&gt;=4,VLOOKUP(R21+MAX(0,R22-R21-C22)+3,药材收益口径!$H$2:$I$222,2,FALSE),0)</f>
        <v>587.74612827112833</v>
      </c>
      <c r="G22" s="10">
        <v>460.8</v>
      </c>
      <c r="H22" s="10">
        <v>0</v>
      </c>
      <c r="I22" s="10">
        <v>0</v>
      </c>
      <c r="J22" s="10">
        <f t="shared" si="0"/>
        <v>3048.5461282711285</v>
      </c>
      <c r="K22" s="10">
        <f t="shared" si="4"/>
        <v>59297.514893330786</v>
      </c>
      <c r="L22" s="10">
        <v>1550</v>
      </c>
      <c r="M22" s="10">
        <f t="shared" si="5"/>
        <v>59464.000000000007</v>
      </c>
      <c r="N22" s="10">
        <f t="shared" si="1"/>
        <v>1498.5461282711285</v>
      </c>
      <c r="O22" s="10">
        <f t="shared" si="2"/>
        <v>-166.48510666922084</v>
      </c>
      <c r="P22" s="10">
        <f t="shared" si="3"/>
        <v>19833.514893330779</v>
      </c>
      <c r="Q22" s="11">
        <v>1800</v>
      </c>
      <c r="R22" s="11">
        <v>87</v>
      </c>
      <c r="S22" s="5"/>
    </row>
    <row r="23" spans="1:19">
      <c r="A23" s="12">
        <v>1</v>
      </c>
      <c r="B23" s="11" t="s">
        <v>112</v>
      </c>
      <c r="C23" s="11">
        <v>4</v>
      </c>
      <c r="D23" s="10">
        <v>0</v>
      </c>
      <c r="E23" s="10">
        <v>2000</v>
      </c>
      <c r="F23" s="40">
        <f>IF(C23&gt;=1,VLOOKUP(R22+MAX(0,R23-R22-C23)+0,药材收益口径!$H$2:$I$222,2,FALSE),0)+IF(C23&gt;=2,VLOOKUP(R22+MAX(0,R23-R22-C23)+1,药材收益口径!$H$2:$I$222,2,FALSE),0)+IF(C23&gt;=3,VLOOKUP(R22+MAX(0,R23-R22-C23)+2,药材收益口径!$H$2:$I$222,2,FALSE),0)+IF(C23&gt;=4,VLOOKUP(R22+MAX(0,R23-R22-C23)+3,药材收益口径!$H$2:$I$222,2,FALSE),0)</f>
        <v>573.40434766750559</v>
      </c>
      <c r="G23" s="10">
        <v>460.8</v>
      </c>
      <c r="H23" s="10">
        <v>0</v>
      </c>
      <c r="I23" s="10">
        <v>0</v>
      </c>
      <c r="J23" s="10">
        <f t="shared" si="0"/>
        <v>3034.2043476675058</v>
      </c>
      <c r="K23" s="10">
        <f t="shared" si="4"/>
        <v>62331.719240998289</v>
      </c>
      <c r="L23" s="10">
        <v>2776.4</v>
      </c>
      <c r="M23" s="10">
        <f t="shared" si="5"/>
        <v>62240.400000000009</v>
      </c>
      <c r="N23" s="10">
        <f t="shared" si="1"/>
        <v>257.80434766750568</v>
      </c>
      <c r="O23" s="10">
        <f t="shared" si="2"/>
        <v>91.319240998280293</v>
      </c>
      <c r="P23" s="10">
        <f t="shared" si="3"/>
        <v>20091.31924099828</v>
      </c>
      <c r="Q23" s="11">
        <v>1840</v>
      </c>
      <c r="R23" s="11">
        <v>91</v>
      </c>
      <c r="S23" s="5"/>
    </row>
    <row r="24" spans="1:19">
      <c r="A24" s="12">
        <v>1</v>
      </c>
      <c r="B24" s="11" t="s">
        <v>114</v>
      </c>
      <c r="C24" s="11">
        <v>4</v>
      </c>
      <c r="D24" s="10">
        <v>0</v>
      </c>
      <c r="E24" s="10">
        <v>2000</v>
      </c>
      <c r="F24" s="40">
        <f>IF(C24&gt;=1,VLOOKUP(R23+MAX(0,R24-R23-C24)+0,药材收益口径!$H$2:$I$222,2,FALSE),0)+IF(C24&gt;=2,VLOOKUP(R23+MAX(0,R24-R23-C24)+1,药材收益口径!$H$2:$I$222,2,FALSE),0)+IF(C24&gt;=3,VLOOKUP(R23+MAX(0,R24-R23-C24)+2,药材收益口径!$H$2:$I$222,2,FALSE),0)+IF(C24&gt;=4,VLOOKUP(R23+MAX(0,R24-R23-C24)+3,药材收益口径!$H$2:$I$222,2,FALSE),0)</f>
        <v>579.34544916465643</v>
      </c>
      <c r="G24" s="10">
        <v>460.8</v>
      </c>
      <c r="H24" s="10">
        <v>0</v>
      </c>
      <c r="I24" s="10">
        <v>0</v>
      </c>
      <c r="J24" s="10">
        <f t="shared" si="0"/>
        <v>3040.1454491646564</v>
      </c>
      <c r="K24" s="10">
        <f t="shared" si="4"/>
        <v>65371.864690162947</v>
      </c>
      <c r="L24" s="10">
        <v>1550</v>
      </c>
      <c r="M24" s="10">
        <f t="shared" si="5"/>
        <v>63790.400000000009</v>
      </c>
      <c r="N24" s="10">
        <f t="shared" si="1"/>
        <v>1490.1454491646564</v>
      </c>
      <c r="O24" s="10">
        <f t="shared" si="2"/>
        <v>1581.4646901629385</v>
      </c>
      <c r="P24" s="10">
        <f t="shared" si="3"/>
        <v>21581.464690162938</v>
      </c>
      <c r="Q24" s="11">
        <v>1880</v>
      </c>
      <c r="R24" s="11">
        <v>95</v>
      </c>
      <c r="S24" s="5"/>
    </row>
    <row r="25" spans="1:19">
      <c r="A25" s="12">
        <v>1</v>
      </c>
      <c r="B25" s="11" t="s">
        <v>115</v>
      </c>
      <c r="C25" s="11">
        <v>4</v>
      </c>
      <c r="D25" s="10">
        <v>0</v>
      </c>
      <c r="E25" s="10">
        <v>2000</v>
      </c>
      <c r="F25" s="40">
        <f>IF(C25&gt;=1,VLOOKUP(R24+MAX(0,R25-R24-C25)+0,药材收益口径!$H$2:$I$222,2,FALSE),0)+IF(C25&gt;=2,VLOOKUP(R24+MAX(0,R25-R24-C25)+1,药材收益口径!$H$2:$I$222,2,FALSE),0)+IF(C25&gt;=3,VLOOKUP(R24+MAX(0,R25-R24-C25)+2,药材收益口径!$H$2:$I$222,2,FALSE),0)+IF(C25&gt;=4,VLOOKUP(R24+MAX(0,R25-R24-C25)+3,药材收益口径!$H$2:$I$222,2,FALSE),0)</f>
        <v>577.66035353535358</v>
      </c>
      <c r="G25" s="10">
        <v>460.8</v>
      </c>
      <c r="H25" s="10">
        <v>0</v>
      </c>
      <c r="I25" s="10">
        <v>0</v>
      </c>
      <c r="J25" s="10">
        <f t="shared" si="0"/>
        <v>3038.4603535353535</v>
      </c>
      <c r="K25" s="10">
        <f t="shared" si="4"/>
        <v>68410.325043698307</v>
      </c>
      <c r="L25" s="10">
        <v>3376.4</v>
      </c>
      <c r="M25" s="10">
        <f t="shared" si="5"/>
        <v>67166.8</v>
      </c>
      <c r="N25" s="10">
        <f t="shared" si="1"/>
        <v>-337.93964646464656</v>
      </c>
      <c r="O25" s="10">
        <f t="shared" si="2"/>
        <v>1243.5250436983042</v>
      </c>
      <c r="P25" s="10">
        <f t="shared" si="3"/>
        <v>21243.525043698304</v>
      </c>
      <c r="Q25" s="11">
        <v>1920</v>
      </c>
      <c r="R25" s="11">
        <v>99</v>
      </c>
      <c r="S25" s="5"/>
    </row>
    <row r="26" spans="1:19" ht="15">
      <c r="A26" s="16">
        <v>2</v>
      </c>
      <c r="B26" s="17" t="s">
        <v>90</v>
      </c>
      <c r="C26" s="17">
        <v>4</v>
      </c>
      <c r="D26" s="18">
        <v>0</v>
      </c>
      <c r="E26" s="18">
        <v>2000</v>
      </c>
      <c r="F26" s="41">
        <f>IF(C26&gt;=1,VLOOKUP(R25+MAX(0,R26-R25-C26)+0,药材收益口径!$H$2:$I$222,2,FALSE),0)+IF(C26&gt;=2,VLOOKUP(R25+MAX(0,R26-R25-C26)+1,药材收益口径!$H$2:$I$222,2,FALSE),0)+IF(C26&gt;=3,VLOOKUP(R25+MAX(0,R26-R25-C26)+2,药材收益口径!$H$2:$I$222,2,FALSE),0)+IF(C26&gt;=4,VLOOKUP(R25+MAX(0,R26-R25-C26)+3,药材收益口径!$H$2:$I$222,2,FALSE),0)</f>
        <v>591.77777777777783</v>
      </c>
      <c r="G26" s="10">
        <v>460.8</v>
      </c>
      <c r="H26" s="18">
        <v>0</v>
      </c>
      <c r="I26" s="23">
        <v>2000</v>
      </c>
      <c r="J26" s="23">
        <f t="shared" si="0"/>
        <v>5052.5777777777785</v>
      </c>
      <c r="K26" s="23">
        <f t="shared" si="4"/>
        <v>73462.902821476091</v>
      </c>
      <c r="L26" s="23">
        <v>2650</v>
      </c>
      <c r="M26" s="23">
        <f t="shared" si="5"/>
        <v>69816.800000000003</v>
      </c>
      <c r="N26" s="23">
        <f t="shared" si="1"/>
        <v>2402.5777777777785</v>
      </c>
      <c r="O26" s="23">
        <f t="shared" si="2"/>
        <v>3646.1028214760881</v>
      </c>
      <c r="P26" s="23">
        <f t="shared" si="3"/>
        <v>23646.102821476088</v>
      </c>
      <c r="Q26" s="24">
        <v>1960</v>
      </c>
      <c r="R26" s="24">
        <v>103</v>
      </c>
      <c r="S26" s="49" t="s">
        <v>118</v>
      </c>
    </row>
    <row r="27" spans="1:19">
      <c r="A27" s="12">
        <v>2</v>
      </c>
      <c r="B27" s="11" t="s">
        <v>91</v>
      </c>
      <c r="C27" s="11">
        <v>4</v>
      </c>
      <c r="D27" s="10">
        <v>0</v>
      </c>
      <c r="E27" s="10">
        <v>2000</v>
      </c>
      <c r="F27" s="40">
        <f>IF(C27&gt;=1,VLOOKUP(R26+MAX(0,R27-R26-C27)+0,药材收益口径!$H$2:$I$222,2,FALSE),0)+IF(C27&gt;=2,VLOOKUP(R26+MAX(0,R27-R26-C27)+1,药材收益口径!$H$2:$I$222,2,FALSE),0)+IF(C27&gt;=3,VLOOKUP(R26+MAX(0,R27-R26-C27)+2,药材收益口径!$H$2:$I$222,2,FALSE),0)+IF(C27&gt;=4,VLOOKUP(R26+MAX(0,R27-R26-C27)+3,药材收益口径!$H$2:$I$222,2,FALSE),0)</f>
        <v>599.15420906567999</v>
      </c>
      <c r="G27" s="10">
        <v>460.8</v>
      </c>
      <c r="H27" s="10">
        <v>0</v>
      </c>
      <c r="I27" s="10">
        <v>0</v>
      </c>
      <c r="J27" s="10">
        <f t="shared" si="0"/>
        <v>3059.9542090656801</v>
      </c>
      <c r="K27" s="10">
        <f t="shared" si="4"/>
        <v>76522.857030541767</v>
      </c>
      <c r="L27" s="10">
        <v>2776.4</v>
      </c>
      <c r="M27" s="10">
        <f t="shared" si="5"/>
        <v>72593.2</v>
      </c>
      <c r="N27" s="10">
        <f t="shared" si="1"/>
        <v>283.55420906567997</v>
      </c>
      <c r="O27" s="10">
        <f t="shared" si="2"/>
        <v>3929.6570305417699</v>
      </c>
      <c r="P27" s="10">
        <f t="shared" si="3"/>
        <v>23929.65703054177</v>
      </c>
      <c r="Q27" s="11">
        <v>2000</v>
      </c>
      <c r="R27" s="11">
        <v>107</v>
      </c>
      <c r="S27" s="5"/>
    </row>
    <row r="28" spans="1:19">
      <c r="A28" s="12">
        <v>2</v>
      </c>
      <c r="B28" s="11" t="s">
        <v>92</v>
      </c>
      <c r="C28" s="11">
        <v>4</v>
      </c>
      <c r="D28" s="10">
        <v>0</v>
      </c>
      <c r="E28" s="10">
        <v>3500</v>
      </c>
      <c r="F28" s="40">
        <f>IF(C28&gt;=1,VLOOKUP(R27+MAX(0,R28-R27-C28)+0,药材收益口径!$H$2:$I$222,2,FALSE),0)+IF(C28&gt;=2,VLOOKUP(R27+MAX(0,R28-R27-C28)+1,药材收益口径!$H$2:$I$222,2,FALSE),0)+IF(C28&gt;=3,VLOOKUP(R27+MAX(0,R28-R27-C28)+2,药材收益口径!$H$2:$I$222,2,FALSE),0)+IF(C28&gt;=4,VLOOKUP(R27+MAX(0,R28-R27-C28)+3,药材收益口径!$H$2:$I$222,2,FALSE),0)</f>
        <v>596.60945626477542</v>
      </c>
      <c r="G28" s="10">
        <v>460.8</v>
      </c>
      <c r="H28" s="10">
        <v>0</v>
      </c>
      <c r="I28" s="10">
        <v>0</v>
      </c>
      <c r="J28" s="10">
        <f t="shared" si="0"/>
        <v>4557.4094562647761</v>
      </c>
      <c r="K28" s="10">
        <f t="shared" si="4"/>
        <v>81080.266486806548</v>
      </c>
      <c r="L28" s="10">
        <v>1550</v>
      </c>
      <c r="M28" s="10">
        <f t="shared" si="5"/>
        <v>74143.199999999997</v>
      </c>
      <c r="N28" s="10">
        <f t="shared" si="1"/>
        <v>3007.4094562647761</v>
      </c>
      <c r="O28" s="10">
        <f t="shared" si="2"/>
        <v>6937.0664868065505</v>
      </c>
      <c r="P28" s="10">
        <f t="shared" si="3"/>
        <v>26937.066486806551</v>
      </c>
      <c r="Q28" s="11">
        <v>2040</v>
      </c>
      <c r="R28" s="11">
        <v>111</v>
      </c>
      <c r="S28" s="5"/>
    </row>
    <row r="29" spans="1:19">
      <c r="A29" s="12">
        <v>2</v>
      </c>
      <c r="B29" s="11" t="s">
        <v>93</v>
      </c>
      <c r="C29" s="11">
        <v>4</v>
      </c>
      <c r="D29" s="10">
        <v>0</v>
      </c>
      <c r="E29" s="10">
        <v>4000</v>
      </c>
      <c r="F29" s="40">
        <f>IF(C29&gt;=1,VLOOKUP(R28+MAX(0,R29-R28-C29)+0,药材收益口径!$H$2:$I$222,2,FALSE),0)+IF(C29&gt;=2,VLOOKUP(R28+MAX(0,R29-R28-C29)+1,药材收益口径!$H$2:$I$222,2,FALSE),0)+IF(C29&gt;=3,VLOOKUP(R28+MAX(0,R29-R28-C29)+2,药材收益口径!$H$2:$I$222,2,FALSE),0)+IF(C29&gt;=4,VLOOKUP(R28+MAX(0,R29-R28-C29)+3,药材收益口径!$H$2:$I$222,2,FALSE),0)</f>
        <v>596.60945626477542</v>
      </c>
      <c r="G29" s="10">
        <v>460.8</v>
      </c>
      <c r="H29" s="10">
        <v>0</v>
      </c>
      <c r="I29" s="10">
        <v>0</v>
      </c>
      <c r="J29" s="10">
        <f t="shared" si="0"/>
        <v>5057.4094562647761</v>
      </c>
      <c r="K29" s="10">
        <f t="shared" si="4"/>
        <v>86137.675943071328</v>
      </c>
      <c r="L29" s="10">
        <v>3376.4</v>
      </c>
      <c r="M29" s="10">
        <f t="shared" si="5"/>
        <v>77519.599999999991</v>
      </c>
      <c r="N29" s="10">
        <f t="shared" si="1"/>
        <v>1681.009456264776</v>
      </c>
      <c r="O29" s="10">
        <f t="shared" si="2"/>
        <v>8618.075943071337</v>
      </c>
      <c r="P29" s="10">
        <f t="shared" si="3"/>
        <v>28618.075943071337</v>
      </c>
      <c r="Q29" s="11">
        <v>2080</v>
      </c>
      <c r="R29" s="11">
        <v>115</v>
      </c>
      <c r="S29" s="5"/>
    </row>
    <row r="30" spans="1:19">
      <c r="A30" s="12">
        <v>2</v>
      </c>
      <c r="B30" s="11" t="s">
        <v>94</v>
      </c>
      <c r="C30" s="11">
        <v>4</v>
      </c>
      <c r="D30" s="10">
        <v>0</v>
      </c>
      <c r="E30" s="10">
        <v>4000</v>
      </c>
      <c r="F30" s="40">
        <f>IF(C30&gt;=1,VLOOKUP(R29+MAX(0,R30-R29-C30)+0,药材收益口径!$H$2:$I$222,2,FALSE),0)+IF(C30&gt;=2,VLOOKUP(R29+MAX(0,R30-R29-C30)+1,药材收益口径!$H$2:$I$222,2,FALSE),0)+IF(C30&gt;=3,VLOOKUP(R29+MAX(0,R30-R29-C30)+2,药材收益口径!$H$2:$I$222,2,FALSE),0)+IF(C30&gt;=4,VLOOKUP(R29+MAX(0,R30-R29-C30)+3,药材收益口径!$H$2:$I$222,2,FALSE),0)</f>
        <v>596.60945626477542</v>
      </c>
      <c r="G30" s="10">
        <v>460.8</v>
      </c>
      <c r="H30" s="10">
        <v>0</v>
      </c>
      <c r="I30" s="10">
        <v>0</v>
      </c>
      <c r="J30" s="10">
        <f t="shared" si="0"/>
        <v>5057.4094562647761</v>
      </c>
      <c r="K30" s="10">
        <f t="shared" si="4"/>
        <v>91195.085399336109</v>
      </c>
      <c r="L30" s="10">
        <v>3550</v>
      </c>
      <c r="M30" s="10">
        <f t="shared" si="5"/>
        <v>81069.599999999991</v>
      </c>
      <c r="N30" s="10">
        <f t="shared" si="1"/>
        <v>1507.4094562647761</v>
      </c>
      <c r="O30" s="10">
        <f t="shared" si="2"/>
        <v>10125.485399336118</v>
      </c>
      <c r="P30" s="10">
        <f t="shared" si="3"/>
        <v>30125.485399336118</v>
      </c>
      <c r="Q30" s="11">
        <v>2120</v>
      </c>
      <c r="R30" s="11">
        <v>119</v>
      </c>
      <c r="S30" s="5"/>
    </row>
    <row r="31" spans="1:19">
      <c r="A31" s="12">
        <v>2</v>
      </c>
      <c r="B31" s="11" t="s">
        <v>95</v>
      </c>
      <c r="C31" s="11">
        <v>4</v>
      </c>
      <c r="D31" s="10">
        <v>0</v>
      </c>
      <c r="E31" s="10">
        <v>4000</v>
      </c>
      <c r="F31" s="40">
        <f>IF(C31&gt;=1,VLOOKUP(R30+MAX(0,R31-R30-C31)+0,药材收益口径!$H$2:$I$222,2,FALSE),0)+IF(C31&gt;=2,VLOOKUP(R30+MAX(0,R31-R30-C31)+1,药材收益口径!$H$2:$I$222,2,FALSE),0)+IF(C31&gt;=3,VLOOKUP(R30+MAX(0,R31-R30-C31)+2,药材收益口径!$H$2:$I$222,2,FALSE),0)+IF(C31&gt;=4,VLOOKUP(R30+MAX(0,R31-R30-C31)+3,药材收益口径!$H$2:$I$222,2,FALSE),0)</f>
        <v>596.60945626477542</v>
      </c>
      <c r="G31" s="10">
        <v>460.8</v>
      </c>
      <c r="H31" s="10">
        <v>0</v>
      </c>
      <c r="I31" s="10">
        <v>0</v>
      </c>
      <c r="J31" s="10">
        <f t="shared" si="0"/>
        <v>5057.4094562647761</v>
      </c>
      <c r="K31" s="10">
        <f t="shared" si="4"/>
        <v>96252.494855600889</v>
      </c>
      <c r="L31" s="10">
        <v>2776.4</v>
      </c>
      <c r="M31" s="10">
        <f t="shared" si="5"/>
        <v>83845.999999999985</v>
      </c>
      <c r="N31" s="10">
        <f t="shared" si="1"/>
        <v>2281.009456264776</v>
      </c>
      <c r="O31" s="10">
        <f t="shared" si="2"/>
        <v>12406.494855600904</v>
      </c>
      <c r="P31" s="10">
        <f t="shared" si="3"/>
        <v>32406.494855600904</v>
      </c>
      <c r="Q31" s="11">
        <v>2160</v>
      </c>
      <c r="R31" s="11">
        <v>123</v>
      </c>
      <c r="S31" s="5"/>
    </row>
    <row r="32" spans="1:19">
      <c r="A32" s="12">
        <v>2</v>
      </c>
      <c r="B32" s="11" t="s">
        <v>96</v>
      </c>
      <c r="C32" s="11">
        <v>4</v>
      </c>
      <c r="D32" s="10">
        <v>0</v>
      </c>
      <c r="E32" s="10">
        <v>4000</v>
      </c>
      <c r="F32" s="40">
        <f>IF(C32&gt;=1,VLOOKUP(R31+MAX(0,R32-R31-C32)+0,药材收益口径!$H$2:$I$222,2,FALSE),0)+IF(C32&gt;=2,VLOOKUP(R31+MAX(0,R32-R31-C32)+1,药材收益口径!$H$2:$I$222,2,FALSE),0)+IF(C32&gt;=3,VLOOKUP(R31+MAX(0,R32-R31-C32)+2,药材收益口径!$H$2:$I$222,2,FALSE),0)+IF(C32&gt;=4,VLOOKUP(R31+MAX(0,R32-R31-C32)+3,药材收益口径!$H$2:$I$222,2,FALSE),0)</f>
        <v>596.60945626477542</v>
      </c>
      <c r="G32" s="10">
        <v>460.8</v>
      </c>
      <c r="H32" s="10">
        <v>0</v>
      </c>
      <c r="I32" s="10">
        <v>0</v>
      </c>
      <c r="J32" s="10">
        <f t="shared" si="0"/>
        <v>5057.4094562647761</v>
      </c>
      <c r="K32" s="10">
        <f t="shared" si="4"/>
        <v>101309.90431186567</v>
      </c>
      <c r="L32" s="10">
        <v>2650</v>
      </c>
      <c r="M32" s="10">
        <f t="shared" si="5"/>
        <v>86495.999999999985</v>
      </c>
      <c r="N32" s="10">
        <f t="shared" si="1"/>
        <v>2407.4094562647761</v>
      </c>
      <c r="O32" s="10">
        <f t="shared" si="2"/>
        <v>14813.904311865685</v>
      </c>
      <c r="P32" s="10">
        <f t="shared" si="3"/>
        <v>34813.904311865685</v>
      </c>
      <c r="Q32" s="11">
        <v>2200</v>
      </c>
      <c r="R32" s="11">
        <v>127</v>
      </c>
      <c r="S32" s="5"/>
    </row>
    <row r="33" spans="1:19">
      <c r="A33" s="12">
        <v>2</v>
      </c>
      <c r="B33" s="11" t="s">
        <v>97</v>
      </c>
      <c r="C33" s="11">
        <v>4</v>
      </c>
      <c r="D33" s="10">
        <v>0</v>
      </c>
      <c r="E33" s="10">
        <v>4000</v>
      </c>
      <c r="F33" s="40">
        <f>IF(C33&gt;=1,VLOOKUP(R32+MAX(0,R33-R32-C33)+0,药材收益口径!$H$2:$I$222,2,FALSE),0)+IF(C33&gt;=2,VLOOKUP(R32+MAX(0,R33-R32-C33)+1,药材收益口径!$H$2:$I$222,2,FALSE),0)+IF(C33&gt;=3,VLOOKUP(R32+MAX(0,R33-R32-C33)+2,药材收益口径!$H$2:$I$222,2,FALSE),0)+IF(C33&gt;=4,VLOOKUP(R32+MAX(0,R33-R32-C33)+3,药材收益口径!$H$2:$I$222,2,FALSE),0)</f>
        <v>596.60945626477542</v>
      </c>
      <c r="G33" s="10">
        <v>460.8</v>
      </c>
      <c r="H33" s="10">
        <v>0</v>
      </c>
      <c r="I33" s="10">
        <v>0</v>
      </c>
      <c r="J33" s="10">
        <f t="shared" si="0"/>
        <v>5057.4094562647761</v>
      </c>
      <c r="K33" s="10">
        <f t="shared" si="4"/>
        <v>106367.31376813045</v>
      </c>
      <c r="L33" s="10">
        <v>3676.4</v>
      </c>
      <c r="M33" s="10">
        <f t="shared" si="5"/>
        <v>90172.39999999998</v>
      </c>
      <c r="N33" s="10">
        <f t="shared" si="1"/>
        <v>1381.009456264776</v>
      </c>
      <c r="O33" s="10">
        <f t="shared" si="2"/>
        <v>16194.913768130471</v>
      </c>
      <c r="P33" s="10">
        <f t="shared" si="3"/>
        <v>36194.913768130471</v>
      </c>
      <c r="Q33" s="11">
        <v>2240</v>
      </c>
      <c r="R33" s="11">
        <v>131</v>
      </c>
      <c r="S33" s="5"/>
    </row>
    <row r="34" spans="1:19">
      <c r="A34" s="12">
        <v>2</v>
      </c>
      <c r="B34" s="11" t="s">
        <v>98</v>
      </c>
      <c r="C34" s="11">
        <v>4</v>
      </c>
      <c r="D34" s="10">
        <v>0</v>
      </c>
      <c r="E34" s="10">
        <v>4000</v>
      </c>
      <c r="F34" s="40">
        <f>IF(C34&gt;=1,VLOOKUP(R33+MAX(0,R34-R33-C34)+0,药材收益口径!$H$2:$I$222,2,FALSE),0)+IF(C34&gt;=2,VLOOKUP(R33+MAX(0,R34-R33-C34)+1,药材收益口径!$H$2:$I$222,2,FALSE),0)+IF(C34&gt;=3,VLOOKUP(R33+MAX(0,R34-R33-C34)+2,药材收益口径!$H$2:$I$222,2,FALSE),0)+IF(C34&gt;=4,VLOOKUP(R33+MAX(0,R34-R33-C34)+3,药材收益口径!$H$2:$I$222,2,FALSE),0)</f>
        <v>596.60945626477542</v>
      </c>
      <c r="G34" s="10">
        <v>460.8</v>
      </c>
      <c r="H34" s="10">
        <v>0</v>
      </c>
      <c r="I34" s="10">
        <v>0</v>
      </c>
      <c r="J34" s="10">
        <f t="shared" si="0"/>
        <v>5057.4094562647761</v>
      </c>
      <c r="K34" s="10">
        <f t="shared" si="4"/>
        <v>111424.72322439523</v>
      </c>
      <c r="L34" s="10">
        <v>2450</v>
      </c>
      <c r="M34" s="10">
        <f t="shared" si="5"/>
        <v>92622.39999999998</v>
      </c>
      <c r="N34" s="10">
        <f t="shared" si="1"/>
        <v>2607.4094562647761</v>
      </c>
      <c r="O34" s="10">
        <f t="shared" si="2"/>
        <v>18802.323224395252</v>
      </c>
      <c r="P34" s="10">
        <f t="shared" si="3"/>
        <v>38802.323224395252</v>
      </c>
      <c r="Q34" s="11">
        <v>2280</v>
      </c>
      <c r="R34" s="11">
        <v>135</v>
      </c>
      <c r="S34" s="5"/>
    </row>
    <row r="35" spans="1:19">
      <c r="A35" s="12">
        <v>2</v>
      </c>
      <c r="B35" s="11" t="s">
        <v>100</v>
      </c>
      <c r="C35" s="11">
        <v>4</v>
      </c>
      <c r="D35" s="10">
        <v>0</v>
      </c>
      <c r="E35" s="10">
        <v>4000</v>
      </c>
      <c r="F35" s="40">
        <f>IF(C35&gt;=1,VLOOKUP(R34+MAX(0,R35-R34-C35)+0,药材收益口径!$H$2:$I$222,2,FALSE),0)+IF(C35&gt;=2,VLOOKUP(R34+MAX(0,R35-R34-C35)+1,药材收益口径!$H$2:$I$222,2,FALSE),0)+IF(C35&gt;=3,VLOOKUP(R34+MAX(0,R35-R34-C35)+2,药材收益口径!$H$2:$I$222,2,FALSE),0)+IF(C35&gt;=4,VLOOKUP(R34+MAX(0,R35-R34-C35)+3,药材收益口径!$H$2:$I$222,2,FALSE),0)</f>
        <v>596.60945626477542</v>
      </c>
      <c r="G35" s="10">
        <v>460.8</v>
      </c>
      <c r="H35" s="10">
        <v>0</v>
      </c>
      <c r="I35" s="10">
        <v>0</v>
      </c>
      <c r="J35" s="10">
        <f t="shared" si="0"/>
        <v>5057.4094562647761</v>
      </c>
      <c r="K35" s="10">
        <f t="shared" si="4"/>
        <v>116482.13268066001</v>
      </c>
      <c r="L35" s="10">
        <v>3676.4</v>
      </c>
      <c r="M35" s="10">
        <f t="shared" si="5"/>
        <v>96298.799999999974</v>
      </c>
      <c r="N35" s="10">
        <f t="shared" si="1"/>
        <v>1381.009456264776</v>
      </c>
      <c r="O35" s="10">
        <f t="shared" si="2"/>
        <v>20183.332680660038</v>
      </c>
      <c r="P35" s="10">
        <f t="shared" si="3"/>
        <v>40183.332680660038</v>
      </c>
      <c r="Q35" s="11">
        <v>2320</v>
      </c>
      <c r="R35" s="11">
        <v>139</v>
      </c>
      <c r="S35" s="5"/>
    </row>
    <row r="36" spans="1:19">
      <c r="A36" s="12">
        <v>2</v>
      </c>
      <c r="B36" s="11" t="s">
        <v>101</v>
      </c>
      <c r="C36" s="11">
        <v>4</v>
      </c>
      <c r="D36" s="10">
        <v>0</v>
      </c>
      <c r="E36" s="10">
        <v>4000</v>
      </c>
      <c r="F36" s="40">
        <f>IF(C36&gt;=1,VLOOKUP(R35+MAX(0,R36-R35-C36)+0,药材收益口径!$H$2:$I$222,2,FALSE),0)+IF(C36&gt;=2,VLOOKUP(R35+MAX(0,R36-R35-C36)+1,药材收益口径!$H$2:$I$222,2,FALSE),0)+IF(C36&gt;=3,VLOOKUP(R35+MAX(0,R36-R35-C36)+2,药材收益口径!$H$2:$I$222,2,FALSE),0)+IF(C36&gt;=4,VLOOKUP(R35+MAX(0,R36-R35-C36)+3,药材收益口径!$H$2:$I$222,2,FALSE),0)</f>
        <v>596.60945626477542</v>
      </c>
      <c r="G36" s="10">
        <v>460.8</v>
      </c>
      <c r="H36" s="10">
        <v>0</v>
      </c>
      <c r="I36" s="10">
        <v>0</v>
      </c>
      <c r="J36" s="10">
        <f t="shared" si="0"/>
        <v>5057.4094562647761</v>
      </c>
      <c r="K36" s="10">
        <f t="shared" si="4"/>
        <v>121539.54213692479</v>
      </c>
      <c r="L36" s="10">
        <v>2450</v>
      </c>
      <c r="M36" s="10">
        <f t="shared" si="5"/>
        <v>98748.799999999974</v>
      </c>
      <c r="N36" s="10">
        <f t="shared" si="1"/>
        <v>2607.4094562647761</v>
      </c>
      <c r="O36" s="10">
        <f t="shared" si="2"/>
        <v>22790.742136924819</v>
      </c>
      <c r="P36" s="10">
        <f t="shared" si="3"/>
        <v>42790.742136924819</v>
      </c>
      <c r="Q36" s="11">
        <v>2360</v>
      </c>
      <c r="R36" s="11">
        <v>143</v>
      </c>
      <c r="S36" s="5"/>
    </row>
    <row r="37" spans="1:19">
      <c r="A37" s="12">
        <v>2</v>
      </c>
      <c r="B37" s="11" t="s">
        <v>102</v>
      </c>
      <c r="C37" s="11">
        <v>4</v>
      </c>
      <c r="D37" s="10">
        <v>0</v>
      </c>
      <c r="E37" s="10">
        <v>4000</v>
      </c>
      <c r="F37" s="40">
        <f>IF(C37&gt;=1,VLOOKUP(R36+MAX(0,R37-R36-C37)+0,药材收益口径!$H$2:$I$222,2,FALSE),0)+IF(C37&gt;=2,VLOOKUP(R36+MAX(0,R37-R36-C37)+1,药材收益口径!$H$2:$I$222,2,FALSE),0)+IF(C37&gt;=3,VLOOKUP(R36+MAX(0,R37-R36-C37)+2,药材收益口径!$H$2:$I$222,2,FALSE),0)+IF(C37&gt;=4,VLOOKUP(R36+MAX(0,R37-R36-C37)+3,药材收益口径!$H$2:$I$222,2,FALSE),0)</f>
        <v>596.60945626477542</v>
      </c>
      <c r="G37" s="10">
        <v>460.8</v>
      </c>
      <c r="H37" s="10">
        <v>5000</v>
      </c>
      <c r="I37" s="10">
        <v>0</v>
      </c>
      <c r="J37" s="10">
        <f t="shared" si="0"/>
        <v>10057.409456264777</v>
      </c>
      <c r="K37" s="10">
        <f t="shared" si="4"/>
        <v>131596.95159318956</v>
      </c>
      <c r="L37" s="10">
        <v>3276.4</v>
      </c>
      <c r="M37" s="10">
        <f t="shared" si="5"/>
        <v>102025.19999999997</v>
      </c>
      <c r="N37" s="10">
        <f t="shared" si="1"/>
        <v>6781.0094562647773</v>
      </c>
      <c r="O37" s="10">
        <f t="shared" si="2"/>
        <v>29571.75159318959</v>
      </c>
      <c r="P37" s="10">
        <f t="shared" si="3"/>
        <v>49571.75159318959</v>
      </c>
      <c r="Q37" s="11">
        <v>2400</v>
      </c>
      <c r="R37" s="11">
        <v>147</v>
      </c>
      <c r="S37" s="5"/>
    </row>
    <row r="38" spans="1:19">
      <c r="A38" s="12">
        <v>2</v>
      </c>
      <c r="B38" s="11" t="s">
        <v>103</v>
      </c>
      <c r="C38" s="11">
        <v>4</v>
      </c>
      <c r="D38" s="10">
        <v>0</v>
      </c>
      <c r="E38" s="10">
        <v>4000</v>
      </c>
      <c r="F38" s="40">
        <f>IF(C38&gt;=1,VLOOKUP(R37+MAX(0,R38-R37-C38)+0,药材收益口径!$H$2:$I$222,2,FALSE),0)+IF(C38&gt;=2,VLOOKUP(R37+MAX(0,R38-R37-C38)+1,药材收益口径!$H$2:$I$222,2,FALSE),0)+IF(C38&gt;=3,VLOOKUP(R37+MAX(0,R38-R37-C38)+2,药材收益口径!$H$2:$I$222,2,FALSE),0)+IF(C38&gt;=4,VLOOKUP(R37+MAX(0,R38-R37-C38)+3,药材收益口径!$H$2:$I$222,2,FALSE),0)</f>
        <v>596.60945626477542</v>
      </c>
      <c r="G38" s="10">
        <v>460.8</v>
      </c>
      <c r="H38" s="10">
        <v>0</v>
      </c>
      <c r="I38" s="19">
        <v>1000</v>
      </c>
      <c r="J38" s="19">
        <f t="shared" si="0"/>
        <v>6057.4094562647761</v>
      </c>
      <c r="K38" s="19">
        <f t="shared" si="4"/>
        <v>137654.36104945434</v>
      </c>
      <c r="L38" s="19">
        <v>2650</v>
      </c>
      <c r="M38" s="19">
        <f t="shared" si="5"/>
        <v>104675.19999999997</v>
      </c>
      <c r="N38" s="19">
        <f t="shared" si="1"/>
        <v>3407.4094562647761</v>
      </c>
      <c r="O38" s="19">
        <f t="shared" si="2"/>
        <v>32979.161049454371</v>
      </c>
      <c r="P38" s="19">
        <f t="shared" si="3"/>
        <v>52979.161049454371</v>
      </c>
      <c r="Q38" s="20">
        <v>2440</v>
      </c>
      <c r="R38" s="20">
        <v>151</v>
      </c>
      <c r="S38" s="46" t="s">
        <v>119</v>
      </c>
    </row>
    <row r="39" spans="1:19">
      <c r="A39" s="12">
        <v>2</v>
      </c>
      <c r="B39" s="11" t="s">
        <v>104</v>
      </c>
      <c r="C39" s="11">
        <v>4</v>
      </c>
      <c r="D39" s="10">
        <v>0</v>
      </c>
      <c r="E39" s="10">
        <v>4000</v>
      </c>
      <c r="F39" s="40">
        <f>IF(C39&gt;=1,VLOOKUP(R38+MAX(0,R39-R38-C39)+0,药材收益口径!$H$2:$I$222,2,FALSE),0)+IF(C39&gt;=2,VLOOKUP(R38+MAX(0,R39-R38-C39)+1,药材收益口径!$H$2:$I$222,2,FALSE),0)+IF(C39&gt;=3,VLOOKUP(R38+MAX(0,R39-R38-C39)+2,药材收益口径!$H$2:$I$222,2,FALSE),0)+IF(C39&gt;=4,VLOOKUP(R38+MAX(0,R39-R38-C39)+3,药材收益口径!$H$2:$I$222,2,FALSE),0)</f>
        <v>596.60945626477542</v>
      </c>
      <c r="G39" s="10">
        <v>460.8</v>
      </c>
      <c r="H39" s="10">
        <v>0</v>
      </c>
      <c r="I39" s="10">
        <v>0</v>
      </c>
      <c r="J39" s="10">
        <f t="shared" si="0"/>
        <v>5057.4094562647761</v>
      </c>
      <c r="K39" s="10">
        <f t="shared" si="4"/>
        <v>142711.77050571912</v>
      </c>
      <c r="L39" s="10">
        <v>4776.3999999999996</v>
      </c>
      <c r="M39" s="10">
        <f t="shared" si="5"/>
        <v>109451.59999999996</v>
      </c>
      <c r="N39" s="10">
        <f t="shared" si="1"/>
        <v>281.00945626477642</v>
      </c>
      <c r="O39" s="10">
        <f t="shared" si="2"/>
        <v>33260.170505719158</v>
      </c>
      <c r="P39" s="10">
        <f t="shared" si="3"/>
        <v>53260.170505719158</v>
      </c>
      <c r="Q39" s="11">
        <v>2480</v>
      </c>
      <c r="R39" s="11">
        <v>155</v>
      </c>
      <c r="S39" s="5"/>
    </row>
    <row r="40" spans="1:19">
      <c r="A40" s="12">
        <v>2</v>
      </c>
      <c r="B40" s="11" t="s">
        <v>105</v>
      </c>
      <c r="C40" s="11">
        <v>4</v>
      </c>
      <c r="D40" s="10">
        <v>0</v>
      </c>
      <c r="E40" s="10">
        <v>4000</v>
      </c>
      <c r="F40" s="40">
        <f>IF(C40&gt;=1,VLOOKUP(R39+MAX(0,R40-R39-C40)+0,药材收益口径!$H$2:$I$222,2,FALSE),0)+IF(C40&gt;=2,VLOOKUP(R39+MAX(0,R40-R39-C40)+1,药材收益口径!$H$2:$I$222,2,FALSE),0)+IF(C40&gt;=3,VLOOKUP(R39+MAX(0,R40-R39-C40)+2,药材收益口径!$H$2:$I$222,2,FALSE),0)+IF(C40&gt;=4,VLOOKUP(R39+MAX(0,R40-R39-C40)+3,药材收益口径!$H$2:$I$222,2,FALSE),0)</f>
        <v>596.60945626477542</v>
      </c>
      <c r="G40" s="10">
        <v>460.8</v>
      </c>
      <c r="H40" s="10">
        <v>0</v>
      </c>
      <c r="I40" s="10">
        <v>0</v>
      </c>
      <c r="J40" s="10">
        <f t="shared" si="0"/>
        <v>5057.4094562647761</v>
      </c>
      <c r="K40" s="10">
        <f t="shared" si="4"/>
        <v>147769.1799619839</v>
      </c>
      <c r="L40" s="10">
        <v>1550</v>
      </c>
      <c r="M40" s="10">
        <f t="shared" si="5"/>
        <v>111001.59999999996</v>
      </c>
      <c r="N40" s="10">
        <f t="shared" si="1"/>
        <v>3507.4094562647761</v>
      </c>
      <c r="O40" s="10">
        <f t="shared" si="2"/>
        <v>36767.579961983938</v>
      </c>
      <c r="P40" s="10">
        <f t="shared" si="3"/>
        <v>56767.579961983938</v>
      </c>
      <c r="Q40" s="11">
        <v>2520</v>
      </c>
      <c r="R40" s="11">
        <v>159</v>
      </c>
      <c r="S40" s="5"/>
    </row>
    <row r="41" spans="1:19">
      <c r="A41" s="12">
        <v>2</v>
      </c>
      <c r="B41" s="11" t="s">
        <v>106</v>
      </c>
      <c r="C41" s="11">
        <v>4</v>
      </c>
      <c r="D41" s="10">
        <v>0</v>
      </c>
      <c r="E41" s="10">
        <v>4000</v>
      </c>
      <c r="F41" s="40">
        <f>IF(C41&gt;=1,VLOOKUP(R40+MAX(0,R41-R40-C41)+0,药材收益口径!$H$2:$I$222,2,FALSE),0)+IF(C41&gt;=2,VLOOKUP(R40+MAX(0,R41-R40-C41)+1,药材收益口径!$H$2:$I$222,2,FALSE),0)+IF(C41&gt;=3,VLOOKUP(R40+MAX(0,R41-R40-C41)+2,药材收益口径!$H$2:$I$222,2,FALSE),0)+IF(C41&gt;=4,VLOOKUP(R40+MAX(0,R41-R40-C41)+3,药材收益口径!$H$2:$I$222,2,FALSE),0)</f>
        <v>596.60945626477542</v>
      </c>
      <c r="G41" s="10">
        <v>460.8</v>
      </c>
      <c r="H41" s="10">
        <v>0</v>
      </c>
      <c r="I41" s="10">
        <v>0</v>
      </c>
      <c r="J41" s="10">
        <f t="shared" si="0"/>
        <v>5057.4094562647761</v>
      </c>
      <c r="K41" s="10">
        <f t="shared" si="4"/>
        <v>152826.58941824868</v>
      </c>
      <c r="L41" s="10">
        <v>3376.4</v>
      </c>
      <c r="M41" s="10">
        <f t="shared" si="5"/>
        <v>114377.99999999996</v>
      </c>
      <c r="N41" s="10">
        <f t="shared" si="1"/>
        <v>1681.009456264776</v>
      </c>
      <c r="O41" s="10">
        <f t="shared" si="2"/>
        <v>38448.589418248725</v>
      </c>
      <c r="P41" s="10">
        <f t="shared" si="3"/>
        <v>58448.589418248725</v>
      </c>
      <c r="Q41" s="11">
        <v>2560</v>
      </c>
      <c r="R41" s="11">
        <v>163</v>
      </c>
      <c r="S41" s="5"/>
    </row>
    <row r="42" spans="1:19">
      <c r="A42" s="12">
        <v>2</v>
      </c>
      <c r="B42" s="11" t="s">
        <v>107</v>
      </c>
      <c r="C42" s="11">
        <v>4</v>
      </c>
      <c r="D42" s="10">
        <v>0</v>
      </c>
      <c r="E42" s="10">
        <v>4000</v>
      </c>
      <c r="F42" s="40">
        <f>IF(C42&gt;=1,VLOOKUP(R41+MAX(0,R42-R41-C42)+0,药材收益口径!$H$2:$I$222,2,FALSE),0)+IF(C42&gt;=2,VLOOKUP(R41+MAX(0,R42-R41-C42)+1,药材收益口径!$H$2:$I$222,2,FALSE),0)+IF(C42&gt;=3,VLOOKUP(R41+MAX(0,R42-R41-C42)+2,药材收益口径!$H$2:$I$222,2,FALSE),0)+IF(C42&gt;=4,VLOOKUP(R41+MAX(0,R42-R41-C42)+3,药材收益口径!$H$2:$I$222,2,FALSE),0)</f>
        <v>596.60945626477542</v>
      </c>
      <c r="G42" s="10">
        <v>460.8</v>
      </c>
      <c r="H42" s="10">
        <v>0</v>
      </c>
      <c r="I42" s="10">
        <v>0</v>
      </c>
      <c r="J42" s="10">
        <f t="shared" si="0"/>
        <v>5057.4094562647761</v>
      </c>
      <c r="K42" s="10">
        <f t="shared" si="4"/>
        <v>157883.99887451346</v>
      </c>
      <c r="L42" s="10">
        <v>1550</v>
      </c>
      <c r="M42" s="10">
        <f t="shared" si="5"/>
        <v>115927.99999999996</v>
      </c>
      <c r="N42" s="10">
        <f t="shared" si="1"/>
        <v>3507.4094562647761</v>
      </c>
      <c r="O42" s="10">
        <f t="shared" si="2"/>
        <v>41955.998874513505</v>
      </c>
      <c r="P42" s="10">
        <f t="shared" si="3"/>
        <v>61955.998874513505</v>
      </c>
      <c r="Q42" s="11">
        <v>2600</v>
      </c>
      <c r="R42" s="11">
        <v>167</v>
      </c>
      <c r="S42" s="5"/>
    </row>
    <row r="43" spans="1:19">
      <c r="A43" s="12">
        <v>2</v>
      </c>
      <c r="B43" s="11" t="s">
        <v>108</v>
      </c>
      <c r="C43" s="11">
        <v>4</v>
      </c>
      <c r="D43" s="10">
        <v>0</v>
      </c>
      <c r="E43" s="10">
        <v>4000</v>
      </c>
      <c r="F43" s="40">
        <f>IF(C43&gt;=1,VLOOKUP(R42+MAX(0,R43-R42-C43)+0,药材收益口径!$H$2:$I$222,2,FALSE),0)+IF(C43&gt;=2,VLOOKUP(R42+MAX(0,R43-R42-C43)+1,药材收益口径!$H$2:$I$222,2,FALSE),0)+IF(C43&gt;=3,VLOOKUP(R42+MAX(0,R43-R42-C43)+2,药材收益口径!$H$2:$I$222,2,FALSE),0)+IF(C43&gt;=4,VLOOKUP(R42+MAX(0,R43-R42-C43)+3,药材收益口径!$H$2:$I$222,2,FALSE),0)</f>
        <v>596.60945626477542</v>
      </c>
      <c r="G43" s="10">
        <v>460.8</v>
      </c>
      <c r="H43" s="10">
        <v>15000</v>
      </c>
      <c r="I43" s="19">
        <v>1000</v>
      </c>
      <c r="J43" s="19">
        <f t="shared" si="0"/>
        <v>21057.409456264777</v>
      </c>
      <c r="K43" s="19">
        <f t="shared" si="4"/>
        <v>178941.40833077824</v>
      </c>
      <c r="L43" s="19">
        <v>4276.3999999999996</v>
      </c>
      <c r="M43" s="19">
        <f t="shared" si="5"/>
        <v>120204.39999999995</v>
      </c>
      <c r="N43" s="19">
        <f t="shared" si="1"/>
        <v>16781.009456264779</v>
      </c>
      <c r="O43" s="19">
        <f t="shared" si="2"/>
        <v>58737.008330778292</v>
      </c>
      <c r="P43" s="19">
        <f t="shared" si="3"/>
        <v>78737.008330778292</v>
      </c>
      <c r="Q43" s="20">
        <v>2640</v>
      </c>
      <c r="R43" s="20">
        <v>171</v>
      </c>
      <c r="S43" s="46" t="s">
        <v>122</v>
      </c>
    </row>
    <row r="44" spans="1:19">
      <c r="A44" s="12">
        <v>2</v>
      </c>
      <c r="B44" s="11" t="s">
        <v>109</v>
      </c>
      <c r="C44" s="11">
        <v>4</v>
      </c>
      <c r="D44" s="10">
        <v>0</v>
      </c>
      <c r="E44" s="10">
        <v>4000</v>
      </c>
      <c r="F44" s="40">
        <f>IF(C44&gt;=1,VLOOKUP(R43+MAX(0,R44-R43-C44)+0,药材收益口径!$H$2:$I$222,2,FALSE),0)+IF(C44&gt;=2,VLOOKUP(R43+MAX(0,R44-R43-C44)+1,药材收益口径!$H$2:$I$222,2,FALSE),0)+IF(C44&gt;=3,VLOOKUP(R43+MAX(0,R44-R43-C44)+2,药材收益口径!$H$2:$I$222,2,FALSE),0)+IF(C44&gt;=4,VLOOKUP(R43+MAX(0,R44-R43-C44)+3,药材收益口径!$H$2:$I$222,2,FALSE),0)</f>
        <v>596.60945626477542</v>
      </c>
      <c r="G44" s="10">
        <v>460.8</v>
      </c>
      <c r="H44" s="10">
        <v>0</v>
      </c>
      <c r="I44" s="10">
        <v>0</v>
      </c>
      <c r="J44" s="10">
        <f t="shared" si="0"/>
        <v>5057.4094562647761</v>
      </c>
      <c r="K44" s="10">
        <f t="shared" si="4"/>
        <v>183998.81778704302</v>
      </c>
      <c r="L44" s="10">
        <v>4750</v>
      </c>
      <c r="M44" s="10">
        <f t="shared" si="5"/>
        <v>124954.39999999995</v>
      </c>
      <c r="N44" s="10">
        <f t="shared" si="1"/>
        <v>307.40945626477605</v>
      </c>
      <c r="O44" s="10">
        <f t="shared" si="2"/>
        <v>59044.417787043072</v>
      </c>
      <c r="P44" s="10">
        <f t="shared" si="3"/>
        <v>79044.417787043072</v>
      </c>
      <c r="Q44" s="11">
        <v>2680</v>
      </c>
      <c r="R44" s="11">
        <v>175</v>
      </c>
      <c r="S44" s="5"/>
    </row>
    <row r="45" spans="1:19">
      <c r="A45" s="12">
        <v>2</v>
      </c>
      <c r="B45" s="11" t="s">
        <v>110</v>
      </c>
      <c r="C45" s="11">
        <v>4</v>
      </c>
      <c r="D45" s="10">
        <v>0</v>
      </c>
      <c r="E45" s="10">
        <v>4000</v>
      </c>
      <c r="F45" s="40">
        <f>IF(C45&gt;=1,VLOOKUP(R44+MAX(0,R45-R44-C45)+0,药材收益口径!$H$2:$I$222,2,FALSE),0)+IF(C45&gt;=2,VLOOKUP(R44+MAX(0,R45-R44-C45)+1,药材收益口径!$H$2:$I$222,2,FALSE),0)+IF(C45&gt;=3,VLOOKUP(R44+MAX(0,R45-R44-C45)+2,药材收益口径!$H$2:$I$222,2,FALSE),0)+IF(C45&gt;=4,VLOOKUP(R44+MAX(0,R45-R44-C45)+3,药材收益口径!$H$2:$I$222,2,FALSE),0)</f>
        <v>596.60945626477542</v>
      </c>
      <c r="G45" s="10">
        <v>460.8</v>
      </c>
      <c r="H45" s="10">
        <v>0</v>
      </c>
      <c r="I45" s="10">
        <v>0</v>
      </c>
      <c r="J45" s="10">
        <f t="shared" si="0"/>
        <v>5057.4094562647761</v>
      </c>
      <c r="K45" s="10">
        <f t="shared" si="4"/>
        <v>189056.2272433078</v>
      </c>
      <c r="L45" s="10">
        <v>2776.4</v>
      </c>
      <c r="M45" s="10">
        <f t="shared" si="5"/>
        <v>127730.79999999994</v>
      </c>
      <c r="N45" s="10">
        <f t="shared" si="1"/>
        <v>2281.009456264776</v>
      </c>
      <c r="O45" s="10">
        <f t="shared" si="2"/>
        <v>61325.427243307859</v>
      </c>
      <c r="P45" s="10">
        <f t="shared" si="3"/>
        <v>81325.427243307859</v>
      </c>
      <c r="Q45" s="11">
        <v>2720</v>
      </c>
      <c r="R45" s="11">
        <v>179</v>
      </c>
      <c r="S45" s="5"/>
    </row>
    <row r="46" spans="1:19">
      <c r="A46" s="12">
        <v>2</v>
      </c>
      <c r="B46" s="11" t="s">
        <v>111</v>
      </c>
      <c r="C46" s="11">
        <v>4</v>
      </c>
      <c r="D46" s="10">
        <v>0</v>
      </c>
      <c r="E46" s="10">
        <v>4000</v>
      </c>
      <c r="F46" s="40">
        <f>IF(C46&gt;=1,VLOOKUP(R45+MAX(0,R46-R45-C46)+0,药材收益口径!$H$2:$I$222,2,FALSE),0)+IF(C46&gt;=2,VLOOKUP(R45+MAX(0,R46-R45-C46)+1,药材收益口径!$H$2:$I$222,2,FALSE),0)+IF(C46&gt;=3,VLOOKUP(R45+MAX(0,R46-R45-C46)+2,药材收益口径!$H$2:$I$222,2,FALSE),0)+IF(C46&gt;=4,VLOOKUP(R45+MAX(0,R46-R45-C46)+3,药材收益口径!$H$2:$I$222,2,FALSE),0)</f>
        <v>596.60945626477542</v>
      </c>
      <c r="G46" s="10">
        <v>460.8</v>
      </c>
      <c r="H46" s="10">
        <v>0</v>
      </c>
      <c r="I46" s="10">
        <v>0</v>
      </c>
      <c r="J46" s="10">
        <f t="shared" si="0"/>
        <v>5057.4094562647761</v>
      </c>
      <c r="K46" s="10">
        <f t="shared" si="4"/>
        <v>194113.63669957258</v>
      </c>
      <c r="L46" s="10">
        <v>1550</v>
      </c>
      <c r="M46" s="10">
        <f t="shared" si="5"/>
        <v>129280.79999999994</v>
      </c>
      <c r="N46" s="10">
        <f t="shared" si="1"/>
        <v>3507.4094562647761</v>
      </c>
      <c r="O46" s="10">
        <f t="shared" si="2"/>
        <v>64832.836699572639</v>
      </c>
      <c r="P46" s="10">
        <f t="shared" si="3"/>
        <v>84832.836699572639</v>
      </c>
      <c r="Q46" s="11">
        <v>2760</v>
      </c>
      <c r="R46" s="11">
        <v>183</v>
      </c>
      <c r="S46" s="5"/>
    </row>
    <row r="47" spans="1:19">
      <c r="A47" s="12">
        <v>2</v>
      </c>
      <c r="B47" s="11" t="s">
        <v>112</v>
      </c>
      <c r="C47" s="11">
        <v>4</v>
      </c>
      <c r="D47" s="10">
        <v>0</v>
      </c>
      <c r="E47" s="10">
        <v>4000</v>
      </c>
      <c r="F47" s="40">
        <f>IF(C47&gt;=1,VLOOKUP(R46+MAX(0,R47-R46-C47)+0,药材收益口径!$H$2:$I$222,2,FALSE),0)+IF(C47&gt;=2,VLOOKUP(R46+MAX(0,R47-R46-C47)+1,药材收益口径!$H$2:$I$222,2,FALSE),0)+IF(C47&gt;=3,VLOOKUP(R46+MAX(0,R47-R46-C47)+2,药材收益口径!$H$2:$I$222,2,FALSE),0)+IF(C47&gt;=4,VLOOKUP(R46+MAX(0,R47-R46-C47)+3,药材收益口径!$H$2:$I$222,2,FALSE),0)</f>
        <v>596.60945626477542</v>
      </c>
      <c r="G47" s="10">
        <v>460.8</v>
      </c>
      <c r="H47" s="10">
        <v>0</v>
      </c>
      <c r="I47" s="10">
        <v>0</v>
      </c>
      <c r="J47" s="10">
        <f t="shared" si="0"/>
        <v>5057.4094562647761</v>
      </c>
      <c r="K47" s="10">
        <f t="shared" si="4"/>
        <v>199171.04615583736</v>
      </c>
      <c r="L47" s="10">
        <v>2776.4</v>
      </c>
      <c r="M47" s="10">
        <f t="shared" si="5"/>
        <v>132057.19999999995</v>
      </c>
      <c r="N47" s="10">
        <f t="shared" si="1"/>
        <v>2281.009456264776</v>
      </c>
      <c r="O47" s="10">
        <f t="shared" si="2"/>
        <v>67113.846155837411</v>
      </c>
      <c r="P47" s="10">
        <f t="shared" si="3"/>
        <v>87113.846155837411</v>
      </c>
      <c r="Q47" s="11">
        <v>2800</v>
      </c>
      <c r="R47" s="11">
        <v>187</v>
      </c>
      <c r="S47" s="5"/>
    </row>
    <row r="48" spans="1:19">
      <c r="A48" s="12">
        <v>2</v>
      </c>
      <c r="B48" s="11" t="s">
        <v>114</v>
      </c>
      <c r="C48" s="11">
        <v>4</v>
      </c>
      <c r="D48" s="10">
        <v>0</v>
      </c>
      <c r="E48" s="10">
        <v>4000</v>
      </c>
      <c r="F48" s="40">
        <f>IF(C48&gt;=1,VLOOKUP(R47+MAX(0,R48-R47-C48)+0,药材收益口径!$H$2:$I$222,2,FALSE),0)+IF(C48&gt;=2,VLOOKUP(R47+MAX(0,R48-R47-C48)+1,药材收益口径!$H$2:$I$222,2,FALSE),0)+IF(C48&gt;=3,VLOOKUP(R47+MAX(0,R48-R47-C48)+2,药材收益口径!$H$2:$I$222,2,FALSE),0)+IF(C48&gt;=4,VLOOKUP(R47+MAX(0,R48-R47-C48)+3,药材收益口径!$H$2:$I$222,2,FALSE),0)</f>
        <v>596.60945626477542</v>
      </c>
      <c r="G48" s="10">
        <v>460.8</v>
      </c>
      <c r="H48" s="10">
        <v>0</v>
      </c>
      <c r="I48" s="10">
        <v>0</v>
      </c>
      <c r="J48" s="10">
        <f t="shared" si="0"/>
        <v>5057.4094562647761</v>
      </c>
      <c r="K48" s="10">
        <f t="shared" si="4"/>
        <v>204228.45561210215</v>
      </c>
      <c r="L48" s="10">
        <v>1550</v>
      </c>
      <c r="M48" s="10">
        <f t="shared" si="5"/>
        <v>133607.19999999995</v>
      </c>
      <c r="N48" s="10">
        <f t="shared" si="1"/>
        <v>3507.4094562647761</v>
      </c>
      <c r="O48" s="10">
        <f t="shared" si="2"/>
        <v>70621.255612102192</v>
      </c>
      <c r="P48" s="10">
        <f t="shared" si="3"/>
        <v>90621.255612102192</v>
      </c>
      <c r="Q48" s="11">
        <v>2840</v>
      </c>
      <c r="R48" s="11">
        <v>191</v>
      </c>
      <c r="S48" s="5"/>
    </row>
    <row r="49" spans="1:19">
      <c r="A49" s="13">
        <v>2</v>
      </c>
      <c r="B49" s="14" t="s">
        <v>115</v>
      </c>
      <c r="C49" s="14">
        <v>4</v>
      </c>
      <c r="D49" s="15">
        <v>0</v>
      </c>
      <c r="E49" s="15">
        <v>4000</v>
      </c>
      <c r="F49" s="42">
        <f>IF(C49&gt;=1,VLOOKUP(R48+MAX(0,R49-R48-C49)+0,药材收益口径!$H$2:$I$222,2,FALSE),0)+IF(C49&gt;=2,VLOOKUP(R48+MAX(0,R49-R48-C49)+1,药材收益口径!$H$2:$I$222,2,FALSE),0)+IF(C49&gt;=3,VLOOKUP(R48+MAX(0,R49-R48-C49)+2,药材收益口径!$H$2:$I$222,2,FALSE),0)+IF(C49&gt;=4,VLOOKUP(R48+MAX(0,R49-R48-C49)+3,药材收益口径!$H$2:$I$222,2,FALSE),0)</f>
        <v>596.60945626477542</v>
      </c>
      <c r="G49" s="10">
        <v>460.8</v>
      </c>
      <c r="H49" s="15">
        <v>0</v>
      </c>
      <c r="I49" s="15">
        <v>0</v>
      </c>
      <c r="J49" s="15">
        <f t="shared" si="0"/>
        <v>5057.4094562647761</v>
      </c>
      <c r="K49" s="15">
        <f t="shared" si="4"/>
        <v>209285.86506836693</v>
      </c>
      <c r="L49" s="15">
        <v>3376.4</v>
      </c>
      <c r="M49" s="15">
        <f t="shared" si="5"/>
        <v>136983.59999999995</v>
      </c>
      <c r="N49" s="15">
        <f t="shared" si="1"/>
        <v>1681.009456264776</v>
      </c>
      <c r="O49" s="15">
        <f t="shared" si="2"/>
        <v>72302.265068366978</v>
      </c>
      <c r="P49" s="15">
        <f t="shared" si="3"/>
        <v>92302.265068366978</v>
      </c>
      <c r="Q49" s="14">
        <v>2880</v>
      </c>
      <c r="R49" s="14">
        <v>195</v>
      </c>
      <c r="S49" s="6"/>
    </row>
  </sheetData>
  <phoneticPr fontId="4"/>
  <conditionalFormatting sqref="P2:P4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topLeftCell="A3" workbookViewId="0"/>
  </sheetViews>
  <sheetFormatPr defaultRowHeight="14.25"/>
  <cols>
    <col min="1" max="1" width="10" customWidth="1"/>
    <col min="2" max="2" width="48" customWidth="1"/>
    <col min="3" max="3" width="18" customWidth="1"/>
    <col min="4" max="4" width="14" customWidth="1"/>
    <col min="5" max="5" width="18" customWidth="1"/>
    <col min="6" max="6" width="40" customWidth="1"/>
    <col min="7" max="14" width="16" customWidth="1"/>
    <col min="15" max="15" width="14" customWidth="1"/>
    <col min="16" max="16" width="16" customWidth="1"/>
  </cols>
  <sheetData>
    <row r="1" spans="1:16" ht="15">
      <c r="A1" s="1" t="s">
        <v>123</v>
      </c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129</v>
      </c>
      <c r="H1" s="9" t="s">
        <v>130</v>
      </c>
      <c r="I1" s="9" t="s">
        <v>131</v>
      </c>
      <c r="J1" s="9" t="s">
        <v>132</v>
      </c>
      <c r="K1" s="9" t="s">
        <v>133</v>
      </c>
      <c r="L1" s="9" t="s">
        <v>134</v>
      </c>
      <c r="M1" s="9" t="s">
        <v>135</v>
      </c>
      <c r="N1" s="9" t="s">
        <v>136</v>
      </c>
      <c r="O1" s="9" t="s">
        <v>137</v>
      </c>
      <c r="P1" s="2" t="s">
        <v>138</v>
      </c>
    </row>
    <row r="2" spans="1:16">
      <c r="A2" s="12" t="s">
        <v>139</v>
      </c>
      <c r="B2" s="11">
        <v>2</v>
      </c>
      <c r="C2" s="11">
        <v>1000</v>
      </c>
      <c r="D2" s="11" t="s">
        <v>140</v>
      </c>
      <c r="E2" s="11" t="s">
        <v>141</v>
      </c>
      <c r="F2" s="10">
        <f>SUM(简单!I2:I49)</f>
        <v>6000</v>
      </c>
      <c r="G2" s="10">
        <f>SUM(简单!J2:J25)</f>
        <v>58995.26074740319</v>
      </c>
      <c r="H2" s="10">
        <f>SUM(简单!L2:L25)</f>
        <v>67166.8</v>
      </c>
      <c r="I2" s="10">
        <f>G2-H2</f>
        <v>-8171.5392525968127</v>
      </c>
      <c r="J2" s="10">
        <f>20000+I2</f>
        <v>11828.460747403187</v>
      </c>
      <c r="K2" s="10">
        <f>SUM(简单!J2:J49)</f>
        <v>140143.86075078513</v>
      </c>
      <c r="L2" s="10">
        <f>SUM(简单!L2:L49)</f>
        <v>136983.59999999995</v>
      </c>
      <c r="M2" s="10">
        <f>K2-L2</f>
        <v>3160.260750785179</v>
      </c>
      <c r="N2" s="10">
        <f>20000+M2</f>
        <v>23160.260750785179</v>
      </c>
      <c r="O2" s="10">
        <f>MIN(简单!P2:P49)</f>
        <v>2843.8259324009268</v>
      </c>
      <c r="P2" s="25" t="str">
        <f>"第"&amp;INDEX(简单!A2:A49,MATCH(O2,简单!P2:P49,0))&amp;"年"&amp;INDEX(简单!B2:B49,MATCH(O2,简单!P2:P49,0))</f>
        <v>第1年秋分</v>
      </c>
    </row>
    <row r="3" spans="1:16">
      <c r="A3" s="12" t="s">
        <v>142</v>
      </c>
      <c r="B3" s="11">
        <v>3</v>
      </c>
      <c r="C3" s="11">
        <v>500</v>
      </c>
      <c r="D3" s="11" t="s">
        <v>143</v>
      </c>
      <c r="E3" s="11" t="s">
        <v>144</v>
      </c>
      <c r="F3" s="10">
        <f>SUM(普通!I2:I49)</f>
        <v>7000</v>
      </c>
      <c r="G3" s="10">
        <f>SUM(普通!J2:J25)</f>
        <v>62109.958331977774</v>
      </c>
      <c r="H3" s="10">
        <f>SUM(普通!L2:L25)</f>
        <v>67166.8</v>
      </c>
      <c r="I3" s="10">
        <f>G3-H3</f>
        <v>-5056.841668022229</v>
      </c>
      <c r="J3" s="10">
        <f>20000+I3</f>
        <v>14943.158331977771</v>
      </c>
      <c r="K3" s="10">
        <f>SUM(普通!J2:J49)</f>
        <v>172056.89481014272</v>
      </c>
      <c r="L3" s="10">
        <f>SUM(普通!L2:L49)</f>
        <v>136983.59999999995</v>
      </c>
      <c r="M3" s="10">
        <f>K3-L3</f>
        <v>35073.294810142776</v>
      </c>
      <c r="N3" s="10">
        <f>20000+M3</f>
        <v>55073.294810142776</v>
      </c>
      <c r="O3" s="10">
        <f>MIN(普通!P2:P49)</f>
        <v>2513.8870631926475</v>
      </c>
      <c r="P3" s="25" t="str">
        <f>"第"&amp;INDEX(普通!A2:A49,MATCH(O3,普通!P2:P49,0))&amp;"年"&amp;INDEX(普通!B2:B49,MATCH(O3,普通!P2:P49,0))</f>
        <v>第1年秋分</v>
      </c>
    </row>
    <row r="4" spans="1:16">
      <c r="A4" s="13" t="s">
        <v>145</v>
      </c>
      <c r="B4" s="14">
        <v>4</v>
      </c>
      <c r="C4" s="14">
        <v>0</v>
      </c>
      <c r="D4" s="14" t="s">
        <v>146</v>
      </c>
      <c r="E4" s="14" t="s">
        <v>147</v>
      </c>
      <c r="F4" s="15">
        <f>SUM(困难!I2:I49)</f>
        <v>8000</v>
      </c>
      <c r="G4" s="15">
        <f>SUM(困难!J2:J25)</f>
        <v>68410.325043698307</v>
      </c>
      <c r="H4" s="15">
        <f>SUM(困难!L2:L25)</f>
        <v>67166.8</v>
      </c>
      <c r="I4" s="15">
        <f>G4-H4</f>
        <v>1243.5250436983042</v>
      </c>
      <c r="J4" s="15">
        <f>20000+I4</f>
        <v>21243.525043698304</v>
      </c>
      <c r="K4" s="15">
        <f>SUM(困难!J2:J49)</f>
        <v>209285.86506836693</v>
      </c>
      <c r="L4" s="15">
        <f>SUM(困难!L2:L49)</f>
        <v>136983.59999999995</v>
      </c>
      <c r="M4" s="15">
        <f>K4-L4</f>
        <v>72302.265068366978</v>
      </c>
      <c r="N4" s="15">
        <f>20000+M4</f>
        <v>92302.265068366978</v>
      </c>
      <c r="O4" s="15">
        <f>MIN(困难!P2:P49)</f>
        <v>2532.2244900932419</v>
      </c>
      <c r="P4" s="26" t="str">
        <f>"第"&amp;INDEX(困难!A2:A49,MATCH(O4,困难!P2:P49,0))&amp;"年"&amp;INDEX(困难!B2:B49,MATCH(O4,困难!P2:P49,0))</f>
        <v>第1年小暑</v>
      </c>
    </row>
    <row r="7" spans="1:16" ht="15">
      <c r="A7" s="27" t="s">
        <v>123</v>
      </c>
      <c r="B7" s="28" t="s">
        <v>35</v>
      </c>
      <c r="C7" s="28" t="s">
        <v>148</v>
      </c>
      <c r="D7" s="28" t="s">
        <v>149</v>
      </c>
      <c r="E7" s="28" t="s">
        <v>150</v>
      </c>
      <c r="F7" s="29" t="s">
        <v>40</v>
      </c>
    </row>
    <row r="8" spans="1:16">
      <c r="A8" s="30" t="s">
        <v>139</v>
      </c>
      <c r="B8" s="31" t="s">
        <v>151</v>
      </c>
      <c r="C8" s="31" t="s">
        <v>152</v>
      </c>
      <c r="D8" s="44">
        <v>1000</v>
      </c>
      <c r="E8" s="31"/>
      <c r="F8" s="5" t="s">
        <v>153</v>
      </c>
    </row>
    <row r="9" spans="1:16">
      <c r="A9" s="30" t="s">
        <v>139</v>
      </c>
      <c r="B9" s="31" t="s">
        <v>154</v>
      </c>
      <c r="C9" s="31" t="s">
        <v>155</v>
      </c>
      <c r="D9" s="44">
        <v>1000</v>
      </c>
      <c r="E9" s="31"/>
      <c r="F9" s="5" t="s">
        <v>156</v>
      </c>
    </row>
    <row r="10" spans="1:16">
      <c r="A10" s="30" t="s">
        <v>139</v>
      </c>
      <c r="B10" s="31" t="s">
        <v>157</v>
      </c>
      <c r="C10" s="31" t="s">
        <v>158</v>
      </c>
      <c r="D10" s="44">
        <v>1000</v>
      </c>
      <c r="E10" s="31"/>
      <c r="F10" s="5" t="s">
        <v>156</v>
      </c>
    </row>
    <row r="11" spans="1:16" ht="28.5">
      <c r="A11" s="30" t="s">
        <v>139</v>
      </c>
      <c r="B11" s="31" t="s">
        <v>117</v>
      </c>
      <c r="C11" s="31" t="s">
        <v>141</v>
      </c>
      <c r="D11" s="44">
        <v>1000</v>
      </c>
      <c r="E11" s="31" t="s">
        <v>159</v>
      </c>
      <c r="F11" s="5" t="s">
        <v>156</v>
      </c>
    </row>
    <row r="12" spans="1:16">
      <c r="A12" s="30" t="s">
        <v>139</v>
      </c>
      <c r="B12" s="31" t="s">
        <v>160</v>
      </c>
      <c r="C12" s="31" t="s">
        <v>161</v>
      </c>
      <c r="D12" s="44">
        <v>2000</v>
      </c>
      <c r="E12" s="31"/>
      <c r="F12" s="5" t="s">
        <v>156</v>
      </c>
    </row>
    <row r="13" spans="1:16">
      <c r="A13" s="30" t="s">
        <v>142</v>
      </c>
      <c r="B13" s="31" t="s">
        <v>151</v>
      </c>
      <c r="C13" s="31" t="s">
        <v>162</v>
      </c>
      <c r="D13" s="44">
        <v>1000</v>
      </c>
      <c r="E13" s="31"/>
      <c r="F13" s="5" t="s">
        <v>153</v>
      </c>
    </row>
    <row r="14" spans="1:16">
      <c r="A14" s="30" t="s">
        <v>142</v>
      </c>
      <c r="B14" s="31" t="s">
        <v>154</v>
      </c>
      <c r="C14" s="31" t="s">
        <v>163</v>
      </c>
      <c r="D14" s="44">
        <v>1000</v>
      </c>
      <c r="E14" s="31"/>
      <c r="F14" s="5" t="s">
        <v>156</v>
      </c>
    </row>
    <row r="15" spans="1:16">
      <c r="A15" s="30" t="s">
        <v>142</v>
      </c>
      <c r="B15" s="31" t="s">
        <v>157</v>
      </c>
      <c r="C15" s="31" t="s">
        <v>164</v>
      </c>
      <c r="D15" s="44">
        <v>1000</v>
      </c>
      <c r="E15" s="31"/>
      <c r="F15" s="5" t="s">
        <v>156</v>
      </c>
    </row>
    <row r="16" spans="1:16" ht="28.5">
      <c r="A16" s="30" t="s">
        <v>142</v>
      </c>
      <c r="B16" s="31" t="s">
        <v>117</v>
      </c>
      <c r="C16" s="31" t="s">
        <v>144</v>
      </c>
      <c r="D16" s="44">
        <v>1000</v>
      </c>
      <c r="E16" s="31" t="s">
        <v>159</v>
      </c>
      <c r="F16" s="5" t="s">
        <v>156</v>
      </c>
    </row>
    <row r="17" spans="1:6">
      <c r="A17" s="30" t="s">
        <v>142</v>
      </c>
      <c r="B17" s="31" t="s">
        <v>160</v>
      </c>
      <c r="C17" s="31" t="s">
        <v>165</v>
      </c>
      <c r="D17" s="44">
        <v>2000</v>
      </c>
      <c r="E17" s="31"/>
      <c r="F17" s="5" t="s">
        <v>156</v>
      </c>
    </row>
    <row r="18" spans="1:6">
      <c r="A18" s="30" t="s">
        <v>142</v>
      </c>
      <c r="B18" s="31" t="s">
        <v>166</v>
      </c>
      <c r="C18" s="31" t="s">
        <v>167</v>
      </c>
      <c r="D18" s="44">
        <v>1000</v>
      </c>
      <c r="E18" s="31"/>
      <c r="F18" s="5" t="s">
        <v>156</v>
      </c>
    </row>
    <row r="19" spans="1:6">
      <c r="A19" s="30" t="s">
        <v>145</v>
      </c>
      <c r="B19" s="31" t="s">
        <v>151</v>
      </c>
      <c r="C19" s="31" t="s">
        <v>168</v>
      </c>
      <c r="D19" s="44">
        <v>1000</v>
      </c>
      <c r="E19" s="31"/>
      <c r="F19" s="5" t="s">
        <v>153</v>
      </c>
    </row>
    <row r="20" spans="1:6">
      <c r="A20" s="30" t="s">
        <v>145</v>
      </c>
      <c r="B20" s="31" t="s">
        <v>154</v>
      </c>
      <c r="C20" s="31" t="s">
        <v>169</v>
      </c>
      <c r="D20" s="44">
        <v>1000</v>
      </c>
      <c r="E20" s="31"/>
      <c r="F20" s="5" t="s">
        <v>156</v>
      </c>
    </row>
    <row r="21" spans="1:6">
      <c r="A21" s="30" t="s">
        <v>145</v>
      </c>
      <c r="B21" s="31" t="s">
        <v>157</v>
      </c>
      <c r="C21" s="31" t="s">
        <v>170</v>
      </c>
      <c r="D21" s="44">
        <v>1000</v>
      </c>
      <c r="E21" s="31"/>
      <c r="F21" s="5" t="s">
        <v>156</v>
      </c>
    </row>
    <row r="22" spans="1:6">
      <c r="A22" s="30" t="s">
        <v>145</v>
      </c>
      <c r="B22" s="31" t="s">
        <v>171</v>
      </c>
      <c r="C22" s="31" t="s">
        <v>147</v>
      </c>
      <c r="D22" s="44">
        <v>1000</v>
      </c>
      <c r="E22" s="31" t="s">
        <v>172</v>
      </c>
      <c r="F22" s="5" t="s">
        <v>156</v>
      </c>
    </row>
    <row r="23" spans="1:6">
      <c r="A23" s="32" t="s">
        <v>145</v>
      </c>
      <c r="B23" s="33" t="s">
        <v>173</v>
      </c>
      <c r="C23" s="33" t="s">
        <v>163</v>
      </c>
      <c r="D23" s="45">
        <v>0</v>
      </c>
      <c r="E23" s="33" t="s">
        <v>174</v>
      </c>
      <c r="F23" s="6" t="s">
        <v>156</v>
      </c>
    </row>
    <row r="24" spans="1:6">
      <c r="A24" s="31" t="s">
        <v>145</v>
      </c>
      <c r="B24" s="31" t="s">
        <v>160</v>
      </c>
      <c r="C24" s="31" t="s">
        <v>175</v>
      </c>
      <c r="D24" s="44">
        <v>2000</v>
      </c>
      <c r="E24" s="31"/>
      <c r="F24" s="31" t="s">
        <v>156</v>
      </c>
    </row>
    <row r="25" spans="1:6">
      <c r="A25" s="31" t="s">
        <v>145</v>
      </c>
      <c r="B25" s="31" t="s">
        <v>166</v>
      </c>
      <c r="C25" s="31" t="s">
        <v>176</v>
      </c>
      <c r="D25" s="44">
        <v>1000</v>
      </c>
      <c r="E25" s="31"/>
      <c r="F25" s="31" t="s">
        <v>156</v>
      </c>
    </row>
    <row r="26" spans="1:6">
      <c r="A26" s="31" t="s">
        <v>145</v>
      </c>
      <c r="B26" s="31" t="s">
        <v>177</v>
      </c>
      <c r="C26" s="31" t="s">
        <v>178</v>
      </c>
      <c r="D26" s="44">
        <v>1000</v>
      </c>
      <c r="E26" s="31"/>
      <c r="F26" s="31" t="s">
        <v>156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30"/>
  <sheetViews>
    <sheetView workbookViewId="0">
      <selection activeCell="I10" sqref="I10"/>
    </sheetView>
  </sheetViews>
  <sheetFormatPr defaultRowHeight="14.25"/>
  <cols>
    <col min="1" max="1" width="13" customWidth="1"/>
    <col min="2" max="2" width="11" bestFit="1" customWidth="1"/>
    <col min="3" max="3" width="19.25" bestFit="1" customWidth="1"/>
    <col min="4" max="5" width="17.25" bestFit="1" customWidth="1"/>
    <col min="6" max="6" width="35.875" bestFit="1" customWidth="1"/>
    <col min="8" max="8" width="9" bestFit="1" customWidth="1"/>
    <col min="9" max="9" width="32.375" bestFit="1" customWidth="1"/>
    <col min="10" max="10" width="13" bestFit="1" customWidth="1"/>
    <col min="12" max="12" width="15.125" bestFit="1" customWidth="1"/>
    <col min="13" max="13" width="54.625" bestFit="1" customWidth="1"/>
  </cols>
  <sheetData>
    <row r="1" spans="1:13" ht="15">
      <c r="A1" s="35" t="s">
        <v>179</v>
      </c>
      <c r="B1" s="35" t="s">
        <v>180</v>
      </c>
      <c r="C1" s="35" t="s">
        <v>181</v>
      </c>
      <c r="D1" s="35" t="s">
        <v>182</v>
      </c>
      <c r="E1" s="35" t="s">
        <v>183</v>
      </c>
      <c r="F1" s="35" t="s">
        <v>184</v>
      </c>
      <c r="G1" s="36"/>
      <c r="H1" s="35" t="s">
        <v>185</v>
      </c>
      <c r="I1" s="35" t="s">
        <v>186</v>
      </c>
      <c r="J1" s="35" t="s">
        <v>187</v>
      </c>
      <c r="K1" s="36"/>
      <c r="L1" s="35" t="s">
        <v>188</v>
      </c>
      <c r="M1" s="35" t="s">
        <v>189</v>
      </c>
    </row>
    <row r="2" spans="1:13">
      <c r="A2" s="36">
        <v>0</v>
      </c>
      <c r="B2" s="37" t="s">
        <v>190</v>
      </c>
      <c r="C2" s="37" t="s">
        <v>191</v>
      </c>
      <c r="D2" s="38">
        <v>26</v>
      </c>
      <c r="E2" s="38">
        <v>3</v>
      </c>
      <c r="F2" s="38">
        <v>19.666666666666668</v>
      </c>
      <c r="G2" s="36"/>
      <c r="H2" s="36">
        <v>0</v>
      </c>
      <c r="I2" s="39">
        <v>19.666666666666668</v>
      </c>
      <c r="J2" s="36">
        <v>3</v>
      </c>
      <c r="K2" s="36"/>
      <c r="L2" s="37" t="s">
        <v>192</v>
      </c>
      <c r="M2" s="37" t="s">
        <v>193</v>
      </c>
    </row>
    <row r="3" spans="1:13">
      <c r="A3" s="36">
        <v>0</v>
      </c>
      <c r="B3" s="37" t="s">
        <v>194</v>
      </c>
      <c r="C3" s="37" t="s">
        <v>195</v>
      </c>
      <c r="D3" s="38">
        <v>12</v>
      </c>
      <c r="E3" s="38">
        <v>3</v>
      </c>
      <c r="F3" s="38">
        <v>19.666666666666668</v>
      </c>
      <c r="G3" s="36"/>
      <c r="H3" s="36">
        <v>1</v>
      </c>
      <c r="I3" s="39">
        <v>19.666666666666668</v>
      </c>
      <c r="J3" s="36">
        <v>3</v>
      </c>
      <c r="K3" s="36"/>
      <c r="L3" s="37" t="s">
        <v>196</v>
      </c>
      <c r="M3" s="37" t="s">
        <v>197</v>
      </c>
    </row>
    <row r="4" spans="1:13">
      <c r="A4" s="36">
        <v>0</v>
      </c>
      <c r="B4" s="37" t="s">
        <v>198</v>
      </c>
      <c r="C4" s="37" t="s">
        <v>199</v>
      </c>
      <c r="D4" s="38">
        <v>21</v>
      </c>
      <c r="E4" s="38">
        <v>3</v>
      </c>
      <c r="F4" s="38">
        <v>19.666666666666668</v>
      </c>
      <c r="G4" s="36"/>
      <c r="H4" s="36">
        <v>2</v>
      </c>
      <c r="I4" s="39">
        <v>19.666666666666668</v>
      </c>
      <c r="J4" s="36">
        <v>3</v>
      </c>
      <c r="K4" s="36"/>
      <c r="L4" s="37" t="s">
        <v>200</v>
      </c>
      <c r="M4" s="37" t="s">
        <v>201</v>
      </c>
    </row>
    <row r="5" spans="1:13" ht="28.5">
      <c r="A5" s="36">
        <v>9</v>
      </c>
      <c r="B5" s="37" t="s">
        <v>202</v>
      </c>
      <c r="C5" s="37" t="s">
        <v>203</v>
      </c>
      <c r="D5" s="38">
        <v>218</v>
      </c>
      <c r="E5" s="38">
        <v>4</v>
      </c>
      <c r="F5" s="38">
        <v>69.25</v>
      </c>
      <c r="G5" s="36"/>
      <c r="H5" s="36">
        <v>3</v>
      </c>
      <c r="I5" s="39">
        <v>19.666666666666668</v>
      </c>
      <c r="J5" s="36">
        <v>3</v>
      </c>
      <c r="K5" s="36"/>
      <c r="L5" s="37" t="s">
        <v>204</v>
      </c>
      <c r="M5" s="37" t="s">
        <v>205</v>
      </c>
    </row>
    <row r="6" spans="1:13">
      <c r="A6" s="36">
        <v>14</v>
      </c>
      <c r="B6" s="37" t="s">
        <v>206</v>
      </c>
      <c r="C6" s="37" t="s">
        <v>207</v>
      </c>
      <c r="D6" s="38">
        <v>29.5</v>
      </c>
      <c r="E6" s="38">
        <v>5</v>
      </c>
      <c r="F6" s="38">
        <v>61.3</v>
      </c>
      <c r="G6" s="36"/>
      <c r="H6" s="36">
        <v>4</v>
      </c>
      <c r="I6" s="39">
        <v>19.666666666666668</v>
      </c>
      <c r="J6" s="36">
        <v>3</v>
      </c>
      <c r="K6" s="36"/>
      <c r="L6" s="36"/>
      <c r="M6" s="36"/>
    </row>
    <row r="7" spans="1:13">
      <c r="A7" s="36">
        <v>19</v>
      </c>
      <c r="B7" s="37" t="s">
        <v>208</v>
      </c>
      <c r="C7" s="37" t="s">
        <v>209</v>
      </c>
      <c r="D7" s="38">
        <v>42</v>
      </c>
      <c r="E7" s="38">
        <v>6</v>
      </c>
      <c r="F7" s="38">
        <v>58.083333333333336</v>
      </c>
      <c r="G7" s="36"/>
      <c r="H7" s="36">
        <v>5</v>
      </c>
      <c r="I7" s="39">
        <v>19.666666666666668</v>
      </c>
      <c r="J7" s="36">
        <v>3</v>
      </c>
      <c r="K7" s="36"/>
      <c r="L7" s="36"/>
      <c r="M7" s="36"/>
    </row>
    <row r="8" spans="1:13">
      <c r="A8" s="36">
        <v>20</v>
      </c>
      <c r="B8" s="37" t="s">
        <v>210</v>
      </c>
      <c r="C8" s="37" t="s">
        <v>211</v>
      </c>
      <c r="D8" s="38">
        <v>68</v>
      </c>
      <c r="E8" s="38">
        <v>7</v>
      </c>
      <c r="F8" s="38">
        <v>59.5</v>
      </c>
      <c r="G8" s="36"/>
      <c r="H8" s="36">
        <v>6</v>
      </c>
      <c r="I8" s="39">
        <v>19.666666666666668</v>
      </c>
      <c r="J8" s="36">
        <v>3</v>
      </c>
      <c r="K8" s="36"/>
      <c r="L8" s="36"/>
      <c r="M8" s="36"/>
    </row>
    <row r="9" spans="1:13">
      <c r="A9" s="36">
        <v>23</v>
      </c>
      <c r="B9" s="37" t="s">
        <v>212</v>
      </c>
      <c r="C9" s="37" t="s">
        <v>213</v>
      </c>
      <c r="D9" s="38">
        <v>100</v>
      </c>
      <c r="E9" s="38">
        <v>8</v>
      </c>
      <c r="F9" s="38">
        <v>64.5625</v>
      </c>
      <c r="G9" s="36"/>
      <c r="H9" s="36">
        <v>7</v>
      </c>
      <c r="I9" s="39">
        <v>19.666666666666668</v>
      </c>
      <c r="J9" s="36">
        <v>3</v>
      </c>
      <c r="K9" s="36"/>
      <c r="L9" s="36"/>
      <c r="M9" s="36"/>
    </row>
    <row r="10" spans="1:13">
      <c r="A10" s="36">
        <v>25</v>
      </c>
      <c r="B10" s="37" t="s">
        <v>214</v>
      </c>
      <c r="C10" s="37" t="s">
        <v>215</v>
      </c>
      <c r="D10" s="38">
        <v>688</v>
      </c>
      <c r="E10" s="38">
        <v>9</v>
      </c>
      <c r="F10" s="38">
        <v>133.83333333333334</v>
      </c>
      <c r="G10" s="36"/>
      <c r="H10" s="36">
        <v>8</v>
      </c>
      <c r="I10" s="39">
        <v>19.666666666666668</v>
      </c>
      <c r="J10" s="36">
        <v>3</v>
      </c>
      <c r="K10" s="36"/>
      <c r="L10" s="36"/>
      <c r="M10" s="36"/>
    </row>
    <row r="11" spans="1:13">
      <c r="A11" s="36">
        <v>26</v>
      </c>
      <c r="B11" s="37" t="s">
        <v>216</v>
      </c>
      <c r="C11" s="37" t="s">
        <v>217</v>
      </c>
      <c r="D11" s="38">
        <v>54</v>
      </c>
      <c r="E11" s="38">
        <v>11</v>
      </c>
      <c r="F11" s="38">
        <v>117.13636363636364</v>
      </c>
      <c r="G11" s="36"/>
      <c r="H11" s="36">
        <v>9</v>
      </c>
      <c r="I11" s="39">
        <v>69.25</v>
      </c>
      <c r="J11" s="36">
        <v>4</v>
      </c>
      <c r="K11" s="36"/>
      <c r="L11" s="36"/>
      <c r="M11" s="36"/>
    </row>
    <row r="12" spans="1:13">
      <c r="A12" s="36">
        <v>26</v>
      </c>
      <c r="B12" s="37" t="s">
        <v>218</v>
      </c>
      <c r="C12" s="37" t="s">
        <v>219</v>
      </c>
      <c r="D12" s="38">
        <v>30</v>
      </c>
      <c r="E12" s="38">
        <v>11</v>
      </c>
      <c r="F12" s="38">
        <v>117.13636363636364</v>
      </c>
      <c r="G12" s="36"/>
      <c r="H12" s="36">
        <v>10</v>
      </c>
      <c r="I12" s="39">
        <v>69.25</v>
      </c>
      <c r="J12" s="36">
        <v>4</v>
      </c>
      <c r="K12" s="36"/>
      <c r="L12" s="36"/>
      <c r="M12" s="36"/>
    </row>
    <row r="13" spans="1:13">
      <c r="A13" s="36">
        <v>28</v>
      </c>
      <c r="B13" s="37" t="s">
        <v>220</v>
      </c>
      <c r="C13" s="37" t="s">
        <v>221</v>
      </c>
      <c r="D13" s="38">
        <v>61</v>
      </c>
      <c r="E13" s="38">
        <v>13</v>
      </c>
      <c r="F13" s="38">
        <v>107.73076923076923</v>
      </c>
      <c r="G13" s="36"/>
      <c r="H13" s="36">
        <v>11</v>
      </c>
      <c r="I13" s="39">
        <v>69.25</v>
      </c>
      <c r="J13" s="36">
        <v>4</v>
      </c>
      <c r="K13" s="36"/>
      <c r="L13" s="36"/>
      <c r="M13" s="36"/>
    </row>
    <row r="14" spans="1:13">
      <c r="A14" s="36">
        <v>28</v>
      </c>
      <c r="B14" s="37" t="s">
        <v>222</v>
      </c>
      <c r="C14" s="37" t="s">
        <v>223</v>
      </c>
      <c r="D14" s="38">
        <v>51</v>
      </c>
      <c r="E14" s="38">
        <v>13</v>
      </c>
      <c r="F14" s="38">
        <v>107.73076923076923</v>
      </c>
      <c r="G14" s="36"/>
      <c r="H14" s="36">
        <v>12</v>
      </c>
      <c r="I14" s="39">
        <v>69.25</v>
      </c>
      <c r="J14" s="36">
        <v>4</v>
      </c>
      <c r="K14" s="36"/>
      <c r="L14" s="36"/>
      <c r="M14" s="36"/>
    </row>
    <row r="15" spans="1:13">
      <c r="A15" s="36">
        <v>33</v>
      </c>
      <c r="B15" s="37" t="s">
        <v>224</v>
      </c>
      <c r="C15" s="37" t="s">
        <v>225</v>
      </c>
      <c r="D15" s="38">
        <v>87</v>
      </c>
      <c r="E15" s="38">
        <v>14</v>
      </c>
      <c r="F15" s="38">
        <v>106.25</v>
      </c>
      <c r="G15" s="36"/>
      <c r="H15" s="36">
        <v>13</v>
      </c>
      <c r="I15" s="39">
        <v>69.25</v>
      </c>
      <c r="J15" s="36">
        <v>4</v>
      </c>
      <c r="K15" s="36"/>
      <c r="L15" s="36"/>
      <c r="M15" s="36"/>
    </row>
    <row r="16" spans="1:13">
      <c r="A16" s="36">
        <v>35</v>
      </c>
      <c r="B16" s="37" t="s">
        <v>226</v>
      </c>
      <c r="C16" s="37" t="s">
        <v>227</v>
      </c>
      <c r="D16" s="38">
        <v>74</v>
      </c>
      <c r="E16" s="38">
        <v>15</v>
      </c>
      <c r="F16" s="38">
        <v>104.1</v>
      </c>
      <c r="G16" s="36"/>
      <c r="H16" s="36">
        <v>14</v>
      </c>
      <c r="I16" s="39">
        <v>61.3</v>
      </c>
      <c r="J16" s="36">
        <v>5</v>
      </c>
      <c r="K16" s="36"/>
      <c r="L16" s="36"/>
      <c r="M16" s="36"/>
    </row>
    <row r="17" spans="1:13">
      <c r="A17" s="36">
        <v>36</v>
      </c>
      <c r="B17" s="37" t="s">
        <v>228</v>
      </c>
      <c r="C17" s="37" t="s">
        <v>229</v>
      </c>
      <c r="D17" s="38">
        <v>149</v>
      </c>
      <c r="E17" s="38">
        <v>16</v>
      </c>
      <c r="F17" s="38">
        <v>106.90625</v>
      </c>
      <c r="G17" s="36"/>
      <c r="H17" s="36">
        <v>15</v>
      </c>
      <c r="I17" s="39">
        <v>61.3</v>
      </c>
      <c r="J17" s="36">
        <v>5</v>
      </c>
      <c r="K17" s="36"/>
      <c r="L17" s="36"/>
      <c r="M17" s="36"/>
    </row>
    <row r="18" spans="1:13">
      <c r="A18" s="36">
        <v>37</v>
      </c>
      <c r="B18" s="37" t="s">
        <v>230</v>
      </c>
      <c r="C18" s="37" t="s">
        <v>231</v>
      </c>
      <c r="D18" s="38">
        <v>49</v>
      </c>
      <c r="E18" s="38">
        <v>17</v>
      </c>
      <c r="F18" s="38">
        <v>103.5</v>
      </c>
      <c r="G18" s="36"/>
      <c r="H18" s="36">
        <v>16</v>
      </c>
      <c r="I18" s="39">
        <v>61.3</v>
      </c>
      <c r="J18" s="36">
        <v>5</v>
      </c>
      <c r="K18" s="36"/>
      <c r="L18" s="36"/>
      <c r="M18" s="36"/>
    </row>
    <row r="19" spans="1:13">
      <c r="A19" s="36">
        <v>40</v>
      </c>
      <c r="B19" s="37" t="s">
        <v>232</v>
      </c>
      <c r="C19" s="37" t="s">
        <v>233</v>
      </c>
      <c r="D19" s="38">
        <v>175</v>
      </c>
      <c r="E19" s="38">
        <v>18</v>
      </c>
      <c r="F19" s="38">
        <v>107.47222222222223</v>
      </c>
      <c r="G19" s="36"/>
      <c r="H19" s="36">
        <v>17</v>
      </c>
      <c r="I19" s="39">
        <v>61.3</v>
      </c>
      <c r="J19" s="36">
        <v>5</v>
      </c>
      <c r="K19" s="36"/>
      <c r="L19" s="36"/>
      <c r="M19" s="36"/>
    </row>
    <row r="20" spans="1:13">
      <c r="A20" s="36">
        <v>44</v>
      </c>
      <c r="B20" s="37" t="s">
        <v>234</v>
      </c>
      <c r="C20" s="37" t="s">
        <v>235</v>
      </c>
      <c r="D20" s="38">
        <v>60</v>
      </c>
      <c r="E20" s="38">
        <v>19</v>
      </c>
      <c r="F20" s="38">
        <v>104.97368421052632</v>
      </c>
      <c r="G20" s="36"/>
      <c r="H20" s="36">
        <v>18</v>
      </c>
      <c r="I20" s="39">
        <v>61.3</v>
      </c>
      <c r="J20" s="36">
        <v>5</v>
      </c>
      <c r="K20" s="36"/>
      <c r="L20" s="36"/>
      <c r="M20" s="36"/>
    </row>
    <row r="21" spans="1:13">
      <c r="A21" s="36">
        <v>48</v>
      </c>
      <c r="B21" s="37" t="s">
        <v>236</v>
      </c>
      <c r="C21" s="37" t="s">
        <v>237</v>
      </c>
      <c r="D21" s="38">
        <v>400</v>
      </c>
      <c r="E21" s="38">
        <v>20</v>
      </c>
      <c r="F21" s="38">
        <v>119.72499999999999</v>
      </c>
      <c r="G21" s="36"/>
      <c r="H21" s="36">
        <v>19</v>
      </c>
      <c r="I21" s="39">
        <v>58.083333333333336</v>
      </c>
      <c r="J21" s="36">
        <v>6</v>
      </c>
      <c r="K21" s="36"/>
      <c r="L21" s="36"/>
      <c r="M21" s="36"/>
    </row>
    <row r="22" spans="1:13">
      <c r="A22" s="36">
        <v>49</v>
      </c>
      <c r="B22" s="37" t="s">
        <v>238</v>
      </c>
      <c r="C22" s="37" t="s">
        <v>239</v>
      </c>
      <c r="D22" s="38">
        <v>200</v>
      </c>
      <c r="E22" s="38">
        <v>21</v>
      </c>
      <c r="F22" s="38">
        <v>123.54761904761905</v>
      </c>
      <c r="G22" s="36"/>
      <c r="H22" s="36">
        <v>20</v>
      </c>
      <c r="I22" s="39">
        <v>59.5</v>
      </c>
      <c r="J22" s="36">
        <v>7</v>
      </c>
      <c r="K22" s="36"/>
      <c r="L22" s="36"/>
      <c r="M22" s="36"/>
    </row>
    <row r="23" spans="1:13">
      <c r="A23" s="36">
        <v>50</v>
      </c>
      <c r="B23" s="37" t="s">
        <v>240</v>
      </c>
      <c r="C23" s="37" t="s">
        <v>241</v>
      </c>
      <c r="D23" s="38">
        <v>68</v>
      </c>
      <c r="E23" s="38">
        <v>22</v>
      </c>
      <c r="F23" s="38">
        <v>121.02272727272727</v>
      </c>
      <c r="G23" s="36"/>
      <c r="H23" s="36">
        <v>21</v>
      </c>
      <c r="I23" s="39">
        <v>59.5</v>
      </c>
      <c r="J23" s="36">
        <v>7</v>
      </c>
      <c r="K23" s="36"/>
      <c r="L23" s="36"/>
      <c r="M23" s="36"/>
    </row>
    <row r="24" spans="1:13">
      <c r="A24" s="36">
        <v>52</v>
      </c>
      <c r="B24" s="37" t="s">
        <v>242</v>
      </c>
      <c r="C24" s="37" t="s">
        <v>243</v>
      </c>
      <c r="D24" s="38">
        <v>28</v>
      </c>
      <c r="E24" s="38">
        <v>23</v>
      </c>
      <c r="F24" s="38">
        <v>116.97826086956522</v>
      </c>
      <c r="G24" s="36"/>
      <c r="H24" s="36">
        <v>22</v>
      </c>
      <c r="I24" s="39">
        <v>59.5</v>
      </c>
      <c r="J24" s="36">
        <v>7</v>
      </c>
      <c r="K24" s="36"/>
      <c r="L24" s="36"/>
      <c r="M24" s="36"/>
    </row>
    <row r="25" spans="1:13">
      <c r="A25" s="36">
        <v>55</v>
      </c>
      <c r="B25" s="37" t="s">
        <v>244</v>
      </c>
      <c r="C25" s="37" t="s">
        <v>245</v>
      </c>
      <c r="D25" s="38">
        <v>261</v>
      </c>
      <c r="E25" s="38">
        <v>24</v>
      </c>
      <c r="F25" s="38">
        <v>122.97916666666667</v>
      </c>
      <c r="G25" s="36"/>
      <c r="H25" s="36">
        <v>23</v>
      </c>
      <c r="I25" s="39">
        <v>64.5625</v>
      </c>
      <c r="J25" s="36">
        <v>8</v>
      </c>
      <c r="K25" s="36"/>
      <c r="L25" s="36"/>
      <c r="M25" s="36"/>
    </row>
    <row r="26" spans="1:13">
      <c r="A26" s="36">
        <v>58</v>
      </c>
      <c r="B26" s="37" t="s">
        <v>246</v>
      </c>
      <c r="C26" s="37" t="s">
        <v>247</v>
      </c>
      <c r="D26" s="38">
        <v>161</v>
      </c>
      <c r="E26" s="38">
        <v>25</v>
      </c>
      <c r="F26" s="38">
        <v>124.5</v>
      </c>
      <c r="G26" s="36"/>
      <c r="H26" s="36">
        <v>24</v>
      </c>
      <c r="I26" s="39">
        <v>64.5625</v>
      </c>
      <c r="J26" s="36">
        <v>8</v>
      </c>
      <c r="K26" s="36"/>
      <c r="L26" s="36"/>
      <c r="M26" s="36"/>
    </row>
    <row r="27" spans="1:13">
      <c r="A27" s="36">
        <v>59</v>
      </c>
      <c r="B27" s="37" t="s">
        <v>248</v>
      </c>
      <c r="C27" s="37" t="s">
        <v>249</v>
      </c>
      <c r="D27" s="38">
        <v>55</v>
      </c>
      <c r="E27" s="38">
        <v>26</v>
      </c>
      <c r="F27" s="38">
        <v>121.82692307692308</v>
      </c>
      <c r="G27" s="36"/>
      <c r="H27" s="36">
        <v>25</v>
      </c>
      <c r="I27" s="39">
        <v>133.83333333333334</v>
      </c>
      <c r="J27" s="36">
        <v>9</v>
      </c>
      <c r="K27" s="36"/>
      <c r="L27" s="36"/>
      <c r="M27" s="36"/>
    </row>
    <row r="28" spans="1:13">
      <c r="A28" s="36">
        <v>60</v>
      </c>
      <c r="B28" s="37" t="s">
        <v>250</v>
      </c>
      <c r="C28" s="37" t="s">
        <v>251</v>
      </c>
      <c r="D28" s="38">
        <v>28</v>
      </c>
      <c r="E28" s="38">
        <v>27</v>
      </c>
      <c r="F28" s="38">
        <v>118.35185185185185</v>
      </c>
      <c r="G28" s="36"/>
      <c r="H28" s="36">
        <v>26</v>
      </c>
      <c r="I28" s="39">
        <v>117.13636363636364</v>
      </c>
      <c r="J28" s="36">
        <v>11</v>
      </c>
      <c r="K28" s="36"/>
      <c r="L28" s="36"/>
      <c r="M28" s="36"/>
    </row>
    <row r="29" spans="1:13">
      <c r="A29" s="36">
        <v>62</v>
      </c>
      <c r="B29" s="37" t="s">
        <v>252</v>
      </c>
      <c r="C29" s="37" t="s">
        <v>253</v>
      </c>
      <c r="D29" s="38">
        <v>86</v>
      </c>
      <c r="E29" s="38">
        <v>28</v>
      </c>
      <c r="F29" s="38">
        <v>117.19642857142857</v>
      </c>
      <c r="G29" s="36"/>
      <c r="H29" s="36">
        <v>27</v>
      </c>
      <c r="I29" s="39">
        <v>117.13636363636364</v>
      </c>
      <c r="J29" s="36">
        <v>11</v>
      </c>
      <c r="K29" s="36"/>
      <c r="L29" s="36"/>
      <c r="M29" s="36"/>
    </row>
    <row r="30" spans="1:13">
      <c r="A30" s="36">
        <v>67</v>
      </c>
      <c r="B30" s="37" t="s">
        <v>254</v>
      </c>
      <c r="C30" s="37" t="s">
        <v>255</v>
      </c>
      <c r="D30" s="38">
        <v>323</v>
      </c>
      <c r="E30" s="38">
        <v>29</v>
      </c>
      <c r="F30" s="38">
        <v>124.29310344827586</v>
      </c>
      <c r="G30" s="36"/>
      <c r="H30" s="36">
        <v>28</v>
      </c>
      <c r="I30" s="39">
        <v>107.73076923076923</v>
      </c>
      <c r="J30" s="36">
        <v>13</v>
      </c>
      <c r="K30" s="36"/>
      <c r="L30" s="36"/>
      <c r="M30" s="36"/>
    </row>
    <row r="31" spans="1:13">
      <c r="A31" s="36">
        <v>72</v>
      </c>
      <c r="B31" s="37" t="s">
        <v>256</v>
      </c>
      <c r="C31" s="37" t="s">
        <v>257</v>
      </c>
      <c r="D31" s="38">
        <v>119</v>
      </c>
      <c r="E31" s="38">
        <v>31</v>
      </c>
      <c r="F31" s="38">
        <v>122.14516129032258</v>
      </c>
      <c r="G31" s="36"/>
      <c r="H31" s="36">
        <v>29</v>
      </c>
      <c r="I31" s="39">
        <v>107.73076923076923</v>
      </c>
      <c r="J31" s="36">
        <v>13</v>
      </c>
      <c r="K31" s="36"/>
      <c r="L31" s="36"/>
      <c r="M31" s="36"/>
    </row>
    <row r="32" spans="1:13">
      <c r="A32" s="36">
        <v>72</v>
      </c>
      <c r="B32" s="37" t="s">
        <v>258</v>
      </c>
      <c r="C32" s="37" t="s">
        <v>259</v>
      </c>
      <c r="D32" s="38">
        <v>63</v>
      </c>
      <c r="E32" s="38">
        <v>31</v>
      </c>
      <c r="F32" s="38">
        <v>122.14516129032258</v>
      </c>
      <c r="G32" s="36"/>
      <c r="H32" s="36">
        <v>30</v>
      </c>
      <c r="I32" s="39">
        <v>107.73076923076923</v>
      </c>
      <c r="J32" s="36">
        <v>13</v>
      </c>
      <c r="K32" s="36"/>
      <c r="L32" s="36"/>
      <c r="M32" s="36"/>
    </row>
    <row r="33" spans="1:13">
      <c r="A33" s="36">
        <v>75</v>
      </c>
      <c r="B33" s="37" t="s">
        <v>260</v>
      </c>
      <c r="C33" s="37" t="s">
        <v>261</v>
      </c>
      <c r="D33" s="38">
        <v>810</v>
      </c>
      <c r="E33" s="38">
        <v>32</v>
      </c>
      <c r="F33" s="38">
        <v>143.640625</v>
      </c>
      <c r="G33" s="36"/>
      <c r="H33" s="36">
        <v>31</v>
      </c>
      <c r="I33" s="39">
        <v>107.73076923076923</v>
      </c>
      <c r="J33" s="36">
        <v>13</v>
      </c>
      <c r="K33" s="36"/>
      <c r="L33" s="36"/>
      <c r="M33" s="36"/>
    </row>
    <row r="34" spans="1:13">
      <c r="A34" s="36">
        <v>76</v>
      </c>
      <c r="B34" s="37" t="s">
        <v>262</v>
      </c>
      <c r="C34" s="37" t="s">
        <v>263</v>
      </c>
      <c r="D34" s="38">
        <v>98</v>
      </c>
      <c r="E34" s="38">
        <v>33</v>
      </c>
      <c r="F34" s="38">
        <v>142.25757575757575</v>
      </c>
      <c r="G34" s="36"/>
      <c r="H34" s="36">
        <v>32</v>
      </c>
      <c r="I34" s="39">
        <v>107.73076923076923</v>
      </c>
      <c r="J34" s="36">
        <v>13</v>
      </c>
      <c r="K34" s="36"/>
      <c r="L34" s="36"/>
      <c r="M34" s="36"/>
    </row>
    <row r="35" spans="1:13">
      <c r="A35" s="36">
        <v>78</v>
      </c>
      <c r="B35" s="37" t="s">
        <v>264</v>
      </c>
      <c r="C35" s="37" t="s">
        <v>265</v>
      </c>
      <c r="D35" s="38">
        <v>366</v>
      </c>
      <c r="E35" s="38">
        <v>34</v>
      </c>
      <c r="F35" s="38">
        <v>148.83823529411765</v>
      </c>
      <c r="G35" s="36"/>
      <c r="H35" s="36">
        <v>33</v>
      </c>
      <c r="I35" s="39">
        <v>106.25</v>
      </c>
      <c r="J35" s="36">
        <v>14</v>
      </c>
      <c r="K35" s="36"/>
      <c r="L35" s="36"/>
      <c r="M35" s="36"/>
    </row>
    <row r="36" spans="1:13">
      <c r="A36" s="36">
        <v>81</v>
      </c>
      <c r="B36" s="37" t="s">
        <v>266</v>
      </c>
      <c r="C36" s="37" t="s">
        <v>267</v>
      </c>
      <c r="D36" s="38">
        <v>140</v>
      </c>
      <c r="E36" s="38">
        <v>35</v>
      </c>
      <c r="F36" s="38">
        <v>148.58571428571429</v>
      </c>
      <c r="G36" s="36"/>
      <c r="H36" s="36">
        <v>34</v>
      </c>
      <c r="I36" s="39">
        <v>106.25</v>
      </c>
      <c r="J36" s="36">
        <v>14</v>
      </c>
      <c r="K36" s="36"/>
      <c r="L36" s="36"/>
      <c r="M36" s="36"/>
    </row>
    <row r="37" spans="1:13">
      <c r="A37" s="36">
        <v>85</v>
      </c>
      <c r="B37" s="37" t="s">
        <v>268</v>
      </c>
      <c r="C37" s="37" t="s">
        <v>269</v>
      </c>
      <c r="D37" s="38">
        <v>83</v>
      </c>
      <c r="E37" s="38">
        <v>36</v>
      </c>
      <c r="F37" s="38">
        <v>146.76388888888889</v>
      </c>
      <c r="G37" s="36"/>
      <c r="H37" s="36">
        <v>35</v>
      </c>
      <c r="I37" s="39">
        <v>104.1</v>
      </c>
      <c r="J37" s="36">
        <v>15</v>
      </c>
      <c r="K37" s="36"/>
      <c r="L37" s="36"/>
      <c r="M37" s="36"/>
    </row>
    <row r="38" spans="1:13">
      <c r="A38" s="36">
        <v>86</v>
      </c>
      <c r="B38" s="37" t="s">
        <v>270</v>
      </c>
      <c r="C38" s="37" t="s">
        <v>271</v>
      </c>
      <c r="D38" s="38">
        <v>37.5</v>
      </c>
      <c r="E38" s="38">
        <v>37</v>
      </c>
      <c r="F38" s="38">
        <v>143.81081081081081</v>
      </c>
      <c r="G38" s="36"/>
      <c r="H38" s="36">
        <v>36</v>
      </c>
      <c r="I38" s="39">
        <v>106.90625</v>
      </c>
      <c r="J38" s="36">
        <v>16</v>
      </c>
      <c r="K38" s="36"/>
      <c r="L38" s="36"/>
      <c r="M38" s="36"/>
    </row>
    <row r="39" spans="1:13">
      <c r="A39" s="36">
        <v>89</v>
      </c>
      <c r="B39" s="37" t="s">
        <v>272</v>
      </c>
      <c r="C39" s="37" t="s">
        <v>273</v>
      </c>
      <c r="D39" s="38">
        <v>114</v>
      </c>
      <c r="E39" s="38">
        <v>38</v>
      </c>
      <c r="F39" s="38">
        <v>143.02631578947367</v>
      </c>
      <c r="G39" s="36"/>
      <c r="H39" s="36">
        <v>37</v>
      </c>
      <c r="I39" s="39">
        <v>103.5</v>
      </c>
      <c r="J39" s="36">
        <v>17</v>
      </c>
      <c r="K39" s="36"/>
      <c r="L39" s="36"/>
      <c r="M39" s="36"/>
    </row>
    <row r="40" spans="1:13">
      <c r="A40" s="36">
        <v>90</v>
      </c>
      <c r="B40" s="37" t="s">
        <v>274</v>
      </c>
      <c r="C40" s="37" t="s">
        <v>275</v>
      </c>
      <c r="D40" s="38">
        <v>132.5</v>
      </c>
      <c r="E40" s="38">
        <v>39</v>
      </c>
      <c r="F40" s="38">
        <v>142.75641025641025</v>
      </c>
      <c r="G40" s="36"/>
      <c r="H40" s="36">
        <v>38</v>
      </c>
      <c r="I40" s="39">
        <v>103.5</v>
      </c>
      <c r="J40" s="36">
        <v>17</v>
      </c>
      <c r="K40" s="36"/>
      <c r="L40" s="36"/>
      <c r="M40" s="36"/>
    </row>
    <row r="41" spans="1:13">
      <c r="A41" s="36">
        <v>92</v>
      </c>
      <c r="B41" s="37" t="s">
        <v>276</v>
      </c>
      <c r="C41" s="37" t="s">
        <v>277</v>
      </c>
      <c r="D41" s="38">
        <v>179</v>
      </c>
      <c r="E41" s="38">
        <v>40</v>
      </c>
      <c r="F41" s="38">
        <v>143.66249999999999</v>
      </c>
      <c r="G41" s="36"/>
      <c r="H41" s="36">
        <v>39</v>
      </c>
      <c r="I41" s="39">
        <v>103.5</v>
      </c>
      <c r="J41" s="36">
        <v>17</v>
      </c>
      <c r="K41" s="36"/>
      <c r="L41" s="36"/>
      <c r="M41" s="36"/>
    </row>
    <row r="42" spans="1:13">
      <c r="A42" s="36">
        <v>93</v>
      </c>
      <c r="B42" s="37" t="s">
        <v>278</v>
      </c>
      <c r="C42" s="37" t="s">
        <v>279</v>
      </c>
      <c r="D42" s="38">
        <v>277</v>
      </c>
      <c r="E42" s="38">
        <v>41</v>
      </c>
      <c r="F42" s="38">
        <v>146.91463414634146</v>
      </c>
      <c r="G42" s="36"/>
      <c r="H42" s="36">
        <v>40</v>
      </c>
      <c r="I42" s="39">
        <v>107.47222222222223</v>
      </c>
      <c r="J42" s="36">
        <v>18</v>
      </c>
      <c r="K42" s="36"/>
      <c r="L42" s="36"/>
      <c r="M42" s="36"/>
    </row>
    <row r="43" spans="1:13">
      <c r="A43" s="36">
        <v>94</v>
      </c>
      <c r="B43" s="37" t="s">
        <v>280</v>
      </c>
      <c r="C43" s="37" t="s">
        <v>281</v>
      </c>
      <c r="D43" s="38">
        <v>109</v>
      </c>
      <c r="E43" s="38">
        <v>42</v>
      </c>
      <c r="F43" s="38">
        <v>146.01190476190476</v>
      </c>
      <c r="G43" s="36"/>
      <c r="H43" s="36">
        <v>41</v>
      </c>
      <c r="I43" s="39">
        <v>107.47222222222223</v>
      </c>
      <c r="J43" s="36">
        <v>18</v>
      </c>
      <c r="K43" s="36"/>
      <c r="L43" s="36"/>
      <c r="M43" s="36"/>
    </row>
    <row r="44" spans="1:13">
      <c r="A44" s="36">
        <v>95</v>
      </c>
      <c r="B44" s="37" t="s">
        <v>282</v>
      </c>
      <c r="C44" s="37" t="s">
        <v>283</v>
      </c>
      <c r="D44" s="38">
        <v>65</v>
      </c>
      <c r="E44" s="38">
        <v>44</v>
      </c>
      <c r="F44" s="38">
        <v>143.23863636363637</v>
      </c>
      <c r="G44" s="36"/>
      <c r="H44" s="36">
        <v>42</v>
      </c>
      <c r="I44" s="39">
        <v>107.47222222222223</v>
      </c>
      <c r="J44" s="36">
        <v>18</v>
      </c>
      <c r="K44" s="36"/>
      <c r="L44" s="36"/>
      <c r="M44" s="36"/>
    </row>
    <row r="45" spans="1:13">
      <c r="A45" s="36">
        <v>95</v>
      </c>
      <c r="B45" s="37" t="s">
        <v>284</v>
      </c>
      <c r="C45" s="37" t="s">
        <v>285</v>
      </c>
      <c r="D45" s="38">
        <v>105</v>
      </c>
      <c r="E45" s="38">
        <v>44</v>
      </c>
      <c r="F45" s="38">
        <v>143.23863636363637</v>
      </c>
      <c r="G45" s="36"/>
      <c r="H45" s="36">
        <v>43</v>
      </c>
      <c r="I45" s="39">
        <v>107.47222222222223</v>
      </c>
      <c r="J45" s="36">
        <v>18</v>
      </c>
      <c r="K45" s="36"/>
      <c r="L45" s="36"/>
      <c r="M45" s="36"/>
    </row>
    <row r="46" spans="1:13">
      <c r="A46" s="36">
        <v>98</v>
      </c>
      <c r="B46" s="37" t="s">
        <v>286</v>
      </c>
      <c r="C46" s="37" t="s">
        <v>287</v>
      </c>
      <c r="D46" s="38">
        <v>355</v>
      </c>
      <c r="E46" s="38">
        <v>45</v>
      </c>
      <c r="F46" s="38">
        <v>147.94444444444446</v>
      </c>
      <c r="G46" s="36"/>
      <c r="H46" s="36">
        <v>44</v>
      </c>
      <c r="I46" s="39">
        <v>104.97368421052632</v>
      </c>
      <c r="J46" s="36">
        <v>19</v>
      </c>
      <c r="K46" s="36"/>
      <c r="L46" s="36"/>
      <c r="M46" s="36"/>
    </row>
    <row r="47" spans="1:13">
      <c r="A47" s="36">
        <v>103</v>
      </c>
      <c r="B47" s="37" t="s">
        <v>288</v>
      </c>
      <c r="C47" s="37" t="s">
        <v>289</v>
      </c>
      <c r="D47" s="38">
        <v>245</v>
      </c>
      <c r="E47" s="38">
        <v>46</v>
      </c>
      <c r="F47" s="38">
        <v>150.05434782608697</v>
      </c>
      <c r="G47" s="36"/>
      <c r="H47" s="36">
        <v>45</v>
      </c>
      <c r="I47" s="39">
        <v>104.97368421052632</v>
      </c>
      <c r="J47" s="36">
        <v>19</v>
      </c>
      <c r="K47" s="36"/>
      <c r="L47" s="36"/>
      <c r="M47" s="36"/>
    </row>
    <row r="48" spans="1:13">
      <c r="A48" s="36">
        <v>105</v>
      </c>
      <c r="B48" s="37" t="s">
        <v>290</v>
      </c>
      <c r="C48" s="37" t="s">
        <v>291</v>
      </c>
      <c r="D48" s="38">
        <v>75.099999999999994</v>
      </c>
      <c r="E48" s="38">
        <v>47</v>
      </c>
      <c r="F48" s="38">
        <v>149.52275670675303</v>
      </c>
      <c r="G48" s="36"/>
      <c r="H48" s="36">
        <v>46</v>
      </c>
      <c r="I48" s="39">
        <v>104.97368421052632</v>
      </c>
      <c r="J48" s="36">
        <v>19</v>
      </c>
      <c r="K48" s="36"/>
      <c r="L48" s="36"/>
      <c r="M48" s="36"/>
    </row>
    <row r="49" spans="1:13">
      <c r="A49" s="36">
        <v>107</v>
      </c>
      <c r="B49" s="37" t="s">
        <v>292</v>
      </c>
      <c r="C49" s="37" t="s">
        <v>293</v>
      </c>
      <c r="D49" s="38">
        <v>132</v>
      </c>
      <c r="E49" s="38">
        <v>48</v>
      </c>
      <c r="F49" s="38">
        <v>149.15236406619385</v>
      </c>
      <c r="G49" s="36"/>
      <c r="H49" s="36">
        <v>47</v>
      </c>
      <c r="I49" s="39">
        <v>104.97368421052632</v>
      </c>
      <c r="J49" s="36">
        <v>19</v>
      </c>
      <c r="K49" s="36"/>
      <c r="L49" s="36"/>
      <c r="M49" s="36"/>
    </row>
    <row r="50" spans="1:13">
      <c r="A50" s="36"/>
      <c r="B50" s="37"/>
      <c r="C50" s="37"/>
      <c r="D50" s="38"/>
      <c r="E50" s="38"/>
      <c r="F50" s="38"/>
      <c r="G50" s="36"/>
      <c r="H50" s="36">
        <v>48</v>
      </c>
      <c r="I50" s="39">
        <v>119.72499999999999</v>
      </c>
      <c r="J50" s="36">
        <v>20</v>
      </c>
      <c r="K50" s="36"/>
      <c r="L50" s="36"/>
      <c r="M50" s="36"/>
    </row>
    <row r="51" spans="1:13">
      <c r="A51" s="36"/>
      <c r="B51" s="37"/>
      <c r="C51" s="37"/>
      <c r="D51" s="38"/>
      <c r="E51" s="38"/>
      <c r="F51" s="38"/>
      <c r="G51" s="36"/>
      <c r="H51" s="36">
        <v>49</v>
      </c>
      <c r="I51" s="39">
        <v>123.54761904761905</v>
      </c>
      <c r="J51" s="36">
        <v>21</v>
      </c>
      <c r="K51" s="36"/>
      <c r="L51" s="36"/>
      <c r="M51" s="36"/>
    </row>
    <row r="52" spans="1:13">
      <c r="A52" s="36"/>
      <c r="B52" s="37"/>
      <c r="C52" s="37"/>
      <c r="D52" s="38"/>
      <c r="E52" s="38"/>
      <c r="F52" s="38"/>
      <c r="G52" s="36"/>
      <c r="H52" s="36">
        <v>50</v>
      </c>
      <c r="I52" s="39">
        <v>121.02272727272727</v>
      </c>
      <c r="J52" s="36">
        <v>22</v>
      </c>
      <c r="K52" s="36"/>
      <c r="L52" s="36"/>
      <c r="M52" s="36"/>
    </row>
    <row r="53" spans="1:13">
      <c r="A53" s="36"/>
      <c r="B53" s="37"/>
      <c r="C53" s="37"/>
      <c r="D53" s="38"/>
      <c r="E53" s="38"/>
      <c r="F53" s="38"/>
      <c r="G53" s="36"/>
      <c r="H53" s="36">
        <v>51</v>
      </c>
      <c r="I53" s="39">
        <v>121.02272727272727</v>
      </c>
      <c r="J53" s="36">
        <v>22</v>
      </c>
      <c r="K53" s="36"/>
      <c r="L53" s="36"/>
      <c r="M53" s="36"/>
    </row>
    <row r="54" spans="1:13">
      <c r="A54" s="36"/>
      <c r="B54" s="37"/>
      <c r="C54" s="37"/>
      <c r="D54" s="38"/>
      <c r="E54" s="38"/>
      <c r="F54" s="38"/>
      <c r="G54" s="36"/>
      <c r="H54" s="36">
        <v>52</v>
      </c>
      <c r="I54" s="39">
        <v>116.97826086956522</v>
      </c>
      <c r="J54" s="36">
        <v>23</v>
      </c>
      <c r="K54" s="36"/>
      <c r="L54" s="36"/>
      <c r="M54" s="36"/>
    </row>
    <row r="55" spans="1:13">
      <c r="A55" s="36"/>
      <c r="B55" s="37"/>
      <c r="C55" s="37"/>
      <c r="D55" s="38"/>
      <c r="E55" s="38"/>
      <c r="F55" s="38"/>
      <c r="G55" s="36"/>
      <c r="H55" s="36">
        <v>53</v>
      </c>
      <c r="I55" s="39">
        <v>116.97826086956522</v>
      </c>
      <c r="J55" s="36">
        <v>23</v>
      </c>
      <c r="K55" s="36"/>
      <c r="L55" s="36"/>
      <c r="M55" s="36"/>
    </row>
    <row r="56" spans="1:13">
      <c r="A56" s="36"/>
      <c r="B56" s="37"/>
      <c r="C56" s="37"/>
      <c r="D56" s="38"/>
      <c r="E56" s="38"/>
      <c r="F56" s="38"/>
      <c r="G56" s="36"/>
      <c r="H56" s="36">
        <v>54</v>
      </c>
      <c r="I56" s="39">
        <v>116.97826086956522</v>
      </c>
      <c r="J56" s="36">
        <v>23</v>
      </c>
      <c r="K56" s="36"/>
      <c r="L56" s="36"/>
      <c r="M56" s="36"/>
    </row>
    <row r="57" spans="1:13">
      <c r="A57" s="36"/>
      <c r="B57" s="37"/>
      <c r="C57" s="37"/>
      <c r="D57" s="38"/>
      <c r="E57" s="38"/>
      <c r="F57" s="38"/>
      <c r="G57" s="36"/>
      <c r="H57" s="36">
        <v>55</v>
      </c>
      <c r="I57" s="39">
        <v>122.97916666666667</v>
      </c>
      <c r="J57" s="36">
        <v>24</v>
      </c>
      <c r="K57" s="36"/>
      <c r="L57" s="36"/>
      <c r="M57" s="36"/>
    </row>
    <row r="58" spans="1:13">
      <c r="A58" s="36"/>
      <c r="B58" s="37"/>
      <c r="C58" s="37"/>
      <c r="D58" s="38"/>
      <c r="E58" s="38"/>
      <c r="F58" s="38"/>
      <c r="G58" s="36"/>
      <c r="H58" s="36">
        <v>56</v>
      </c>
      <c r="I58" s="39">
        <v>122.97916666666667</v>
      </c>
      <c r="J58" s="36">
        <v>24</v>
      </c>
      <c r="K58" s="36"/>
      <c r="L58" s="36"/>
      <c r="M58" s="36"/>
    </row>
    <row r="59" spans="1:13">
      <c r="A59" s="36"/>
      <c r="B59" s="37"/>
      <c r="C59" s="37"/>
      <c r="D59" s="38"/>
      <c r="E59" s="38"/>
      <c r="F59" s="38"/>
      <c r="G59" s="36"/>
      <c r="H59" s="36">
        <v>57</v>
      </c>
      <c r="I59" s="39">
        <v>122.97916666666667</v>
      </c>
      <c r="J59" s="36">
        <v>24</v>
      </c>
      <c r="K59" s="36"/>
      <c r="L59" s="36"/>
      <c r="M59" s="36"/>
    </row>
    <row r="60" spans="1:13">
      <c r="A60" s="36"/>
      <c r="B60" s="37"/>
      <c r="C60" s="37"/>
      <c r="D60" s="38"/>
      <c r="E60" s="38"/>
      <c r="F60" s="38"/>
      <c r="G60" s="36"/>
      <c r="H60" s="36">
        <v>58</v>
      </c>
      <c r="I60" s="39">
        <v>124.5</v>
      </c>
      <c r="J60" s="36">
        <v>25</v>
      </c>
      <c r="K60" s="36"/>
      <c r="L60" s="36"/>
      <c r="M60" s="36"/>
    </row>
    <row r="61" spans="1:13">
      <c r="A61" s="36"/>
      <c r="B61" s="36"/>
      <c r="C61" s="36"/>
      <c r="D61" s="36"/>
      <c r="E61" s="36"/>
      <c r="F61" s="36"/>
      <c r="G61" s="36"/>
      <c r="H61" s="36">
        <v>59</v>
      </c>
      <c r="I61" s="39">
        <v>121.82692307692308</v>
      </c>
      <c r="J61" s="36">
        <v>26</v>
      </c>
      <c r="K61" s="36"/>
      <c r="L61" s="36"/>
      <c r="M61" s="36"/>
    </row>
    <row r="62" spans="1:13">
      <c r="A62" s="36"/>
      <c r="B62" s="36"/>
      <c r="C62" s="36"/>
      <c r="D62" s="36"/>
      <c r="E62" s="36"/>
      <c r="F62" s="36"/>
      <c r="G62" s="36"/>
      <c r="H62" s="36">
        <v>60</v>
      </c>
      <c r="I62" s="39">
        <v>118.35185185185185</v>
      </c>
      <c r="J62" s="36">
        <v>27</v>
      </c>
      <c r="K62" s="36"/>
      <c r="L62" s="36"/>
      <c r="M62" s="36"/>
    </row>
    <row r="63" spans="1:13">
      <c r="A63" s="36"/>
      <c r="B63" s="36"/>
      <c r="C63" s="36"/>
      <c r="D63" s="36"/>
      <c r="E63" s="36"/>
      <c r="F63" s="36"/>
      <c r="G63" s="36"/>
      <c r="H63" s="36">
        <v>61</v>
      </c>
      <c r="I63" s="39">
        <v>118.35185185185185</v>
      </c>
      <c r="J63" s="36">
        <v>27</v>
      </c>
      <c r="K63" s="36"/>
      <c r="L63" s="36"/>
      <c r="M63" s="36"/>
    </row>
    <row r="64" spans="1:13">
      <c r="A64" s="36"/>
      <c r="B64" s="36"/>
      <c r="C64" s="36"/>
      <c r="D64" s="36"/>
      <c r="E64" s="36"/>
      <c r="F64" s="36"/>
      <c r="G64" s="36"/>
      <c r="H64" s="36">
        <v>62</v>
      </c>
      <c r="I64" s="39">
        <v>117.19642857142857</v>
      </c>
      <c r="J64" s="36">
        <v>28</v>
      </c>
      <c r="K64" s="36"/>
      <c r="L64" s="36"/>
      <c r="M64" s="36"/>
    </row>
    <row r="65" spans="1:13">
      <c r="A65" s="36"/>
      <c r="B65" s="36"/>
      <c r="C65" s="36"/>
      <c r="D65" s="36"/>
      <c r="E65" s="36"/>
      <c r="F65" s="36"/>
      <c r="G65" s="36"/>
      <c r="H65" s="36">
        <v>63</v>
      </c>
      <c r="I65" s="39">
        <v>117.19642857142857</v>
      </c>
      <c r="J65" s="36">
        <v>28</v>
      </c>
      <c r="K65" s="36"/>
      <c r="L65" s="36"/>
      <c r="M65" s="36"/>
    </row>
    <row r="66" spans="1:13">
      <c r="A66" s="36"/>
      <c r="B66" s="36"/>
      <c r="C66" s="36"/>
      <c r="D66" s="36"/>
      <c r="E66" s="36"/>
      <c r="F66" s="36"/>
      <c r="G66" s="36"/>
      <c r="H66" s="36">
        <v>64</v>
      </c>
      <c r="I66" s="39">
        <v>117.19642857142857</v>
      </c>
      <c r="J66" s="36">
        <v>28</v>
      </c>
      <c r="K66" s="36"/>
      <c r="L66" s="36"/>
      <c r="M66" s="36"/>
    </row>
    <row r="67" spans="1:13">
      <c r="A67" s="36"/>
      <c r="B67" s="36"/>
      <c r="C67" s="36"/>
      <c r="D67" s="36"/>
      <c r="E67" s="36"/>
      <c r="F67" s="36"/>
      <c r="G67" s="36"/>
      <c r="H67" s="36">
        <v>65</v>
      </c>
      <c r="I67" s="39">
        <v>117.19642857142857</v>
      </c>
      <c r="J67" s="36">
        <v>28</v>
      </c>
      <c r="K67" s="36"/>
      <c r="L67" s="36"/>
      <c r="M67" s="36"/>
    </row>
    <row r="68" spans="1:13">
      <c r="A68" s="36"/>
      <c r="B68" s="36"/>
      <c r="C68" s="36"/>
      <c r="D68" s="36"/>
      <c r="E68" s="36"/>
      <c r="F68" s="36"/>
      <c r="G68" s="36"/>
      <c r="H68" s="36">
        <v>66</v>
      </c>
      <c r="I68" s="39">
        <v>117.19642857142857</v>
      </c>
      <c r="J68" s="36">
        <v>28</v>
      </c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>
        <v>67</v>
      </c>
      <c r="I69" s="39">
        <v>124.29310344827586</v>
      </c>
      <c r="J69" s="36">
        <v>29</v>
      </c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>
        <v>68</v>
      </c>
      <c r="I70" s="39">
        <v>124.29310344827586</v>
      </c>
      <c r="J70" s="36">
        <v>29</v>
      </c>
      <c r="K70" s="36"/>
      <c r="L70" s="36"/>
      <c r="M70" s="36"/>
    </row>
    <row r="71" spans="1:13">
      <c r="A71" s="36"/>
      <c r="B71" s="36"/>
      <c r="C71" s="36"/>
      <c r="D71" s="36"/>
      <c r="E71" s="36"/>
      <c r="F71" s="36"/>
      <c r="G71" s="36"/>
      <c r="H71" s="36">
        <v>69</v>
      </c>
      <c r="I71" s="39">
        <v>124.29310344827586</v>
      </c>
      <c r="J71" s="36">
        <v>29</v>
      </c>
      <c r="K71" s="36"/>
      <c r="L71" s="36"/>
      <c r="M71" s="36"/>
    </row>
    <row r="72" spans="1:13">
      <c r="A72" s="36"/>
      <c r="B72" s="36"/>
      <c r="C72" s="36"/>
      <c r="D72" s="36"/>
      <c r="E72" s="36"/>
      <c r="F72" s="36"/>
      <c r="G72" s="36"/>
      <c r="H72" s="36">
        <v>70</v>
      </c>
      <c r="I72" s="39">
        <v>124.29310344827586</v>
      </c>
      <c r="J72" s="36">
        <v>29</v>
      </c>
      <c r="K72" s="36"/>
      <c r="L72" s="36"/>
      <c r="M72" s="36"/>
    </row>
    <row r="73" spans="1:13">
      <c r="A73" s="36"/>
      <c r="B73" s="36"/>
      <c r="C73" s="36"/>
      <c r="D73" s="36"/>
      <c r="E73" s="36"/>
      <c r="F73" s="36"/>
      <c r="G73" s="36"/>
      <c r="H73" s="36">
        <v>71</v>
      </c>
      <c r="I73" s="39">
        <v>124.29310344827586</v>
      </c>
      <c r="J73" s="36">
        <v>29</v>
      </c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>
        <v>72</v>
      </c>
      <c r="I74" s="39">
        <v>122.14516129032258</v>
      </c>
      <c r="J74" s="36">
        <v>31</v>
      </c>
      <c r="K74" s="36"/>
      <c r="L74" s="36"/>
      <c r="M74" s="36"/>
    </row>
    <row r="75" spans="1:13">
      <c r="A75" s="36"/>
      <c r="B75" s="36"/>
      <c r="C75" s="36"/>
      <c r="D75" s="36"/>
      <c r="E75" s="36"/>
      <c r="F75" s="36"/>
      <c r="G75" s="36"/>
      <c r="H75" s="36">
        <v>73</v>
      </c>
      <c r="I75" s="39">
        <v>122.14516129032258</v>
      </c>
      <c r="J75" s="36">
        <v>31</v>
      </c>
      <c r="K75" s="36"/>
      <c r="L75" s="36"/>
      <c r="M75" s="36"/>
    </row>
    <row r="76" spans="1:13">
      <c r="A76" s="36"/>
      <c r="B76" s="36"/>
      <c r="C76" s="36"/>
      <c r="D76" s="36"/>
      <c r="E76" s="36"/>
      <c r="F76" s="36"/>
      <c r="G76" s="36"/>
      <c r="H76" s="36">
        <v>74</v>
      </c>
      <c r="I76" s="39">
        <v>122.14516129032258</v>
      </c>
      <c r="J76" s="36">
        <v>31</v>
      </c>
      <c r="K76" s="36"/>
      <c r="L76" s="36"/>
      <c r="M76" s="36"/>
    </row>
    <row r="77" spans="1:13">
      <c r="A77" s="36"/>
      <c r="B77" s="36"/>
      <c r="C77" s="36"/>
      <c r="D77" s="36"/>
      <c r="E77" s="36"/>
      <c r="F77" s="36"/>
      <c r="G77" s="36"/>
      <c r="H77" s="36">
        <v>75</v>
      </c>
      <c r="I77" s="39">
        <v>143.640625</v>
      </c>
      <c r="J77" s="36">
        <v>32</v>
      </c>
      <c r="K77" s="36"/>
      <c r="L77" s="36"/>
      <c r="M77" s="36"/>
    </row>
    <row r="78" spans="1:13">
      <c r="A78" s="36"/>
      <c r="B78" s="36"/>
      <c r="C78" s="36"/>
      <c r="D78" s="36"/>
      <c r="E78" s="36"/>
      <c r="F78" s="36"/>
      <c r="G78" s="36"/>
      <c r="H78" s="36">
        <v>76</v>
      </c>
      <c r="I78" s="39">
        <v>142.25757575757575</v>
      </c>
      <c r="J78" s="36">
        <v>33</v>
      </c>
      <c r="K78" s="36"/>
      <c r="L78" s="36"/>
      <c r="M78" s="36"/>
    </row>
    <row r="79" spans="1:13">
      <c r="A79" s="36"/>
      <c r="B79" s="36"/>
      <c r="C79" s="36"/>
      <c r="D79" s="36"/>
      <c r="E79" s="36"/>
      <c r="F79" s="36"/>
      <c r="G79" s="36"/>
      <c r="H79" s="36">
        <v>77</v>
      </c>
      <c r="I79" s="39">
        <v>142.25757575757575</v>
      </c>
      <c r="J79" s="36">
        <v>33</v>
      </c>
      <c r="K79" s="36"/>
      <c r="L79" s="36"/>
      <c r="M79" s="36"/>
    </row>
    <row r="80" spans="1:13">
      <c r="A80" s="36"/>
      <c r="B80" s="36"/>
      <c r="C80" s="36"/>
      <c r="D80" s="36"/>
      <c r="E80" s="36"/>
      <c r="F80" s="36"/>
      <c r="G80" s="36"/>
      <c r="H80" s="36">
        <v>78</v>
      </c>
      <c r="I80" s="39">
        <v>148.83823529411765</v>
      </c>
      <c r="J80" s="36">
        <v>34</v>
      </c>
      <c r="K80" s="36"/>
      <c r="L80" s="36"/>
      <c r="M80" s="36"/>
    </row>
    <row r="81" spans="1:13">
      <c r="A81" s="36"/>
      <c r="B81" s="36"/>
      <c r="C81" s="36"/>
      <c r="D81" s="36"/>
      <c r="E81" s="36"/>
      <c r="F81" s="36"/>
      <c r="G81" s="36"/>
      <c r="H81" s="36">
        <v>79</v>
      </c>
      <c r="I81" s="39">
        <v>148.83823529411765</v>
      </c>
      <c r="J81" s="36">
        <v>34</v>
      </c>
      <c r="K81" s="36"/>
      <c r="L81" s="36"/>
      <c r="M81" s="36"/>
    </row>
    <row r="82" spans="1:13">
      <c r="A82" s="36"/>
      <c r="B82" s="36"/>
      <c r="C82" s="36"/>
      <c r="D82" s="36"/>
      <c r="E82" s="36"/>
      <c r="F82" s="36"/>
      <c r="G82" s="36"/>
      <c r="H82" s="36">
        <v>80</v>
      </c>
      <c r="I82" s="39">
        <v>148.83823529411765</v>
      </c>
      <c r="J82" s="36">
        <v>34</v>
      </c>
      <c r="K82" s="36"/>
      <c r="L82" s="36"/>
      <c r="M82" s="36"/>
    </row>
    <row r="83" spans="1:13">
      <c r="A83" s="36"/>
      <c r="B83" s="36"/>
      <c r="C83" s="36"/>
      <c r="D83" s="36"/>
      <c r="E83" s="36"/>
      <c r="F83" s="36"/>
      <c r="G83" s="36"/>
      <c r="H83" s="36">
        <v>81</v>
      </c>
      <c r="I83" s="39">
        <v>148.58571428571429</v>
      </c>
      <c r="J83" s="36">
        <v>35</v>
      </c>
      <c r="K83" s="36"/>
      <c r="L83" s="36"/>
      <c r="M83" s="36"/>
    </row>
    <row r="84" spans="1:13">
      <c r="A84" s="36"/>
      <c r="B84" s="36"/>
      <c r="C84" s="36"/>
      <c r="D84" s="36"/>
      <c r="E84" s="36"/>
      <c r="F84" s="36"/>
      <c r="G84" s="36"/>
      <c r="H84" s="36">
        <v>82</v>
      </c>
      <c r="I84" s="39">
        <v>148.58571428571429</v>
      </c>
      <c r="J84" s="36">
        <v>35</v>
      </c>
      <c r="K84" s="36"/>
      <c r="L84" s="36"/>
      <c r="M84" s="36"/>
    </row>
    <row r="85" spans="1:13">
      <c r="A85" s="36"/>
      <c r="B85" s="36"/>
      <c r="C85" s="36"/>
      <c r="D85" s="36"/>
      <c r="E85" s="36"/>
      <c r="F85" s="36"/>
      <c r="G85" s="36"/>
      <c r="H85" s="36">
        <v>83</v>
      </c>
      <c r="I85" s="39">
        <v>148.58571428571429</v>
      </c>
      <c r="J85" s="36">
        <v>35</v>
      </c>
      <c r="K85" s="36"/>
      <c r="L85" s="36"/>
      <c r="M85" s="36"/>
    </row>
    <row r="86" spans="1:13">
      <c r="A86" s="36"/>
      <c r="B86" s="36"/>
      <c r="C86" s="36"/>
      <c r="D86" s="36"/>
      <c r="E86" s="36"/>
      <c r="F86" s="36"/>
      <c r="G86" s="36"/>
      <c r="H86" s="36">
        <v>84</v>
      </c>
      <c r="I86" s="39">
        <v>148.58571428571429</v>
      </c>
      <c r="J86" s="36">
        <v>35</v>
      </c>
      <c r="K86" s="36"/>
      <c r="L86" s="36"/>
      <c r="M86" s="36"/>
    </row>
    <row r="87" spans="1:13">
      <c r="A87" s="36"/>
      <c r="B87" s="36"/>
      <c r="C87" s="36"/>
      <c r="D87" s="36"/>
      <c r="E87" s="36"/>
      <c r="F87" s="36"/>
      <c r="G87" s="36"/>
      <c r="H87" s="36">
        <v>85</v>
      </c>
      <c r="I87" s="39">
        <v>146.76388888888889</v>
      </c>
      <c r="J87" s="36">
        <v>36</v>
      </c>
      <c r="K87" s="36"/>
      <c r="L87" s="36"/>
      <c r="M87" s="36"/>
    </row>
    <row r="88" spans="1:13">
      <c r="A88" s="36"/>
      <c r="B88" s="36"/>
      <c r="C88" s="36"/>
      <c r="D88" s="36"/>
      <c r="E88" s="36"/>
      <c r="F88" s="36"/>
      <c r="G88" s="36"/>
      <c r="H88" s="36">
        <v>86</v>
      </c>
      <c r="I88" s="39">
        <v>143.81081081081081</v>
      </c>
      <c r="J88" s="36">
        <v>37</v>
      </c>
      <c r="K88" s="36"/>
      <c r="L88" s="36"/>
      <c r="M88" s="36"/>
    </row>
    <row r="89" spans="1:13">
      <c r="A89" s="36"/>
      <c r="B89" s="36"/>
      <c r="C89" s="36"/>
      <c r="D89" s="36"/>
      <c r="E89" s="36"/>
      <c r="F89" s="36"/>
      <c r="G89" s="36"/>
      <c r="H89" s="36">
        <v>87</v>
      </c>
      <c r="I89" s="39">
        <v>143.81081081081081</v>
      </c>
      <c r="J89" s="36">
        <v>37</v>
      </c>
      <c r="K89" s="36"/>
      <c r="L89" s="36"/>
      <c r="M89" s="36"/>
    </row>
    <row r="90" spans="1:13">
      <c r="A90" s="36"/>
      <c r="B90" s="36"/>
      <c r="C90" s="36"/>
      <c r="D90" s="36"/>
      <c r="E90" s="36"/>
      <c r="F90" s="36"/>
      <c r="G90" s="36"/>
      <c r="H90" s="36">
        <v>88</v>
      </c>
      <c r="I90" s="39">
        <v>143.81081081081081</v>
      </c>
      <c r="J90" s="36">
        <v>37</v>
      </c>
      <c r="K90" s="36"/>
      <c r="L90" s="36"/>
      <c r="M90" s="36"/>
    </row>
    <row r="91" spans="1:13">
      <c r="A91" s="36"/>
      <c r="B91" s="36"/>
      <c r="C91" s="36"/>
      <c r="D91" s="36"/>
      <c r="E91" s="36"/>
      <c r="F91" s="36"/>
      <c r="G91" s="36"/>
      <c r="H91" s="36">
        <v>89</v>
      </c>
      <c r="I91" s="39">
        <v>143.02631578947367</v>
      </c>
      <c r="J91" s="36">
        <v>38</v>
      </c>
      <c r="K91" s="36"/>
      <c r="L91" s="36"/>
      <c r="M91" s="36"/>
    </row>
    <row r="92" spans="1:13">
      <c r="A92" s="36"/>
      <c r="B92" s="36"/>
      <c r="C92" s="36"/>
      <c r="D92" s="36"/>
      <c r="E92" s="36"/>
      <c r="F92" s="36"/>
      <c r="G92" s="36"/>
      <c r="H92" s="36">
        <v>90</v>
      </c>
      <c r="I92" s="39">
        <v>142.75641025641025</v>
      </c>
      <c r="J92" s="36">
        <v>39</v>
      </c>
      <c r="K92" s="36"/>
      <c r="L92" s="36"/>
      <c r="M92" s="36"/>
    </row>
    <row r="93" spans="1:13">
      <c r="A93" s="36"/>
      <c r="B93" s="36"/>
      <c r="C93" s="36"/>
      <c r="D93" s="36"/>
      <c r="E93" s="36"/>
      <c r="F93" s="36"/>
      <c r="G93" s="36"/>
      <c r="H93" s="36">
        <v>91</v>
      </c>
      <c r="I93" s="39">
        <v>142.75641025641025</v>
      </c>
      <c r="J93" s="36">
        <v>39</v>
      </c>
      <c r="K93" s="36"/>
      <c r="L93" s="36"/>
      <c r="M93" s="36"/>
    </row>
    <row r="94" spans="1:13">
      <c r="A94" s="36"/>
      <c r="B94" s="36"/>
      <c r="C94" s="36"/>
      <c r="D94" s="36"/>
      <c r="E94" s="36"/>
      <c r="F94" s="36"/>
      <c r="G94" s="36"/>
      <c r="H94" s="36">
        <v>92</v>
      </c>
      <c r="I94" s="39">
        <v>143.66249999999999</v>
      </c>
      <c r="J94" s="36">
        <v>40</v>
      </c>
      <c r="K94" s="36"/>
      <c r="L94" s="36"/>
      <c r="M94" s="36"/>
    </row>
    <row r="95" spans="1:13">
      <c r="A95" s="36"/>
      <c r="B95" s="36"/>
      <c r="C95" s="36"/>
      <c r="D95" s="36"/>
      <c r="E95" s="36"/>
      <c r="F95" s="36"/>
      <c r="G95" s="36"/>
      <c r="H95" s="36">
        <v>93</v>
      </c>
      <c r="I95" s="39">
        <v>146.91463414634146</v>
      </c>
      <c r="J95" s="36">
        <v>41</v>
      </c>
      <c r="K95" s="36"/>
      <c r="L95" s="36"/>
      <c r="M95" s="36"/>
    </row>
    <row r="96" spans="1:13">
      <c r="A96" s="36"/>
      <c r="B96" s="36"/>
      <c r="C96" s="36"/>
      <c r="D96" s="36"/>
      <c r="E96" s="36"/>
      <c r="F96" s="36"/>
      <c r="G96" s="36"/>
      <c r="H96" s="36">
        <v>94</v>
      </c>
      <c r="I96" s="39">
        <v>146.01190476190476</v>
      </c>
      <c r="J96" s="36">
        <v>42</v>
      </c>
      <c r="K96" s="36"/>
      <c r="L96" s="36"/>
      <c r="M96" s="36"/>
    </row>
    <row r="97" spans="1:13">
      <c r="A97" s="36"/>
      <c r="B97" s="36"/>
      <c r="C97" s="36"/>
      <c r="D97" s="36"/>
      <c r="E97" s="36"/>
      <c r="F97" s="36"/>
      <c r="G97" s="36"/>
      <c r="H97" s="36">
        <v>95</v>
      </c>
      <c r="I97" s="39">
        <v>143.23863636363637</v>
      </c>
      <c r="J97" s="36">
        <v>44</v>
      </c>
      <c r="K97" s="36"/>
      <c r="L97" s="36"/>
      <c r="M97" s="36"/>
    </row>
    <row r="98" spans="1:13">
      <c r="A98" s="36"/>
      <c r="B98" s="36"/>
      <c r="C98" s="36"/>
      <c r="D98" s="36"/>
      <c r="E98" s="36"/>
      <c r="F98" s="36"/>
      <c r="G98" s="36"/>
      <c r="H98" s="36">
        <v>96</v>
      </c>
      <c r="I98" s="39">
        <v>143.23863636363637</v>
      </c>
      <c r="J98" s="36">
        <v>44</v>
      </c>
      <c r="K98" s="36"/>
      <c r="L98" s="36"/>
      <c r="M98" s="36"/>
    </row>
    <row r="99" spans="1:13">
      <c r="A99" s="36"/>
      <c r="B99" s="36"/>
      <c r="C99" s="36"/>
      <c r="D99" s="36"/>
      <c r="E99" s="36"/>
      <c r="F99" s="36"/>
      <c r="G99" s="36"/>
      <c r="H99" s="36">
        <v>97</v>
      </c>
      <c r="I99" s="39">
        <v>143.23863636363637</v>
      </c>
      <c r="J99" s="36">
        <v>44</v>
      </c>
      <c r="K99" s="36"/>
      <c r="L99" s="36"/>
      <c r="M99" s="36"/>
    </row>
    <row r="100" spans="1:13">
      <c r="A100" s="36"/>
      <c r="B100" s="36"/>
      <c r="C100" s="36"/>
      <c r="D100" s="36"/>
      <c r="E100" s="36"/>
      <c r="F100" s="36"/>
      <c r="G100" s="36"/>
      <c r="H100" s="36">
        <v>98</v>
      </c>
      <c r="I100" s="39">
        <v>147.94444444444446</v>
      </c>
      <c r="J100" s="36">
        <v>45</v>
      </c>
      <c r="K100" s="36"/>
      <c r="L100" s="36"/>
      <c r="M100" s="36"/>
    </row>
    <row r="101" spans="1:13">
      <c r="A101" s="36"/>
      <c r="B101" s="36"/>
      <c r="C101" s="36"/>
      <c r="D101" s="36"/>
      <c r="E101" s="36"/>
      <c r="F101" s="36"/>
      <c r="G101" s="36"/>
      <c r="H101" s="36">
        <v>99</v>
      </c>
      <c r="I101" s="39">
        <v>147.94444444444446</v>
      </c>
      <c r="J101" s="36">
        <v>45</v>
      </c>
      <c r="K101" s="36"/>
      <c r="L101" s="36"/>
      <c r="M101" s="36"/>
    </row>
    <row r="102" spans="1:13">
      <c r="A102" s="36"/>
      <c r="B102" s="36"/>
      <c r="C102" s="36"/>
      <c r="D102" s="36"/>
      <c r="E102" s="36"/>
      <c r="F102" s="36"/>
      <c r="G102" s="36"/>
      <c r="H102" s="36">
        <v>100</v>
      </c>
      <c r="I102" s="39">
        <v>147.94444444444446</v>
      </c>
      <c r="J102" s="36">
        <v>45</v>
      </c>
      <c r="K102" s="36"/>
      <c r="L102" s="36"/>
      <c r="M102" s="36"/>
    </row>
    <row r="103" spans="1:13">
      <c r="A103" s="36"/>
      <c r="B103" s="36"/>
      <c r="C103" s="36"/>
      <c r="D103" s="36"/>
      <c r="E103" s="36"/>
      <c r="F103" s="36"/>
      <c r="G103" s="36"/>
      <c r="H103" s="36">
        <v>101</v>
      </c>
      <c r="I103" s="39">
        <v>147.94444444444446</v>
      </c>
      <c r="J103" s="36">
        <v>45</v>
      </c>
      <c r="K103" s="36"/>
      <c r="L103" s="36"/>
      <c r="M103" s="36"/>
    </row>
    <row r="104" spans="1:13">
      <c r="A104" s="36"/>
      <c r="B104" s="36"/>
      <c r="C104" s="36"/>
      <c r="D104" s="36"/>
      <c r="E104" s="36"/>
      <c r="F104" s="36"/>
      <c r="G104" s="36"/>
      <c r="H104" s="36">
        <v>102</v>
      </c>
      <c r="I104" s="39">
        <v>147.94444444444446</v>
      </c>
      <c r="J104" s="36">
        <v>45</v>
      </c>
      <c r="K104" s="36"/>
      <c r="L104" s="36"/>
      <c r="M104" s="36"/>
    </row>
    <row r="105" spans="1:13">
      <c r="A105" s="36"/>
      <c r="B105" s="36"/>
      <c r="C105" s="36"/>
      <c r="D105" s="36"/>
      <c r="E105" s="36"/>
      <c r="F105" s="36"/>
      <c r="G105" s="36"/>
      <c r="H105" s="36">
        <v>103</v>
      </c>
      <c r="I105" s="39">
        <v>150.05434782608697</v>
      </c>
      <c r="J105" s="36">
        <v>46</v>
      </c>
      <c r="K105" s="36"/>
      <c r="L105" s="36"/>
      <c r="M105" s="36"/>
    </row>
    <row r="106" spans="1:13">
      <c r="A106" s="36"/>
      <c r="B106" s="36"/>
      <c r="C106" s="36"/>
      <c r="D106" s="36"/>
      <c r="E106" s="36"/>
      <c r="F106" s="36"/>
      <c r="G106" s="36"/>
      <c r="H106" s="36">
        <v>104</v>
      </c>
      <c r="I106" s="39">
        <v>150.05434782608697</v>
      </c>
      <c r="J106" s="36">
        <v>46</v>
      </c>
      <c r="K106" s="36"/>
      <c r="L106" s="36"/>
      <c r="M106" s="36"/>
    </row>
    <row r="107" spans="1:13">
      <c r="A107" s="36"/>
      <c r="B107" s="36"/>
      <c r="C107" s="36"/>
      <c r="D107" s="36"/>
      <c r="E107" s="36"/>
      <c r="F107" s="36"/>
      <c r="G107" s="36"/>
      <c r="H107" s="36">
        <v>105</v>
      </c>
      <c r="I107" s="39">
        <v>149.52275670675303</v>
      </c>
      <c r="J107" s="36">
        <v>47</v>
      </c>
      <c r="K107" s="36"/>
      <c r="L107" s="36"/>
      <c r="M107" s="36"/>
    </row>
    <row r="108" spans="1:13">
      <c r="A108" s="36"/>
      <c r="B108" s="36"/>
      <c r="C108" s="36"/>
      <c r="D108" s="36"/>
      <c r="E108" s="36"/>
      <c r="F108" s="36"/>
      <c r="G108" s="36"/>
      <c r="H108" s="36">
        <v>106</v>
      </c>
      <c r="I108" s="39">
        <v>149.52275670675303</v>
      </c>
      <c r="J108" s="36">
        <v>47</v>
      </c>
      <c r="K108" s="36"/>
      <c r="L108" s="36"/>
      <c r="M108" s="36"/>
    </row>
    <row r="109" spans="1:13">
      <c r="A109" s="36"/>
      <c r="B109" s="36"/>
      <c r="C109" s="36"/>
      <c r="D109" s="36"/>
      <c r="E109" s="36"/>
      <c r="F109" s="36"/>
      <c r="G109" s="36"/>
      <c r="H109" s="36">
        <v>107</v>
      </c>
      <c r="I109" s="39">
        <v>149.15236406619385</v>
      </c>
      <c r="J109" s="36">
        <v>48</v>
      </c>
      <c r="K109" s="36"/>
      <c r="L109" s="36"/>
      <c r="M109" s="36"/>
    </row>
    <row r="110" spans="1:13">
      <c r="A110" s="36"/>
      <c r="B110" s="36"/>
      <c r="C110" s="36"/>
      <c r="D110" s="36"/>
      <c r="E110" s="36"/>
      <c r="F110" s="36"/>
      <c r="G110" s="36"/>
      <c r="H110" s="36">
        <v>108</v>
      </c>
      <c r="I110" s="39">
        <v>149.15236406619385</v>
      </c>
      <c r="J110" s="36">
        <v>48</v>
      </c>
      <c r="K110" s="36"/>
      <c r="L110" s="36"/>
      <c r="M110" s="36"/>
    </row>
    <row r="111" spans="1:13">
      <c r="A111" s="36"/>
      <c r="B111" s="36"/>
      <c r="C111" s="36"/>
      <c r="D111" s="36"/>
      <c r="E111" s="36"/>
      <c r="F111" s="36"/>
      <c r="G111" s="36"/>
      <c r="H111" s="36">
        <v>109</v>
      </c>
      <c r="I111" s="39">
        <v>149.15236406619385</v>
      </c>
      <c r="J111" s="36">
        <v>48</v>
      </c>
      <c r="K111" s="36"/>
      <c r="L111" s="36"/>
      <c r="M111" s="36"/>
    </row>
    <row r="112" spans="1:13">
      <c r="A112" s="36"/>
      <c r="B112" s="36"/>
      <c r="C112" s="36"/>
      <c r="D112" s="36"/>
      <c r="E112" s="36"/>
      <c r="F112" s="36"/>
      <c r="G112" s="36"/>
      <c r="H112" s="36">
        <v>110</v>
      </c>
      <c r="I112" s="39">
        <v>149.15236406619385</v>
      </c>
      <c r="J112" s="36">
        <v>48</v>
      </c>
      <c r="K112" s="36"/>
      <c r="L112" s="36"/>
      <c r="M112" s="36"/>
    </row>
    <row r="113" spans="1:13">
      <c r="A113" s="36"/>
      <c r="B113" s="36"/>
      <c r="C113" s="36"/>
      <c r="D113" s="36"/>
      <c r="E113" s="36"/>
      <c r="F113" s="36"/>
      <c r="G113" s="36"/>
      <c r="H113" s="36">
        <v>111</v>
      </c>
      <c r="I113" s="39">
        <v>149.15236406619385</v>
      </c>
      <c r="J113" s="36">
        <v>48</v>
      </c>
      <c r="K113" s="36"/>
      <c r="L113" s="36"/>
      <c r="M113" s="36"/>
    </row>
    <row r="114" spans="1:13">
      <c r="A114" s="36"/>
      <c r="B114" s="36"/>
      <c r="C114" s="36"/>
      <c r="D114" s="36"/>
      <c r="E114" s="36"/>
      <c r="F114" s="36"/>
      <c r="G114" s="36"/>
      <c r="H114" s="36">
        <v>112</v>
      </c>
      <c r="I114" s="39">
        <v>149.15236406619385</v>
      </c>
      <c r="J114" s="36">
        <v>48</v>
      </c>
      <c r="K114" s="36"/>
      <c r="L114" s="36"/>
      <c r="M114" s="36"/>
    </row>
    <row r="115" spans="1:13">
      <c r="A115" s="36"/>
      <c r="B115" s="36"/>
      <c r="C115" s="36"/>
      <c r="D115" s="36"/>
      <c r="E115" s="36"/>
      <c r="F115" s="36"/>
      <c r="G115" s="36"/>
      <c r="H115" s="36">
        <v>113</v>
      </c>
      <c r="I115" s="39">
        <v>149.15236406619385</v>
      </c>
      <c r="J115" s="36">
        <v>48</v>
      </c>
      <c r="K115" s="36"/>
      <c r="L115" s="36"/>
      <c r="M115" s="36"/>
    </row>
    <row r="116" spans="1:13">
      <c r="A116" s="36"/>
      <c r="B116" s="36"/>
      <c r="C116" s="36"/>
      <c r="D116" s="36"/>
      <c r="E116" s="36"/>
      <c r="F116" s="36"/>
      <c r="G116" s="36"/>
      <c r="H116" s="36">
        <v>114</v>
      </c>
      <c r="I116" s="39">
        <v>149.15236406619385</v>
      </c>
      <c r="J116" s="36">
        <v>48</v>
      </c>
      <c r="K116" s="36"/>
      <c r="L116" s="36"/>
      <c r="M116" s="36"/>
    </row>
    <row r="117" spans="1:13">
      <c r="A117" s="36"/>
      <c r="B117" s="36"/>
      <c r="C117" s="36"/>
      <c r="D117" s="36"/>
      <c r="E117" s="36"/>
      <c r="F117" s="36"/>
      <c r="G117" s="36"/>
      <c r="H117" s="36">
        <v>115</v>
      </c>
      <c r="I117" s="39">
        <v>149.15236406619385</v>
      </c>
      <c r="J117" s="36">
        <v>48</v>
      </c>
      <c r="K117" s="36"/>
      <c r="L117" s="36"/>
      <c r="M117" s="36"/>
    </row>
    <row r="118" spans="1:13">
      <c r="A118" s="36"/>
      <c r="B118" s="36"/>
      <c r="C118" s="36"/>
      <c r="D118" s="36"/>
      <c r="E118" s="36"/>
      <c r="F118" s="36"/>
      <c r="G118" s="36"/>
      <c r="H118" s="36">
        <v>116</v>
      </c>
      <c r="I118" s="39">
        <v>149.15236406619385</v>
      </c>
      <c r="J118" s="36">
        <v>48</v>
      </c>
      <c r="K118" s="36"/>
      <c r="L118" s="36"/>
      <c r="M118" s="36"/>
    </row>
    <row r="119" spans="1:13">
      <c r="A119" s="36"/>
      <c r="B119" s="36"/>
      <c r="C119" s="36"/>
      <c r="D119" s="36"/>
      <c r="E119" s="36"/>
      <c r="F119" s="36"/>
      <c r="G119" s="36"/>
      <c r="H119" s="36">
        <v>117</v>
      </c>
      <c r="I119" s="39">
        <v>149.15236406619385</v>
      </c>
      <c r="J119" s="36">
        <v>48</v>
      </c>
      <c r="K119" s="36"/>
      <c r="L119" s="36"/>
      <c r="M119" s="36"/>
    </row>
    <row r="120" spans="1:13">
      <c r="A120" s="36"/>
      <c r="B120" s="36"/>
      <c r="C120" s="36"/>
      <c r="D120" s="36"/>
      <c r="E120" s="36"/>
      <c r="F120" s="36"/>
      <c r="G120" s="36"/>
      <c r="H120" s="36">
        <v>118</v>
      </c>
      <c r="I120" s="39">
        <v>149.15236406619385</v>
      </c>
      <c r="J120" s="36">
        <v>48</v>
      </c>
      <c r="K120" s="36"/>
      <c r="L120" s="36"/>
      <c r="M120" s="36"/>
    </row>
    <row r="121" spans="1:13">
      <c r="A121" s="36"/>
      <c r="B121" s="36"/>
      <c r="C121" s="36"/>
      <c r="D121" s="36"/>
      <c r="E121" s="36"/>
      <c r="F121" s="36"/>
      <c r="G121" s="36"/>
      <c r="H121" s="36">
        <v>119</v>
      </c>
      <c r="I121" s="39">
        <v>149.15236406619385</v>
      </c>
      <c r="J121" s="36">
        <v>48</v>
      </c>
      <c r="K121" s="36"/>
      <c r="L121" s="36"/>
      <c r="M121" s="36"/>
    </row>
    <row r="122" spans="1:13">
      <c r="A122" s="36"/>
      <c r="B122" s="36"/>
      <c r="C122" s="36"/>
      <c r="D122" s="36"/>
      <c r="E122" s="36"/>
      <c r="F122" s="36"/>
      <c r="G122" s="36"/>
      <c r="H122" s="36">
        <v>120</v>
      </c>
      <c r="I122" s="39">
        <v>149.15236406619385</v>
      </c>
      <c r="J122" s="36">
        <v>48</v>
      </c>
      <c r="K122" s="36"/>
      <c r="L122" s="36"/>
      <c r="M122" s="36"/>
    </row>
    <row r="123" spans="1:13">
      <c r="A123" s="36"/>
      <c r="B123" s="36"/>
      <c r="C123" s="36"/>
      <c r="D123" s="36"/>
      <c r="E123" s="36"/>
      <c r="F123" s="36"/>
      <c r="G123" s="36"/>
      <c r="H123" s="36">
        <v>121</v>
      </c>
      <c r="I123" s="39">
        <v>149.15236406619385</v>
      </c>
      <c r="J123" s="36">
        <v>48</v>
      </c>
      <c r="K123" s="36"/>
      <c r="L123" s="36"/>
      <c r="M123" s="36"/>
    </row>
    <row r="124" spans="1:13">
      <c r="A124" s="36"/>
      <c r="B124" s="36"/>
      <c r="C124" s="36"/>
      <c r="D124" s="36"/>
      <c r="E124" s="36"/>
      <c r="F124" s="36"/>
      <c r="G124" s="36"/>
      <c r="H124" s="36">
        <v>122</v>
      </c>
      <c r="I124" s="39">
        <v>149.15236406619385</v>
      </c>
      <c r="J124" s="36">
        <v>48</v>
      </c>
      <c r="K124" s="36"/>
      <c r="L124" s="36"/>
      <c r="M124" s="36"/>
    </row>
    <row r="125" spans="1:13">
      <c r="A125" s="36"/>
      <c r="B125" s="36"/>
      <c r="C125" s="36"/>
      <c r="D125" s="36"/>
      <c r="E125" s="36"/>
      <c r="F125" s="36"/>
      <c r="G125" s="36"/>
      <c r="H125" s="36">
        <v>123</v>
      </c>
      <c r="I125" s="39">
        <v>149.15236406619385</v>
      </c>
      <c r="J125" s="36">
        <v>48</v>
      </c>
      <c r="K125" s="36"/>
      <c r="L125" s="36"/>
      <c r="M125" s="36"/>
    </row>
    <row r="126" spans="1:13">
      <c r="A126" s="36"/>
      <c r="B126" s="36"/>
      <c r="C126" s="36"/>
      <c r="D126" s="36"/>
      <c r="E126" s="36"/>
      <c r="F126" s="36"/>
      <c r="G126" s="36"/>
      <c r="H126" s="36">
        <v>124</v>
      </c>
      <c r="I126" s="39">
        <v>149.15236406619385</v>
      </c>
      <c r="J126" s="36">
        <v>48</v>
      </c>
      <c r="K126" s="36"/>
      <c r="L126" s="36"/>
      <c r="M126" s="36"/>
    </row>
    <row r="127" spans="1:13">
      <c r="A127" s="36"/>
      <c r="B127" s="36"/>
      <c r="C127" s="36"/>
      <c r="D127" s="36"/>
      <c r="E127" s="36"/>
      <c r="F127" s="36"/>
      <c r="G127" s="36"/>
      <c r="H127" s="36">
        <v>125</v>
      </c>
      <c r="I127" s="39">
        <v>149.15236406619385</v>
      </c>
      <c r="J127" s="36">
        <v>48</v>
      </c>
      <c r="K127" s="36"/>
      <c r="L127" s="36"/>
      <c r="M127" s="36"/>
    </row>
    <row r="128" spans="1:13">
      <c r="A128" s="36"/>
      <c r="B128" s="36"/>
      <c r="C128" s="36"/>
      <c r="D128" s="36"/>
      <c r="E128" s="36"/>
      <c r="F128" s="36"/>
      <c r="G128" s="36"/>
      <c r="H128" s="36">
        <v>126</v>
      </c>
      <c r="I128" s="39">
        <v>149.15236406619385</v>
      </c>
      <c r="J128" s="36">
        <v>48</v>
      </c>
      <c r="K128" s="36"/>
      <c r="L128" s="36"/>
      <c r="M128" s="36"/>
    </row>
    <row r="129" spans="1:13">
      <c r="A129" s="36"/>
      <c r="B129" s="36"/>
      <c r="C129" s="36"/>
      <c r="D129" s="36"/>
      <c r="E129" s="36"/>
      <c r="F129" s="36"/>
      <c r="G129" s="36"/>
      <c r="H129" s="36">
        <v>127</v>
      </c>
      <c r="I129" s="39">
        <v>149.15236406619385</v>
      </c>
      <c r="J129" s="36">
        <v>48</v>
      </c>
      <c r="K129" s="36"/>
      <c r="L129" s="36"/>
      <c r="M129" s="36"/>
    </row>
    <row r="130" spans="1:13">
      <c r="A130" s="36"/>
      <c r="B130" s="36"/>
      <c r="C130" s="36"/>
      <c r="D130" s="36"/>
      <c r="E130" s="36"/>
      <c r="F130" s="36"/>
      <c r="G130" s="36"/>
      <c r="H130" s="36">
        <v>128</v>
      </c>
      <c r="I130" s="39">
        <v>149.15236406619385</v>
      </c>
      <c r="J130" s="36">
        <v>48</v>
      </c>
      <c r="K130" s="36"/>
      <c r="L130" s="36"/>
      <c r="M130" s="36"/>
    </row>
    <row r="131" spans="1:13">
      <c r="A131" s="36"/>
      <c r="B131" s="36"/>
      <c r="C131" s="36"/>
      <c r="D131" s="36"/>
      <c r="E131" s="36"/>
      <c r="F131" s="36"/>
      <c r="G131" s="36"/>
      <c r="H131" s="36">
        <v>129</v>
      </c>
      <c r="I131" s="39">
        <v>149.15236406619385</v>
      </c>
      <c r="J131" s="36">
        <v>48</v>
      </c>
      <c r="K131" s="36"/>
      <c r="L131" s="36"/>
      <c r="M131" s="36"/>
    </row>
    <row r="132" spans="1:13">
      <c r="A132" s="36"/>
      <c r="B132" s="36"/>
      <c r="C132" s="36"/>
      <c r="D132" s="36"/>
      <c r="E132" s="36"/>
      <c r="F132" s="36"/>
      <c r="G132" s="36"/>
      <c r="H132" s="36">
        <v>130</v>
      </c>
      <c r="I132" s="39">
        <v>149.15236406619385</v>
      </c>
      <c r="J132" s="36">
        <v>48</v>
      </c>
      <c r="K132" s="36"/>
      <c r="L132" s="36"/>
      <c r="M132" s="36"/>
    </row>
    <row r="133" spans="1:13">
      <c r="A133" s="36"/>
      <c r="B133" s="36"/>
      <c r="C133" s="36"/>
      <c r="D133" s="36"/>
      <c r="E133" s="36"/>
      <c r="F133" s="36"/>
      <c r="G133" s="36"/>
      <c r="H133" s="36">
        <v>131</v>
      </c>
      <c r="I133" s="39">
        <v>149.15236406619385</v>
      </c>
      <c r="J133" s="36">
        <v>48</v>
      </c>
      <c r="K133" s="36"/>
      <c r="L133" s="36"/>
      <c r="M133" s="36"/>
    </row>
    <row r="134" spans="1:13">
      <c r="A134" s="36"/>
      <c r="B134" s="36"/>
      <c r="C134" s="36"/>
      <c r="D134" s="36"/>
      <c r="E134" s="36"/>
      <c r="F134" s="36"/>
      <c r="G134" s="36"/>
      <c r="H134" s="36">
        <v>132</v>
      </c>
      <c r="I134" s="39">
        <v>149.15236406619385</v>
      </c>
      <c r="J134" s="36">
        <v>48</v>
      </c>
      <c r="K134" s="36"/>
      <c r="L134" s="36"/>
      <c r="M134" s="36"/>
    </row>
    <row r="135" spans="1:13">
      <c r="A135" s="36"/>
      <c r="B135" s="36"/>
      <c r="C135" s="36"/>
      <c r="D135" s="36"/>
      <c r="E135" s="36"/>
      <c r="F135" s="36"/>
      <c r="G135" s="36"/>
      <c r="H135" s="36">
        <v>133</v>
      </c>
      <c r="I135" s="39">
        <v>149.15236406619385</v>
      </c>
      <c r="J135" s="36">
        <v>48</v>
      </c>
      <c r="K135" s="36"/>
      <c r="L135" s="36"/>
      <c r="M135" s="36"/>
    </row>
    <row r="136" spans="1:13">
      <c r="A136" s="36"/>
      <c r="B136" s="36"/>
      <c r="C136" s="36"/>
      <c r="D136" s="36"/>
      <c r="E136" s="36"/>
      <c r="F136" s="36"/>
      <c r="G136" s="36"/>
      <c r="H136" s="36">
        <v>134</v>
      </c>
      <c r="I136" s="39">
        <v>149.15236406619385</v>
      </c>
      <c r="J136" s="36">
        <v>48</v>
      </c>
      <c r="K136" s="36"/>
      <c r="L136" s="36"/>
      <c r="M136" s="36"/>
    </row>
    <row r="137" spans="1:13">
      <c r="A137" s="36"/>
      <c r="B137" s="36"/>
      <c r="C137" s="36"/>
      <c r="D137" s="36"/>
      <c r="E137" s="36"/>
      <c r="F137" s="36"/>
      <c r="G137" s="36"/>
      <c r="H137" s="36">
        <v>135</v>
      </c>
      <c r="I137" s="39">
        <v>149.15236406619385</v>
      </c>
      <c r="J137" s="36">
        <v>48</v>
      </c>
      <c r="K137" s="36"/>
      <c r="L137" s="36"/>
      <c r="M137" s="36"/>
    </row>
    <row r="138" spans="1:13">
      <c r="A138" s="36"/>
      <c r="B138" s="36"/>
      <c r="C138" s="36"/>
      <c r="D138" s="36"/>
      <c r="E138" s="36"/>
      <c r="F138" s="36"/>
      <c r="G138" s="36"/>
      <c r="H138" s="36">
        <v>136</v>
      </c>
      <c r="I138" s="39">
        <v>149.15236406619385</v>
      </c>
      <c r="J138" s="36">
        <v>48</v>
      </c>
      <c r="K138" s="36"/>
      <c r="L138" s="36"/>
      <c r="M138" s="36"/>
    </row>
    <row r="139" spans="1:13">
      <c r="A139" s="36"/>
      <c r="B139" s="36"/>
      <c r="C139" s="36"/>
      <c r="D139" s="36"/>
      <c r="E139" s="36"/>
      <c r="F139" s="36"/>
      <c r="G139" s="36"/>
      <c r="H139" s="36">
        <v>137</v>
      </c>
      <c r="I139" s="39">
        <v>149.15236406619385</v>
      </c>
      <c r="J139" s="36">
        <v>48</v>
      </c>
      <c r="K139" s="36"/>
      <c r="L139" s="36"/>
      <c r="M139" s="36"/>
    </row>
    <row r="140" spans="1:13">
      <c r="A140" s="36"/>
      <c r="B140" s="36"/>
      <c r="C140" s="36"/>
      <c r="D140" s="36"/>
      <c r="E140" s="36"/>
      <c r="F140" s="36"/>
      <c r="G140" s="36"/>
      <c r="H140" s="36">
        <v>138</v>
      </c>
      <c r="I140" s="39">
        <v>149.15236406619385</v>
      </c>
      <c r="J140" s="36">
        <v>48</v>
      </c>
      <c r="K140" s="36"/>
      <c r="L140" s="36"/>
      <c r="M140" s="36"/>
    </row>
    <row r="141" spans="1:13">
      <c r="A141" s="36"/>
      <c r="B141" s="36"/>
      <c r="C141" s="36"/>
      <c r="D141" s="36"/>
      <c r="E141" s="36"/>
      <c r="F141" s="36"/>
      <c r="G141" s="36"/>
      <c r="H141" s="36">
        <v>139</v>
      </c>
      <c r="I141" s="39">
        <v>149.15236406619385</v>
      </c>
      <c r="J141" s="36">
        <v>48</v>
      </c>
      <c r="K141" s="36"/>
      <c r="L141" s="36"/>
      <c r="M141" s="36"/>
    </row>
    <row r="142" spans="1:13">
      <c r="A142" s="36"/>
      <c r="B142" s="36"/>
      <c r="C142" s="36"/>
      <c r="D142" s="36"/>
      <c r="E142" s="36"/>
      <c r="F142" s="36"/>
      <c r="G142" s="36"/>
      <c r="H142" s="36">
        <v>140</v>
      </c>
      <c r="I142" s="39">
        <v>149.15236406619385</v>
      </c>
      <c r="J142" s="36">
        <v>48</v>
      </c>
      <c r="K142" s="36"/>
      <c r="L142" s="36"/>
      <c r="M142" s="36"/>
    </row>
    <row r="143" spans="1:13">
      <c r="A143" s="36"/>
      <c r="B143" s="36"/>
      <c r="C143" s="36"/>
      <c r="D143" s="36"/>
      <c r="E143" s="36"/>
      <c r="F143" s="36"/>
      <c r="G143" s="36"/>
      <c r="H143" s="36">
        <v>141</v>
      </c>
      <c r="I143" s="39">
        <v>149.15236406619385</v>
      </c>
      <c r="J143" s="36">
        <v>48</v>
      </c>
      <c r="K143" s="36"/>
      <c r="L143" s="36"/>
      <c r="M143" s="36"/>
    </row>
    <row r="144" spans="1:13">
      <c r="A144" s="36"/>
      <c r="B144" s="36"/>
      <c r="C144" s="36"/>
      <c r="D144" s="36"/>
      <c r="E144" s="36"/>
      <c r="F144" s="36"/>
      <c r="G144" s="36"/>
      <c r="H144" s="36">
        <v>142</v>
      </c>
      <c r="I144" s="39">
        <v>149.15236406619385</v>
      </c>
      <c r="J144" s="36">
        <v>48</v>
      </c>
      <c r="K144" s="36"/>
      <c r="L144" s="36"/>
      <c r="M144" s="36"/>
    </row>
    <row r="145" spans="1:13">
      <c r="A145" s="36"/>
      <c r="B145" s="36"/>
      <c r="C145" s="36"/>
      <c r="D145" s="36"/>
      <c r="E145" s="36"/>
      <c r="F145" s="36"/>
      <c r="G145" s="36"/>
      <c r="H145" s="36">
        <v>143</v>
      </c>
      <c r="I145" s="39">
        <v>149.15236406619385</v>
      </c>
      <c r="J145" s="36">
        <v>48</v>
      </c>
      <c r="K145" s="36"/>
      <c r="L145" s="36"/>
      <c r="M145" s="36"/>
    </row>
    <row r="146" spans="1:13">
      <c r="A146" s="36"/>
      <c r="B146" s="36"/>
      <c r="C146" s="36"/>
      <c r="D146" s="36"/>
      <c r="E146" s="36"/>
      <c r="F146" s="36"/>
      <c r="G146" s="36"/>
      <c r="H146" s="36">
        <v>144</v>
      </c>
      <c r="I146" s="39">
        <v>149.15236406619385</v>
      </c>
      <c r="J146" s="36">
        <v>48</v>
      </c>
      <c r="K146" s="36"/>
      <c r="L146" s="36"/>
      <c r="M146" s="36"/>
    </row>
    <row r="147" spans="1:13">
      <c r="A147" s="36"/>
      <c r="B147" s="36"/>
      <c r="C147" s="36"/>
      <c r="D147" s="36"/>
      <c r="E147" s="36"/>
      <c r="F147" s="36"/>
      <c r="G147" s="36"/>
      <c r="H147" s="36">
        <v>145</v>
      </c>
      <c r="I147" s="39">
        <v>149.15236406619385</v>
      </c>
      <c r="J147" s="36">
        <v>48</v>
      </c>
      <c r="K147" s="36"/>
      <c r="L147" s="36"/>
      <c r="M147" s="36"/>
    </row>
    <row r="148" spans="1:13">
      <c r="A148" s="36"/>
      <c r="B148" s="36"/>
      <c r="C148" s="36"/>
      <c r="D148" s="36"/>
      <c r="E148" s="36"/>
      <c r="F148" s="36"/>
      <c r="G148" s="36"/>
      <c r="H148" s="36">
        <v>146</v>
      </c>
      <c r="I148" s="39">
        <v>149.15236406619385</v>
      </c>
      <c r="J148" s="36">
        <v>48</v>
      </c>
      <c r="K148" s="36"/>
      <c r="L148" s="36"/>
      <c r="M148" s="36"/>
    </row>
    <row r="149" spans="1:13">
      <c r="A149" s="36"/>
      <c r="B149" s="36"/>
      <c r="C149" s="36"/>
      <c r="D149" s="36"/>
      <c r="E149" s="36"/>
      <c r="F149" s="36"/>
      <c r="G149" s="36"/>
      <c r="H149" s="36">
        <v>147</v>
      </c>
      <c r="I149" s="39">
        <v>149.15236406619385</v>
      </c>
      <c r="J149" s="36">
        <v>48</v>
      </c>
      <c r="K149" s="36"/>
      <c r="L149" s="36"/>
      <c r="M149" s="36"/>
    </row>
    <row r="150" spans="1:13">
      <c r="A150" s="36"/>
      <c r="B150" s="36"/>
      <c r="C150" s="36"/>
      <c r="D150" s="36"/>
      <c r="E150" s="36"/>
      <c r="F150" s="36"/>
      <c r="G150" s="36"/>
      <c r="H150" s="36">
        <v>148</v>
      </c>
      <c r="I150" s="39">
        <v>149.15236406619385</v>
      </c>
      <c r="J150" s="36">
        <v>48</v>
      </c>
      <c r="K150" s="36"/>
      <c r="L150" s="36"/>
      <c r="M150" s="36"/>
    </row>
    <row r="151" spans="1:13">
      <c r="A151" s="36"/>
      <c r="B151" s="36"/>
      <c r="C151" s="36"/>
      <c r="D151" s="36"/>
      <c r="E151" s="36"/>
      <c r="F151" s="36"/>
      <c r="G151" s="36"/>
      <c r="H151" s="36">
        <v>149</v>
      </c>
      <c r="I151" s="39">
        <v>149.15236406619385</v>
      </c>
      <c r="J151" s="36">
        <v>48</v>
      </c>
      <c r="K151" s="36"/>
      <c r="L151" s="36"/>
      <c r="M151" s="36"/>
    </row>
    <row r="152" spans="1:13">
      <c r="A152" s="36"/>
      <c r="B152" s="36"/>
      <c r="C152" s="36"/>
      <c r="D152" s="36"/>
      <c r="E152" s="36"/>
      <c r="F152" s="36"/>
      <c r="G152" s="36"/>
      <c r="H152" s="36">
        <v>150</v>
      </c>
      <c r="I152" s="39">
        <v>149.15236406619385</v>
      </c>
      <c r="J152" s="36">
        <v>48</v>
      </c>
      <c r="K152" s="36"/>
      <c r="L152" s="36"/>
      <c r="M152" s="36"/>
    </row>
    <row r="153" spans="1:13">
      <c r="A153" s="36"/>
      <c r="B153" s="36"/>
      <c r="C153" s="36"/>
      <c r="D153" s="36"/>
      <c r="E153" s="36"/>
      <c r="F153" s="36"/>
      <c r="G153" s="36"/>
      <c r="H153" s="36">
        <v>151</v>
      </c>
      <c r="I153" s="39">
        <v>149.15236406619385</v>
      </c>
      <c r="J153" s="36">
        <v>48</v>
      </c>
      <c r="K153" s="36"/>
      <c r="L153" s="36"/>
      <c r="M153" s="36"/>
    </row>
    <row r="154" spans="1:13">
      <c r="A154" s="36"/>
      <c r="B154" s="36"/>
      <c r="C154" s="36"/>
      <c r="D154" s="36"/>
      <c r="E154" s="36"/>
      <c r="F154" s="36"/>
      <c r="G154" s="36"/>
      <c r="H154" s="36">
        <v>152</v>
      </c>
      <c r="I154" s="39">
        <v>149.15236406619385</v>
      </c>
      <c r="J154" s="36">
        <v>48</v>
      </c>
      <c r="K154" s="36"/>
      <c r="L154" s="36"/>
      <c r="M154" s="36"/>
    </row>
    <row r="155" spans="1:13">
      <c r="A155" s="36"/>
      <c r="B155" s="36"/>
      <c r="C155" s="36"/>
      <c r="D155" s="36"/>
      <c r="E155" s="36"/>
      <c r="F155" s="36"/>
      <c r="G155" s="36"/>
      <c r="H155" s="36">
        <v>153</v>
      </c>
      <c r="I155" s="39">
        <v>149.15236406619385</v>
      </c>
      <c r="J155" s="36">
        <v>48</v>
      </c>
      <c r="K155" s="36"/>
      <c r="L155" s="36"/>
      <c r="M155" s="36"/>
    </row>
    <row r="156" spans="1:13">
      <c r="A156" s="36"/>
      <c r="B156" s="36"/>
      <c r="C156" s="36"/>
      <c r="D156" s="36"/>
      <c r="E156" s="36"/>
      <c r="F156" s="36"/>
      <c r="G156" s="36"/>
      <c r="H156" s="36">
        <v>154</v>
      </c>
      <c r="I156" s="39">
        <v>149.15236406619385</v>
      </c>
      <c r="J156" s="36">
        <v>48</v>
      </c>
      <c r="K156" s="36"/>
      <c r="L156" s="36"/>
      <c r="M156" s="36"/>
    </row>
    <row r="157" spans="1:13">
      <c r="A157" s="36"/>
      <c r="B157" s="36"/>
      <c r="C157" s="36"/>
      <c r="D157" s="36"/>
      <c r="E157" s="36"/>
      <c r="F157" s="36"/>
      <c r="G157" s="36"/>
      <c r="H157" s="36">
        <v>155</v>
      </c>
      <c r="I157" s="39">
        <v>149.15236406619385</v>
      </c>
      <c r="J157" s="36">
        <v>48</v>
      </c>
      <c r="K157" s="36"/>
      <c r="L157" s="36"/>
      <c r="M157" s="36"/>
    </row>
    <row r="158" spans="1:13">
      <c r="A158" s="36"/>
      <c r="B158" s="36"/>
      <c r="C158" s="36"/>
      <c r="D158" s="36"/>
      <c r="E158" s="36"/>
      <c r="F158" s="36"/>
      <c r="G158" s="36"/>
      <c r="H158" s="36">
        <v>156</v>
      </c>
      <c r="I158" s="39">
        <v>149.15236406619385</v>
      </c>
      <c r="J158" s="36">
        <v>48</v>
      </c>
      <c r="K158" s="36"/>
      <c r="L158" s="36"/>
      <c r="M158" s="36"/>
    </row>
    <row r="159" spans="1:13">
      <c r="A159" s="36"/>
      <c r="B159" s="36"/>
      <c r="C159" s="36"/>
      <c r="D159" s="36"/>
      <c r="E159" s="36"/>
      <c r="F159" s="36"/>
      <c r="G159" s="36"/>
      <c r="H159" s="36">
        <v>157</v>
      </c>
      <c r="I159" s="39">
        <v>149.15236406619385</v>
      </c>
      <c r="J159" s="36">
        <v>48</v>
      </c>
      <c r="K159" s="36"/>
      <c r="L159" s="36"/>
      <c r="M159" s="36"/>
    </row>
    <row r="160" spans="1:13">
      <c r="A160" s="36"/>
      <c r="B160" s="36"/>
      <c r="C160" s="36"/>
      <c r="D160" s="36"/>
      <c r="E160" s="36"/>
      <c r="F160" s="36"/>
      <c r="G160" s="36"/>
      <c r="H160" s="36">
        <v>158</v>
      </c>
      <c r="I160" s="39">
        <v>149.15236406619385</v>
      </c>
      <c r="J160" s="36">
        <v>48</v>
      </c>
      <c r="K160" s="36"/>
      <c r="L160" s="36"/>
      <c r="M160" s="36"/>
    </row>
    <row r="161" spans="1:13">
      <c r="A161" s="36"/>
      <c r="B161" s="36"/>
      <c r="C161" s="36"/>
      <c r="D161" s="36"/>
      <c r="E161" s="36"/>
      <c r="F161" s="36"/>
      <c r="G161" s="36"/>
      <c r="H161" s="36">
        <v>159</v>
      </c>
      <c r="I161" s="39">
        <v>149.15236406619385</v>
      </c>
      <c r="J161" s="36">
        <v>48</v>
      </c>
      <c r="K161" s="36"/>
      <c r="L161" s="36"/>
      <c r="M161" s="36"/>
    </row>
    <row r="162" spans="1:13">
      <c r="A162" s="36"/>
      <c r="B162" s="36"/>
      <c r="C162" s="36"/>
      <c r="D162" s="36"/>
      <c r="E162" s="36"/>
      <c r="F162" s="36"/>
      <c r="G162" s="36"/>
      <c r="H162" s="36">
        <v>160</v>
      </c>
      <c r="I162" s="39">
        <v>149.15236406619385</v>
      </c>
      <c r="J162" s="36">
        <v>48</v>
      </c>
      <c r="K162" s="36"/>
      <c r="L162" s="36"/>
      <c r="M162" s="36"/>
    </row>
    <row r="163" spans="1:13">
      <c r="A163" s="36"/>
      <c r="B163" s="36"/>
      <c r="C163" s="36"/>
      <c r="D163" s="36"/>
      <c r="E163" s="36"/>
      <c r="F163" s="36"/>
      <c r="G163" s="36"/>
      <c r="H163" s="36">
        <v>161</v>
      </c>
      <c r="I163" s="39">
        <v>149.15236406619385</v>
      </c>
      <c r="J163" s="36">
        <v>48</v>
      </c>
      <c r="K163" s="36"/>
      <c r="L163" s="36"/>
      <c r="M163" s="36"/>
    </row>
    <row r="164" spans="1:13">
      <c r="A164" s="36"/>
      <c r="B164" s="36"/>
      <c r="C164" s="36"/>
      <c r="D164" s="36"/>
      <c r="E164" s="36"/>
      <c r="F164" s="36"/>
      <c r="G164" s="36"/>
      <c r="H164" s="36">
        <v>162</v>
      </c>
      <c r="I164" s="39">
        <v>149.15236406619385</v>
      </c>
      <c r="J164" s="36">
        <v>48</v>
      </c>
      <c r="K164" s="36"/>
      <c r="L164" s="36"/>
      <c r="M164" s="36"/>
    </row>
    <row r="165" spans="1:13">
      <c r="A165" s="36"/>
      <c r="B165" s="36"/>
      <c r="C165" s="36"/>
      <c r="D165" s="36"/>
      <c r="E165" s="36"/>
      <c r="F165" s="36"/>
      <c r="G165" s="36"/>
      <c r="H165" s="36">
        <v>163</v>
      </c>
      <c r="I165" s="39">
        <v>149.15236406619385</v>
      </c>
      <c r="J165" s="36">
        <v>48</v>
      </c>
      <c r="K165" s="36"/>
      <c r="L165" s="36"/>
      <c r="M165" s="36"/>
    </row>
    <row r="166" spans="1:13">
      <c r="A166" s="36"/>
      <c r="B166" s="36"/>
      <c r="C166" s="36"/>
      <c r="D166" s="36"/>
      <c r="E166" s="36"/>
      <c r="F166" s="36"/>
      <c r="G166" s="36"/>
      <c r="H166" s="36">
        <v>164</v>
      </c>
      <c r="I166" s="39">
        <v>149.15236406619385</v>
      </c>
      <c r="J166" s="36">
        <v>48</v>
      </c>
      <c r="K166" s="36"/>
      <c r="L166" s="36"/>
      <c r="M166" s="36"/>
    </row>
    <row r="167" spans="1:13">
      <c r="A167" s="36"/>
      <c r="B167" s="36"/>
      <c r="C167" s="36"/>
      <c r="D167" s="36"/>
      <c r="E167" s="36"/>
      <c r="F167" s="36"/>
      <c r="G167" s="36"/>
      <c r="H167" s="36">
        <v>165</v>
      </c>
      <c r="I167" s="39">
        <v>149.15236406619385</v>
      </c>
      <c r="J167" s="36">
        <v>48</v>
      </c>
      <c r="K167" s="36"/>
      <c r="L167" s="36"/>
      <c r="M167" s="36"/>
    </row>
    <row r="168" spans="1:13">
      <c r="A168" s="36"/>
      <c r="B168" s="36"/>
      <c r="C168" s="36"/>
      <c r="D168" s="36"/>
      <c r="E168" s="36"/>
      <c r="F168" s="36"/>
      <c r="G168" s="36"/>
      <c r="H168" s="36">
        <v>166</v>
      </c>
      <c r="I168" s="39">
        <v>149.15236406619385</v>
      </c>
      <c r="J168" s="36">
        <v>48</v>
      </c>
      <c r="K168" s="36"/>
      <c r="L168" s="36"/>
      <c r="M168" s="36"/>
    </row>
    <row r="169" spans="1:13">
      <c r="A169" s="36"/>
      <c r="B169" s="36"/>
      <c r="C169" s="36"/>
      <c r="D169" s="36"/>
      <c r="E169" s="36"/>
      <c r="F169" s="36"/>
      <c r="G169" s="36"/>
      <c r="H169" s="36">
        <v>167</v>
      </c>
      <c r="I169" s="39">
        <v>149.15236406619385</v>
      </c>
      <c r="J169" s="36">
        <v>48</v>
      </c>
      <c r="K169" s="36"/>
      <c r="L169" s="36"/>
      <c r="M169" s="36"/>
    </row>
    <row r="170" spans="1:13">
      <c r="A170" s="36"/>
      <c r="B170" s="36"/>
      <c r="C170" s="36"/>
      <c r="D170" s="36"/>
      <c r="E170" s="36"/>
      <c r="F170" s="36"/>
      <c r="G170" s="36"/>
      <c r="H170" s="36">
        <v>168</v>
      </c>
      <c r="I170" s="39">
        <v>149.15236406619385</v>
      </c>
      <c r="J170" s="36">
        <v>48</v>
      </c>
      <c r="K170" s="36"/>
      <c r="L170" s="36"/>
      <c r="M170" s="36"/>
    </row>
    <row r="171" spans="1:13">
      <c r="A171" s="36"/>
      <c r="B171" s="36"/>
      <c r="C171" s="36"/>
      <c r="D171" s="36"/>
      <c r="E171" s="36"/>
      <c r="F171" s="36"/>
      <c r="G171" s="36"/>
      <c r="H171" s="36">
        <v>169</v>
      </c>
      <c r="I171" s="39">
        <v>149.15236406619385</v>
      </c>
      <c r="J171" s="36">
        <v>48</v>
      </c>
      <c r="K171" s="36"/>
      <c r="L171" s="36"/>
      <c r="M171" s="36"/>
    </row>
    <row r="172" spans="1:13">
      <c r="A172" s="36"/>
      <c r="B172" s="36"/>
      <c r="C172" s="36"/>
      <c r="D172" s="36"/>
      <c r="E172" s="36"/>
      <c r="F172" s="36"/>
      <c r="G172" s="36"/>
      <c r="H172" s="36">
        <v>170</v>
      </c>
      <c r="I172" s="39">
        <v>149.15236406619385</v>
      </c>
      <c r="J172" s="36">
        <v>48</v>
      </c>
      <c r="K172" s="36"/>
      <c r="L172" s="36"/>
      <c r="M172" s="36"/>
    </row>
    <row r="173" spans="1:13">
      <c r="A173" s="36"/>
      <c r="B173" s="36"/>
      <c r="C173" s="36"/>
      <c r="D173" s="36"/>
      <c r="E173" s="36"/>
      <c r="F173" s="36"/>
      <c r="G173" s="36"/>
      <c r="H173" s="36">
        <v>171</v>
      </c>
      <c r="I173" s="39">
        <v>149.15236406619385</v>
      </c>
      <c r="J173" s="36">
        <v>48</v>
      </c>
      <c r="K173" s="36"/>
      <c r="L173" s="36"/>
      <c r="M173" s="36"/>
    </row>
    <row r="174" spans="1:13">
      <c r="A174" s="36"/>
      <c r="B174" s="36"/>
      <c r="C174" s="36"/>
      <c r="D174" s="36"/>
      <c r="E174" s="36"/>
      <c r="F174" s="36"/>
      <c r="G174" s="36"/>
      <c r="H174" s="36">
        <v>172</v>
      </c>
      <c r="I174" s="39">
        <v>149.15236406619385</v>
      </c>
      <c r="J174" s="36">
        <v>48</v>
      </c>
      <c r="K174" s="36"/>
      <c r="L174" s="36"/>
      <c r="M174" s="36"/>
    </row>
    <row r="175" spans="1:13">
      <c r="A175" s="36"/>
      <c r="B175" s="36"/>
      <c r="C175" s="36"/>
      <c r="D175" s="36"/>
      <c r="E175" s="36"/>
      <c r="F175" s="36"/>
      <c r="G175" s="36"/>
      <c r="H175" s="36">
        <v>173</v>
      </c>
      <c r="I175" s="39">
        <v>149.15236406619385</v>
      </c>
      <c r="J175" s="36">
        <v>48</v>
      </c>
      <c r="K175" s="36"/>
      <c r="L175" s="36"/>
      <c r="M175" s="36"/>
    </row>
    <row r="176" spans="1:13">
      <c r="A176" s="36"/>
      <c r="B176" s="36"/>
      <c r="C176" s="36"/>
      <c r="D176" s="36"/>
      <c r="E176" s="36"/>
      <c r="F176" s="36"/>
      <c r="G176" s="36"/>
      <c r="H176" s="36">
        <v>174</v>
      </c>
      <c r="I176" s="39">
        <v>149.15236406619385</v>
      </c>
      <c r="J176" s="36">
        <v>48</v>
      </c>
      <c r="K176" s="36"/>
      <c r="L176" s="36"/>
      <c r="M176" s="36"/>
    </row>
    <row r="177" spans="1:13">
      <c r="A177" s="36"/>
      <c r="B177" s="36"/>
      <c r="C177" s="36"/>
      <c r="D177" s="36"/>
      <c r="E177" s="36"/>
      <c r="F177" s="36"/>
      <c r="G177" s="36"/>
      <c r="H177" s="36">
        <v>175</v>
      </c>
      <c r="I177" s="39">
        <v>149.15236406619385</v>
      </c>
      <c r="J177" s="36">
        <v>48</v>
      </c>
      <c r="K177" s="36"/>
      <c r="L177" s="36"/>
      <c r="M177" s="36"/>
    </row>
    <row r="178" spans="1:13">
      <c r="A178" s="36"/>
      <c r="B178" s="36"/>
      <c r="C178" s="36"/>
      <c r="D178" s="36"/>
      <c r="E178" s="36"/>
      <c r="F178" s="36"/>
      <c r="G178" s="36"/>
      <c r="H178" s="36">
        <v>176</v>
      </c>
      <c r="I178" s="39">
        <v>149.15236406619385</v>
      </c>
      <c r="J178" s="36">
        <v>48</v>
      </c>
      <c r="K178" s="36"/>
      <c r="L178" s="36"/>
      <c r="M178" s="36"/>
    </row>
    <row r="179" spans="1:13">
      <c r="A179" s="36"/>
      <c r="B179" s="36"/>
      <c r="C179" s="36"/>
      <c r="D179" s="36"/>
      <c r="E179" s="36"/>
      <c r="F179" s="36"/>
      <c r="G179" s="36"/>
      <c r="H179" s="36">
        <v>177</v>
      </c>
      <c r="I179" s="39">
        <v>149.15236406619385</v>
      </c>
      <c r="J179" s="36">
        <v>48</v>
      </c>
      <c r="K179" s="36"/>
      <c r="L179" s="36"/>
      <c r="M179" s="36"/>
    </row>
    <row r="180" spans="1:13">
      <c r="A180" s="36"/>
      <c r="B180" s="36"/>
      <c r="C180" s="36"/>
      <c r="D180" s="36"/>
      <c r="E180" s="36"/>
      <c r="F180" s="36"/>
      <c r="G180" s="36"/>
      <c r="H180" s="36">
        <v>178</v>
      </c>
      <c r="I180" s="39">
        <v>149.15236406619385</v>
      </c>
      <c r="J180" s="36">
        <v>48</v>
      </c>
      <c r="K180" s="36"/>
      <c r="L180" s="36"/>
      <c r="M180" s="36"/>
    </row>
    <row r="181" spans="1:13">
      <c r="A181" s="36"/>
      <c r="B181" s="36"/>
      <c r="C181" s="36"/>
      <c r="D181" s="36"/>
      <c r="E181" s="36"/>
      <c r="F181" s="36"/>
      <c r="G181" s="36"/>
      <c r="H181" s="36">
        <v>179</v>
      </c>
      <c r="I181" s="39">
        <v>149.15236406619385</v>
      </c>
      <c r="J181" s="36">
        <v>48</v>
      </c>
      <c r="K181" s="36"/>
      <c r="L181" s="36"/>
      <c r="M181" s="36"/>
    </row>
    <row r="182" spans="1:13">
      <c r="A182" s="36"/>
      <c r="B182" s="36"/>
      <c r="C182" s="36"/>
      <c r="D182" s="36"/>
      <c r="E182" s="36"/>
      <c r="F182" s="36"/>
      <c r="G182" s="36"/>
      <c r="H182" s="36">
        <v>180</v>
      </c>
      <c r="I182" s="39">
        <v>149.15236406619385</v>
      </c>
      <c r="J182" s="36">
        <v>48</v>
      </c>
      <c r="K182" s="36"/>
      <c r="L182" s="36"/>
      <c r="M182" s="36"/>
    </row>
    <row r="183" spans="1:13">
      <c r="A183" s="36"/>
      <c r="B183" s="36"/>
      <c r="C183" s="36"/>
      <c r="D183" s="36"/>
      <c r="E183" s="36"/>
      <c r="F183" s="36"/>
      <c r="G183" s="36"/>
      <c r="H183" s="36">
        <v>181</v>
      </c>
      <c r="I183" s="39">
        <v>149.15236406619385</v>
      </c>
      <c r="J183" s="36">
        <v>48</v>
      </c>
      <c r="K183" s="36"/>
      <c r="L183" s="36"/>
      <c r="M183" s="36"/>
    </row>
    <row r="184" spans="1:13">
      <c r="A184" s="36"/>
      <c r="B184" s="36"/>
      <c r="C184" s="36"/>
      <c r="D184" s="36"/>
      <c r="E184" s="36"/>
      <c r="F184" s="36"/>
      <c r="G184" s="36"/>
      <c r="H184" s="36">
        <v>182</v>
      </c>
      <c r="I184" s="39">
        <v>149.15236406619385</v>
      </c>
      <c r="J184" s="36">
        <v>48</v>
      </c>
      <c r="K184" s="36"/>
      <c r="L184" s="36"/>
      <c r="M184" s="36"/>
    </row>
    <row r="185" spans="1:13">
      <c r="A185" s="36"/>
      <c r="B185" s="36"/>
      <c r="C185" s="36"/>
      <c r="D185" s="36"/>
      <c r="E185" s="36"/>
      <c r="F185" s="36"/>
      <c r="G185" s="36"/>
      <c r="H185" s="36">
        <v>183</v>
      </c>
      <c r="I185" s="39">
        <v>149.15236406619385</v>
      </c>
      <c r="J185" s="36">
        <v>48</v>
      </c>
      <c r="K185" s="36"/>
      <c r="L185" s="36"/>
      <c r="M185" s="36"/>
    </row>
    <row r="186" spans="1:13">
      <c r="A186" s="36"/>
      <c r="B186" s="36"/>
      <c r="C186" s="36"/>
      <c r="D186" s="36"/>
      <c r="E186" s="36"/>
      <c r="F186" s="36"/>
      <c r="G186" s="36"/>
      <c r="H186" s="36">
        <v>184</v>
      </c>
      <c r="I186" s="39">
        <v>149.15236406619385</v>
      </c>
      <c r="J186" s="36">
        <v>48</v>
      </c>
      <c r="K186" s="36"/>
      <c r="L186" s="36"/>
      <c r="M186" s="36"/>
    </row>
    <row r="187" spans="1:13">
      <c r="A187" s="36"/>
      <c r="B187" s="36"/>
      <c r="C187" s="36"/>
      <c r="D187" s="36"/>
      <c r="E187" s="36"/>
      <c r="F187" s="36"/>
      <c r="G187" s="36"/>
      <c r="H187" s="36">
        <v>185</v>
      </c>
      <c r="I187" s="39">
        <v>149.15236406619385</v>
      </c>
      <c r="J187" s="36">
        <v>48</v>
      </c>
      <c r="K187" s="36"/>
      <c r="L187" s="36"/>
      <c r="M187" s="36"/>
    </row>
    <row r="188" spans="1:13">
      <c r="A188" s="36"/>
      <c r="B188" s="36"/>
      <c r="C188" s="36"/>
      <c r="D188" s="36"/>
      <c r="E188" s="36"/>
      <c r="F188" s="36"/>
      <c r="G188" s="36"/>
      <c r="H188" s="36">
        <v>186</v>
      </c>
      <c r="I188" s="39">
        <v>149.15236406619385</v>
      </c>
      <c r="J188" s="36">
        <v>48</v>
      </c>
      <c r="K188" s="36"/>
      <c r="L188" s="36"/>
      <c r="M188" s="36"/>
    </row>
    <row r="189" spans="1:13">
      <c r="A189" s="36"/>
      <c r="B189" s="36"/>
      <c r="C189" s="36"/>
      <c r="D189" s="36"/>
      <c r="E189" s="36"/>
      <c r="F189" s="36"/>
      <c r="G189" s="36"/>
      <c r="H189" s="36">
        <v>187</v>
      </c>
      <c r="I189" s="39">
        <v>149.15236406619385</v>
      </c>
      <c r="J189" s="36">
        <v>48</v>
      </c>
      <c r="K189" s="36"/>
      <c r="L189" s="36"/>
      <c r="M189" s="36"/>
    </row>
    <row r="190" spans="1:13">
      <c r="A190" s="36"/>
      <c r="B190" s="36"/>
      <c r="C190" s="36"/>
      <c r="D190" s="36"/>
      <c r="E190" s="36"/>
      <c r="F190" s="36"/>
      <c r="G190" s="36"/>
      <c r="H190" s="36">
        <v>188</v>
      </c>
      <c r="I190" s="39">
        <v>149.15236406619385</v>
      </c>
      <c r="J190" s="36">
        <v>48</v>
      </c>
      <c r="K190" s="36"/>
      <c r="L190" s="36"/>
      <c r="M190" s="36"/>
    </row>
    <row r="191" spans="1:13">
      <c r="A191" s="36"/>
      <c r="B191" s="36"/>
      <c r="C191" s="36"/>
      <c r="D191" s="36"/>
      <c r="E191" s="36"/>
      <c r="F191" s="36"/>
      <c r="G191" s="36"/>
      <c r="H191" s="36">
        <v>189</v>
      </c>
      <c r="I191" s="39">
        <v>149.15236406619385</v>
      </c>
      <c r="J191" s="36">
        <v>48</v>
      </c>
      <c r="K191" s="36"/>
      <c r="L191" s="36"/>
      <c r="M191" s="36"/>
    </row>
    <row r="192" spans="1:13">
      <c r="A192" s="36"/>
      <c r="B192" s="36"/>
      <c r="C192" s="36"/>
      <c r="D192" s="36"/>
      <c r="E192" s="36"/>
      <c r="F192" s="36"/>
      <c r="G192" s="36"/>
      <c r="H192" s="36">
        <v>190</v>
      </c>
      <c r="I192" s="39">
        <v>149.15236406619385</v>
      </c>
      <c r="J192" s="36">
        <v>48</v>
      </c>
      <c r="K192" s="36"/>
      <c r="L192" s="36"/>
      <c r="M192" s="36"/>
    </row>
    <row r="193" spans="1:13">
      <c r="A193" s="36"/>
      <c r="B193" s="36"/>
      <c r="C193" s="36"/>
      <c r="D193" s="36"/>
      <c r="E193" s="36"/>
      <c r="F193" s="36"/>
      <c r="G193" s="36"/>
      <c r="H193" s="36">
        <v>191</v>
      </c>
      <c r="I193" s="39">
        <v>149.15236406619385</v>
      </c>
      <c r="J193" s="36">
        <v>48</v>
      </c>
      <c r="K193" s="36"/>
      <c r="L193" s="36"/>
      <c r="M193" s="36"/>
    </row>
    <row r="194" spans="1:13">
      <c r="A194" s="36"/>
      <c r="B194" s="36"/>
      <c r="C194" s="36"/>
      <c r="D194" s="36"/>
      <c r="E194" s="36"/>
      <c r="F194" s="36"/>
      <c r="G194" s="36"/>
      <c r="H194" s="36">
        <v>192</v>
      </c>
      <c r="I194" s="39">
        <v>149.15236406619385</v>
      </c>
      <c r="J194" s="36">
        <v>48</v>
      </c>
      <c r="K194" s="36"/>
      <c r="L194" s="36"/>
      <c r="M194" s="36"/>
    </row>
    <row r="195" spans="1:13">
      <c r="A195" s="36"/>
      <c r="B195" s="36"/>
      <c r="C195" s="36"/>
      <c r="D195" s="36"/>
      <c r="E195" s="36"/>
      <c r="F195" s="36"/>
      <c r="G195" s="36"/>
      <c r="H195" s="36">
        <v>193</v>
      </c>
      <c r="I195" s="39">
        <v>149.15236406619385</v>
      </c>
      <c r="J195" s="36">
        <v>48</v>
      </c>
      <c r="K195" s="36"/>
      <c r="L195" s="36"/>
      <c r="M195" s="36"/>
    </row>
    <row r="196" spans="1:13">
      <c r="A196" s="36"/>
      <c r="B196" s="36"/>
      <c r="C196" s="36"/>
      <c r="D196" s="36"/>
      <c r="E196" s="36"/>
      <c r="F196" s="36"/>
      <c r="G196" s="36"/>
      <c r="H196" s="36">
        <v>194</v>
      </c>
      <c r="I196" s="39">
        <v>149.15236406619385</v>
      </c>
      <c r="J196" s="36">
        <v>48</v>
      </c>
      <c r="K196" s="36"/>
      <c r="L196" s="36"/>
      <c r="M196" s="36"/>
    </row>
    <row r="197" spans="1:13">
      <c r="A197" s="36"/>
      <c r="B197" s="36"/>
      <c r="C197" s="36"/>
      <c r="D197" s="36"/>
      <c r="E197" s="36"/>
      <c r="F197" s="36"/>
      <c r="G197" s="36"/>
      <c r="H197" s="36">
        <v>195</v>
      </c>
      <c r="I197" s="39">
        <v>149.15236406619385</v>
      </c>
      <c r="J197" s="36">
        <v>48</v>
      </c>
      <c r="K197" s="36"/>
      <c r="L197" s="36"/>
      <c r="M197" s="36"/>
    </row>
    <row r="198" spans="1:13">
      <c r="A198" s="36"/>
      <c r="B198" s="36"/>
      <c r="C198" s="36"/>
      <c r="D198" s="36"/>
      <c r="E198" s="36"/>
      <c r="F198" s="36"/>
      <c r="G198" s="36"/>
      <c r="H198" s="36">
        <v>196</v>
      </c>
      <c r="I198" s="39">
        <v>149.15236406619385</v>
      </c>
      <c r="J198" s="36">
        <v>48</v>
      </c>
      <c r="K198" s="36"/>
      <c r="L198" s="36"/>
      <c r="M198" s="36"/>
    </row>
    <row r="199" spans="1:13">
      <c r="A199" s="36"/>
      <c r="B199" s="36"/>
      <c r="C199" s="36"/>
      <c r="D199" s="36"/>
      <c r="E199" s="36"/>
      <c r="F199" s="36"/>
      <c r="G199" s="36"/>
      <c r="H199" s="36">
        <v>197</v>
      </c>
      <c r="I199" s="39">
        <v>149.15236406619385</v>
      </c>
      <c r="J199" s="36">
        <v>48</v>
      </c>
      <c r="K199" s="36"/>
      <c r="L199" s="36"/>
      <c r="M199" s="36"/>
    </row>
    <row r="200" spans="1:13">
      <c r="A200" s="36"/>
      <c r="B200" s="36"/>
      <c r="C200" s="36"/>
      <c r="D200" s="36"/>
      <c r="E200" s="36"/>
      <c r="F200" s="36"/>
      <c r="G200" s="36"/>
      <c r="H200" s="36">
        <v>198</v>
      </c>
      <c r="I200" s="39">
        <v>149.15236406619385</v>
      </c>
      <c r="J200" s="36">
        <v>48</v>
      </c>
      <c r="K200" s="36"/>
      <c r="L200" s="36"/>
      <c r="M200" s="36"/>
    </row>
    <row r="201" spans="1:13">
      <c r="A201" s="36"/>
      <c r="B201" s="36"/>
      <c r="C201" s="36"/>
      <c r="D201" s="36"/>
      <c r="E201" s="36"/>
      <c r="F201" s="36"/>
      <c r="G201" s="36"/>
      <c r="H201" s="36">
        <v>199</v>
      </c>
      <c r="I201" s="39">
        <v>149.15236406619385</v>
      </c>
      <c r="J201" s="36">
        <v>48</v>
      </c>
      <c r="K201" s="36"/>
      <c r="L201" s="36"/>
      <c r="M201" s="36"/>
    </row>
    <row r="202" spans="1:13">
      <c r="A202" s="36"/>
      <c r="B202" s="36"/>
      <c r="C202" s="36"/>
      <c r="D202" s="36"/>
      <c r="E202" s="36"/>
      <c r="F202" s="36"/>
      <c r="G202" s="36"/>
      <c r="H202" s="36">
        <v>200</v>
      </c>
      <c r="I202" s="39">
        <v>149.15236406619385</v>
      </c>
      <c r="J202" s="36">
        <v>48</v>
      </c>
      <c r="K202" s="36"/>
      <c r="L202" s="36"/>
      <c r="M202" s="36"/>
    </row>
    <row r="203" spans="1:13">
      <c r="A203" s="36"/>
      <c r="B203" s="36"/>
      <c r="C203" s="36"/>
      <c r="D203" s="36"/>
      <c r="E203" s="36"/>
      <c r="F203" s="36"/>
      <c r="G203" s="36"/>
      <c r="H203" s="36">
        <v>201</v>
      </c>
      <c r="I203" s="39">
        <v>149.15236406619385</v>
      </c>
      <c r="J203" s="36">
        <v>48</v>
      </c>
      <c r="K203" s="36"/>
      <c r="L203" s="36"/>
      <c r="M203" s="36"/>
    </row>
    <row r="204" spans="1:13">
      <c r="A204" s="36"/>
      <c r="B204" s="36"/>
      <c r="C204" s="36"/>
      <c r="D204" s="36"/>
      <c r="E204" s="36"/>
      <c r="F204" s="36"/>
      <c r="G204" s="36"/>
      <c r="H204" s="36">
        <v>202</v>
      </c>
      <c r="I204" s="39">
        <v>149.15236406619385</v>
      </c>
      <c r="J204" s="36">
        <v>48</v>
      </c>
      <c r="K204" s="36"/>
      <c r="L204" s="36"/>
      <c r="M204" s="36"/>
    </row>
    <row r="205" spans="1:13">
      <c r="A205" s="36"/>
      <c r="B205" s="36"/>
      <c r="C205" s="36"/>
      <c r="D205" s="36"/>
      <c r="E205" s="36"/>
      <c r="F205" s="36"/>
      <c r="G205" s="36"/>
      <c r="H205" s="36">
        <v>203</v>
      </c>
      <c r="I205" s="39">
        <v>149.15236406619385</v>
      </c>
      <c r="J205" s="36">
        <v>48</v>
      </c>
      <c r="K205" s="36"/>
      <c r="L205" s="36"/>
      <c r="M205" s="36"/>
    </row>
    <row r="206" spans="1:13">
      <c r="A206" s="36"/>
      <c r="B206" s="36"/>
      <c r="C206" s="36"/>
      <c r="D206" s="36"/>
      <c r="E206" s="36"/>
      <c r="F206" s="36"/>
      <c r="G206" s="36"/>
      <c r="H206" s="36">
        <v>204</v>
      </c>
      <c r="I206" s="39">
        <v>149.15236406619385</v>
      </c>
      <c r="J206" s="36">
        <v>48</v>
      </c>
      <c r="K206" s="36"/>
      <c r="L206" s="36"/>
      <c r="M206" s="36"/>
    </row>
    <row r="207" spans="1:13">
      <c r="A207" s="36"/>
      <c r="B207" s="36"/>
      <c r="C207" s="36"/>
      <c r="D207" s="36"/>
      <c r="E207" s="36"/>
      <c r="F207" s="36"/>
      <c r="G207" s="36"/>
      <c r="H207" s="36">
        <v>205</v>
      </c>
      <c r="I207" s="39">
        <v>149.15236406619385</v>
      </c>
      <c r="J207" s="36">
        <v>48</v>
      </c>
      <c r="K207" s="36"/>
      <c r="L207" s="36"/>
      <c r="M207" s="36"/>
    </row>
    <row r="208" spans="1:13">
      <c r="A208" s="36"/>
      <c r="B208" s="36"/>
      <c r="C208" s="36"/>
      <c r="D208" s="36"/>
      <c r="E208" s="36"/>
      <c r="F208" s="36"/>
      <c r="G208" s="36"/>
      <c r="H208" s="36">
        <v>206</v>
      </c>
      <c r="I208" s="39">
        <v>149.15236406619385</v>
      </c>
      <c r="J208" s="36">
        <v>48</v>
      </c>
      <c r="K208" s="36"/>
      <c r="L208" s="36"/>
      <c r="M208" s="36"/>
    </row>
    <row r="209" spans="1:13">
      <c r="A209" s="36"/>
      <c r="B209" s="36"/>
      <c r="C209" s="36"/>
      <c r="D209" s="36"/>
      <c r="E209" s="36"/>
      <c r="F209" s="36"/>
      <c r="G209" s="36"/>
      <c r="H209" s="36">
        <v>207</v>
      </c>
      <c r="I209" s="39">
        <v>149.15236406619385</v>
      </c>
      <c r="J209" s="36">
        <v>48</v>
      </c>
      <c r="K209" s="36"/>
      <c r="L209" s="36"/>
      <c r="M209" s="36"/>
    </row>
    <row r="210" spans="1:13">
      <c r="A210" s="36"/>
      <c r="B210" s="36"/>
      <c r="C210" s="36"/>
      <c r="D210" s="36"/>
      <c r="E210" s="36"/>
      <c r="F210" s="36"/>
      <c r="G210" s="36"/>
      <c r="H210" s="36">
        <v>208</v>
      </c>
      <c r="I210" s="39">
        <v>149.15236406619385</v>
      </c>
      <c r="J210" s="36">
        <v>48</v>
      </c>
      <c r="K210" s="36"/>
      <c r="L210" s="36"/>
      <c r="M210" s="36"/>
    </row>
    <row r="211" spans="1:13">
      <c r="A211" s="36"/>
      <c r="B211" s="36"/>
      <c r="C211" s="36"/>
      <c r="D211" s="36"/>
      <c r="E211" s="36"/>
      <c r="F211" s="36"/>
      <c r="G211" s="36"/>
      <c r="H211" s="36">
        <v>209</v>
      </c>
      <c r="I211" s="39">
        <v>149.15236406619385</v>
      </c>
      <c r="J211" s="36">
        <v>48</v>
      </c>
      <c r="K211" s="36"/>
      <c r="L211" s="36"/>
      <c r="M211" s="36"/>
    </row>
    <row r="212" spans="1:13">
      <c r="A212" s="36"/>
      <c r="B212" s="36"/>
      <c r="C212" s="36"/>
      <c r="D212" s="36"/>
      <c r="E212" s="36"/>
      <c r="F212" s="36"/>
      <c r="G212" s="36"/>
      <c r="H212" s="36">
        <v>210</v>
      </c>
      <c r="I212" s="39">
        <v>149.15236406619385</v>
      </c>
      <c r="J212" s="36">
        <v>48</v>
      </c>
      <c r="K212" s="36"/>
      <c r="L212" s="36"/>
      <c r="M212" s="36"/>
    </row>
    <row r="213" spans="1:13">
      <c r="A213" s="36"/>
      <c r="B213" s="36"/>
      <c r="C213" s="36"/>
      <c r="D213" s="36"/>
      <c r="E213" s="36"/>
      <c r="F213" s="36"/>
      <c r="G213" s="36"/>
      <c r="H213" s="36">
        <v>211</v>
      </c>
      <c r="I213" s="39">
        <v>149.15236406619385</v>
      </c>
      <c r="J213" s="36">
        <v>48</v>
      </c>
      <c r="K213" s="36"/>
      <c r="L213" s="36"/>
      <c r="M213" s="36"/>
    </row>
    <row r="214" spans="1:13">
      <c r="A214" s="36"/>
      <c r="B214" s="36"/>
      <c r="C214" s="36"/>
      <c r="D214" s="36"/>
      <c r="E214" s="36"/>
      <c r="F214" s="36"/>
      <c r="G214" s="36"/>
      <c r="H214" s="36">
        <v>212</v>
      </c>
      <c r="I214" s="39">
        <v>149.15236406619385</v>
      </c>
      <c r="J214" s="36">
        <v>48</v>
      </c>
      <c r="K214" s="36"/>
      <c r="L214" s="36"/>
      <c r="M214" s="36"/>
    </row>
    <row r="215" spans="1:13">
      <c r="A215" s="36"/>
      <c r="B215" s="36"/>
      <c r="C215" s="36"/>
      <c r="D215" s="36"/>
      <c r="E215" s="36"/>
      <c r="F215" s="36"/>
      <c r="G215" s="36"/>
      <c r="H215" s="36">
        <v>213</v>
      </c>
      <c r="I215" s="39">
        <v>149.15236406619385</v>
      </c>
      <c r="J215" s="36">
        <v>48</v>
      </c>
      <c r="K215" s="36"/>
      <c r="L215" s="36"/>
      <c r="M215" s="36"/>
    </row>
    <row r="216" spans="1:13">
      <c r="A216" s="36"/>
      <c r="B216" s="36"/>
      <c r="C216" s="36"/>
      <c r="D216" s="36"/>
      <c r="E216" s="36"/>
      <c r="F216" s="36"/>
      <c r="G216" s="36"/>
      <c r="H216" s="36">
        <v>214</v>
      </c>
      <c r="I216" s="39">
        <v>149.15236406619385</v>
      </c>
      <c r="J216" s="36">
        <v>48</v>
      </c>
      <c r="K216" s="36"/>
      <c r="L216" s="36"/>
      <c r="M216" s="36"/>
    </row>
    <row r="217" spans="1:13">
      <c r="A217" s="36"/>
      <c r="B217" s="36"/>
      <c r="C217" s="36"/>
      <c r="D217" s="36"/>
      <c r="E217" s="36"/>
      <c r="F217" s="36"/>
      <c r="G217" s="36"/>
      <c r="H217" s="36">
        <v>215</v>
      </c>
      <c r="I217" s="39">
        <v>149.15236406619385</v>
      </c>
      <c r="J217" s="36">
        <v>48</v>
      </c>
      <c r="K217" s="36"/>
      <c r="L217" s="36"/>
      <c r="M217" s="36"/>
    </row>
    <row r="218" spans="1:13">
      <c r="A218" s="36"/>
      <c r="B218" s="36"/>
      <c r="C218" s="36"/>
      <c r="D218" s="36"/>
      <c r="E218" s="36"/>
      <c r="F218" s="36"/>
      <c r="G218" s="36"/>
      <c r="H218" s="36">
        <v>216</v>
      </c>
      <c r="I218" s="39">
        <v>149.15236406619385</v>
      </c>
      <c r="J218" s="36">
        <v>48</v>
      </c>
      <c r="K218" s="36"/>
      <c r="L218" s="36"/>
      <c r="M218" s="36"/>
    </row>
    <row r="219" spans="1:13">
      <c r="A219" s="36"/>
      <c r="B219" s="36"/>
      <c r="C219" s="36"/>
      <c r="D219" s="36"/>
      <c r="E219" s="36"/>
      <c r="F219" s="36"/>
      <c r="G219" s="36"/>
      <c r="H219" s="36">
        <v>217</v>
      </c>
      <c r="I219" s="39">
        <v>149.15236406619385</v>
      </c>
      <c r="J219" s="36">
        <v>48</v>
      </c>
      <c r="K219" s="36"/>
      <c r="L219" s="36"/>
      <c r="M219" s="36"/>
    </row>
    <row r="220" spans="1:13">
      <c r="A220" s="36"/>
      <c r="B220" s="36"/>
      <c r="C220" s="36"/>
      <c r="D220" s="36"/>
      <c r="E220" s="36"/>
      <c r="F220" s="36"/>
      <c r="G220" s="36"/>
      <c r="H220" s="36">
        <v>218</v>
      </c>
      <c r="I220" s="39">
        <v>149.15236406619385</v>
      </c>
      <c r="J220" s="36">
        <v>48</v>
      </c>
      <c r="K220" s="36"/>
      <c r="L220" s="36"/>
      <c r="M220" s="36"/>
    </row>
    <row r="221" spans="1:13">
      <c r="A221" s="36"/>
      <c r="B221" s="36"/>
      <c r="C221" s="36"/>
      <c r="D221" s="36"/>
      <c r="E221" s="36"/>
      <c r="F221" s="36"/>
      <c r="G221" s="36"/>
      <c r="H221" s="36">
        <v>219</v>
      </c>
      <c r="I221" s="39">
        <v>149.15236406619385</v>
      </c>
      <c r="J221" s="36">
        <v>48</v>
      </c>
      <c r="K221" s="36"/>
      <c r="L221" s="36"/>
      <c r="M221" s="36"/>
    </row>
    <row r="222" spans="1:13">
      <c r="A222" s="36"/>
      <c r="B222" s="36"/>
      <c r="C222" s="36"/>
      <c r="D222" s="36"/>
      <c r="E222" s="36"/>
      <c r="F222" s="36"/>
      <c r="G222" s="36"/>
      <c r="H222" s="36">
        <v>220</v>
      </c>
      <c r="I222" s="39">
        <v>149.15236406619385</v>
      </c>
      <c r="J222" s="36">
        <v>48</v>
      </c>
      <c r="K222" s="36"/>
      <c r="L222" s="36"/>
      <c r="M222" s="36"/>
    </row>
    <row r="223" spans="1:1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计算口径</vt:lpstr>
      <vt:lpstr>剧情奖励核对</vt:lpstr>
      <vt:lpstr>简单</vt:lpstr>
      <vt:lpstr>普通</vt:lpstr>
      <vt:lpstr>困难</vt:lpstr>
      <vt:lpstr>汇总</vt:lpstr>
      <vt:lpstr>药材收益口径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Qiaochen Li (リ　ギョウシン)</cp:lastModifiedBy>
  <dcterms:modified xsi:type="dcterms:W3CDTF">2026-09-17T00:35:40Z</dcterms:modified>
</cp:coreProperties>
</file>